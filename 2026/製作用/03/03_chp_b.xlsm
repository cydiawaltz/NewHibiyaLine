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227" codeName="{957460C9-B318-DD5D-5CC9-C049C1E746CC}"/>
  <workbookPr filterPrivacy="1" codeName="ThisWorkbook" defaultThemeVersion="124226"/>
  <xr:revisionPtr revIDLastSave="0" documentId="13_ncr:1_{8C98B7BE-7B9D-4060-8CFA-7000474CC40C}" xr6:coauthVersionLast="47" xr6:coauthVersionMax="47" xr10:uidLastSave="{00000000-0000-0000-0000-000000000000}"/>
  <bookViews>
    <workbookView xWindow="-108" yWindow="-108" windowWidth="23256" windowHeight="14016" activeTab="2" xr2:uid="{00000000-000D-0000-FFFF-FFFF00000000}"/>
  </bookViews>
  <sheets>
    <sheet name="編成入力" sheetId="11" r:id="rId1"/>
    <sheet name="制輪子摩擦係数" sheetId="13" r:id="rId2"/>
    <sheet name="性能入力" sheetId="6" r:id="rId3"/>
    <sheet name="f" sheetId="4" r:id="rId4"/>
    <sheet name="fMax" sheetId="7" r:id="rId5"/>
    <sheet name="c" sheetId="5" r:id="rId6"/>
    <sheet name="cMax" sheetId="9" r:id="rId7"/>
    <sheet name="cZero" sheetId="10" r:id="rId8"/>
    <sheet name="Prmtr" sheetId="12" r:id="rId9"/>
  </sheets>
  <functionGroups builtInGroupCount="19"/>
  <definedNames>
    <definedName name="_xlnm._FilterDatabase" localSheetId="2" hidden="1">性能入力!$B$36:$P$190</definedName>
    <definedName name="BCPressure">編成入力!$M$16</definedName>
    <definedName name="Deceleration">編成入力!$M$14</definedName>
    <definedName name="LoadRatio">編成入力!$X$58</definedName>
    <definedName name="M_empty">編成入力!$W$57</definedName>
    <definedName name="M_full">編成入力!$W$58</definedName>
    <definedName name="MaxSpeed">編成入力!$M$20</definedName>
    <definedName name="MotorcarCount">編成入力!$W$8</definedName>
    <definedName name="MotorcarInertiaFactor">編成入力!$E$18</definedName>
    <definedName name="MotorcarWeight">編成入力!$W$10*1000</definedName>
    <definedName name="NoLoadCurrent">性能入力!$J$40:$J$190</definedName>
    <definedName name="_xlnm.Print_Area" localSheetId="0">編成入力!$A$1:$Z$63</definedName>
    <definedName name="RunningResistanceFactor_a">編成入力!$E$23</definedName>
    <definedName name="RunningResistanceFactor_b">編成入力!$F$23</definedName>
    <definedName name="RunningResistanceFactor_c">編成入力!$G$23</definedName>
    <definedName name="ShoeFrictionA">制輪子摩擦係数!$K$10</definedName>
    <definedName name="ShoeFrictionAvg">編成入力!$M$18</definedName>
    <definedName name="ShoeFrictionB">制輪子摩擦係数!$K$11</definedName>
    <definedName name="ShoeFrictionC">制輪子摩擦係数!$K$12</definedName>
    <definedName name="solver_adj" localSheetId="1" hidden="1">制輪子摩擦係数!$K$10:$K$12</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制輪子摩擦係数!$M$39</definedName>
    <definedName name="solver_pre" localSheetId="1" hidden="1">0.000001</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0</definedName>
    <definedName name="solver_ver" localSheetId="1" hidden="1">3</definedName>
    <definedName name="Speed">性能入力!$C$40:$C$190</definedName>
    <definedName name="TotalCars">編成入力!$U$8</definedName>
    <definedName name="TotalWeight">編成入力!$U$10</definedName>
    <definedName name="TrailerCount">編成入力!$X$8</definedName>
    <definedName name="TrailerInertiaFactor">編成入力!$E$20</definedName>
    <definedName name="TrailerWeight">編成入力!$X$10*1000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39" i="13" l="1"/>
  <c r="G37" i="13" l="1"/>
  <c r="I37" i="13" s="1"/>
  <c r="L37" i="13" s="1"/>
  <c r="M37" i="13" s="1"/>
  <c r="G36" i="13"/>
  <c r="I36" i="13" s="1"/>
  <c r="L36" i="13" s="1"/>
  <c r="M36" i="13" s="1"/>
  <c r="G35" i="13"/>
  <c r="I35" i="13" s="1"/>
  <c r="L35" i="13" s="1"/>
  <c r="M35" i="13" s="1"/>
  <c r="G34" i="13"/>
  <c r="I34" i="13" s="1"/>
  <c r="L34" i="13" s="1"/>
  <c r="M34" i="13" s="1"/>
  <c r="G33" i="13"/>
  <c r="G32" i="13"/>
  <c r="G31" i="13"/>
  <c r="G30" i="13"/>
  <c r="G29" i="13"/>
  <c r="G28" i="13"/>
  <c r="G27" i="13"/>
  <c r="G26" i="13"/>
  <c r="G25" i="13"/>
  <c r="G24" i="13"/>
  <c r="G23" i="13"/>
  <c r="G22" i="13"/>
  <c r="G21" i="13"/>
  <c r="C37" i="13"/>
  <c r="F37" i="13" s="1"/>
  <c r="C36" i="13"/>
  <c r="C35" i="13"/>
  <c r="E35" i="13" s="1"/>
  <c r="H10" i="13"/>
  <c r="K23" i="13" s="1"/>
  <c r="H11" i="13"/>
  <c r="H12" i="13"/>
  <c r="C21" i="13"/>
  <c r="F21" i="13" s="1"/>
  <c r="C22" i="13"/>
  <c r="F22" i="13" s="1"/>
  <c r="C23" i="13"/>
  <c r="D23" i="13" s="1"/>
  <c r="C24" i="13"/>
  <c r="E24" i="13" s="1"/>
  <c r="C25" i="13"/>
  <c r="F25" i="13" s="1"/>
  <c r="D25" i="13"/>
  <c r="C26" i="13"/>
  <c r="E26" i="13" s="1"/>
  <c r="C27" i="13"/>
  <c r="D27" i="13" s="1"/>
  <c r="C28" i="13"/>
  <c r="E28" i="13" s="1"/>
  <c r="C29" i="13"/>
  <c r="F29" i="13" s="1"/>
  <c r="C30" i="13"/>
  <c r="D30" i="13" s="1"/>
  <c r="C31" i="13"/>
  <c r="D31" i="13" s="1"/>
  <c r="C32" i="13"/>
  <c r="E32" i="13" s="1"/>
  <c r="C33" i="13"/>
  <c r="F33" i="13" s="1"/>
  <c r="C34" i="13"/>
  <c r="E34" i="13" s="1"/>
  <c r="D34" i="13"/>
  <c r="D35" i="13" l="1"/>
  <c r="D37" i="13"/>
  <c r="D21" i="13"/>
  <c r="K35" i="13"/>
  <c r="K21" i="13"/>
  <c r="F35" i="13"/>
  <c r="K31" i="13"/>
  <c r="C33" i="11"/>
  <c r="K36" i="13"/>
  <c r="K27" i="13"/>
  <c r="E21" i="13"/>
  <c r="D36" i="13"/>
  <c r="E37" i="13"/>
  <c r="K37" i="13"/>
  <c r="K33" i="13"/>
  <c r="K29" i="13"/>
  <c r="K25" i="13"/>
  <c r="E36" i="13"/>
  <c r="F36" i="13"/>
  <c r="K34" i="13"/>
  <c r="K32" i="13"/>
  <c r="K30" i="13"/>
  <c r="K28" i="13"/>
  <c r="K26" i="13"/>
  <c r="K24" i="13"/>
  <c r="K22" i="13"/>
  <c r="E22" i="13"/>
  <c r="D33" i="13"/>
  <c r="D28" i="13"/>
  <c r="D26" i="13"/>
  <c r="D22" i="13"/>
  <c r="F34" i="13"/>
  <c r="E33" i="13"/>
  <c r="D32" i="13"/>
  <c r="F30" i="13"/>
  <c r="E30" i="13"/>
  <c r="E29" i="13"/>
  <c r="F26" i="13"/>
  <c r="D29" i="13"/>
  <c r="E25" i="13"/>
  <c r="D24" i="13"/>
  <c r="F31" i="13"/>
  <c r="F27" i="13"/>
  <c r="F23" i="13"/>
  <c r="F32" i="13"/>
  <c r="E31" i="13"/>
  <c r="F28" i="13"/>
  <c r="E27" i="13"/>
  <c r="F24" i="13"/>
  <c r="E23" i="13"/>
  <c r="A153" i="10"/>
  <c r="A152" i="10"/>
  <c r="A151" i="10"/>
  <c r="A150" i="10"/>
  <c r="A149" i="10"/>
  <c r="A148" i="10"/>
  <c r="A147" i="10"/>
  <c r="A146" i="10"/>
  <c r="A145" i="10"/>
  <c r="A144" i="10"/>
  <c r="A143" i="10"/>
  <c r="A142" i="10"/>
  <c r="A141" i="10"/>
  <c r="A140" i="10"/>
  <c r="A139" i="10"/>
  <c r="A138" i="10"/>
  <c r="A137" i="10"/>
  <c r="A136" i="10"/>
  <c r="A135" i="10"/>
  <c r="A134" i="10"/>
  <c r="A133" i="10"/>
  <c r="A153" i="9"/>
  <c r="A152" i="9"/>
  <c r="A151" i="9"/>
  <c r="A150" i="9"/>
  <c r="A149" i="9"/>
  <c r="A148" i="9"/>
  <c r="A147" i="9"/>
  <c r="A146" i="9"/>
  <c r="A145" i="9"/>
  <c r="A144" i="9"/>
  <c r="A143" i="9"/>
  <c r="A142" i="9"/>
  <c r="A141" i="9"/>
  <c r="A140" i="9"/>
  <c r="A139" i="9"/>
  <c r="A138" i="9"/>
  <c r="A137" i="9"/>
  <c r="A136" i="9"/>
  <c r="A135" i="9"/>
  <c r="A134" i="9"/>
  <c r="A133" i="9"/>
  <c r="A153" i="5"/>
  <c r="A152" i="5"/>
  <c r="A151" i="5"/>
  <c r="A150" i="5"/>
  <c r="A149" i="5"/>
  <c r="A148" i="5"/>
  <c r="A147" i="5"/>
  <c r="A146" i="5"/>
  <c r="A145" i="5"/>
  <c r="A144" i="5"/>
  <c r="A143" i="5"/>
  <c r="A142" i="5"/>
  <c r="A141" i="5"/>
  <c r="A140" i="5"/>
  <c r="A139" i="5"/>
  <c r="A138" i="5"/>
  <c r="A137" i="5"/>
  <c r="A136" i="5"/>
  <c r="A135" i="5"/>
  <c r="A134" i="5"/>
  <c r="A133" i="5"/>
  <c r="A153" i="7"/>
  <c r="A152" i="7"/>
  <c r="A151" i="7"/>
  <c r="A150" i="7"/>
  <c r="A149" i="7"/>
  <c r="A148" i="7"/>
  <c r="A147" i="7"/>
  <c r="A146" i="7"/>
  <c r="A145" i="7"/>
  <c r="A144" i="7"/>
  <c r="A143" i="7"/>
  <c r="A142" i="7"/>
  <c r="A141" i="7"/>
  <c r="A140" i="7"/>
  <c r="A139" i="7"/>
  <c r="A138" i="7"/>
  <c r="A137" i="7"/>
  <c r="A136" i="7"/>
  <c r="A135" i="7"/>
  <c r="A134" i="7"/>
  <c r="A133" i="7"/>
  <c r="A153" i="4"/>
  <c r="A152" i="4"/>
  <c r="A151" i="4"/>
  <c r="A150" i="4"/>
  <c r="A149" i="4"/>
  <c r="A148" i="4"/>
  <c r="A147" i="4"/>
  <c r="A146" i="4"/>
  <c r="A145" i="4"/>
  <c r="A144" i="4"/>
  <c r="A143" i="4"/>
  <c r="A142" i="4"/>
  <c r="A141" i="4"/>
  <c r="A140" i="4"/>
  <c r="A139" i="4"/>
  <c r="A138" i="4"/>
  <c r="A137" i="4"/>
  <c r="A136" i="4"/>
  <c r="A135" i="4"/>
  <c r="A134" i="4"/>
  <c r="A133" i="4"/>
  <c r="O189" i="6"/>
  <c r="O188" i="6"/>
  <c r="O187" i="6"/>
  <c r="O186" i="6"/>
  <c r="O185" i="6"/>
  <c r="O184" i="6"/>
  <c r="O183" i="6"/>
  <c r="O182" i="6"/>
  <c r="O181" i="6"/>
  <c r="O180" i="6"/>
  <c r="O179" i="6"/>
  <c r="O178" i="6"/>
  <c r="O177" i="6"/>
  <c r="O176" i="6"/>
  <c r="O175" i="6"/>
  <c r="O174" i="6"/>
  <c r="O173" i="6"/>
  <c r="O172" i="6"/>
  <c r="O171" i="6"/>
  <c r="O170" i="6"/>
  <c r="O190" i="6"/>
  <c r="O169" i="6" l="1"/>
  <c r="O168" i="6"/>
  <c r="O167" i="6"/>
  <c r="O166" i="6"/>
  <c r="O165" i="6"/>
  <c r="O164" i="6"/>
  <c r="O163" i="6"/>
  <c r="O162" i="6"/>
  <c r="O161" i="6"/>
  <c r="O160" i="6"/>
  <c r="O159" i="6"/>
  <c r="O158" i="6"/>
  <c r="O157" i="6"/>
  <c r="O156" i="6"/>
  <c r="O155" i="6"/>
  <c r="O154" i="6"/>
  <c r="O153" i="6"/>
  <c r="O152" i="6"/>
  <c r="O151" i="6"/>
  <c r="O150" i="6"/>
  <c r="O149" i="6"/>
  <c r="O148" i="6"/>
  <c r="O147" i="6"/>
  <c r="O146" i="6"/>
  <c r="O145" i="6"/>
  <c r="O144" i="6"/>
  <c r="O143" i="6"/>
  <c r="O142" i="6"/>
  <c r="O141" i="6"/>
  <c r="O140" i="6"/>
  <c r="O139" i="6"/>
  <c r="O138" i="6"/>
  <c r="O137" i="6"/>
  <c r="O136" i="6"/>
  <c r="O135" i="6"/>
  <c r="O134" i="6"/>
  <c r="O133" i="6"/>
  <c r="O132" i="6"/>
  <c r="O131" i="6"/>
  <c r="O130" i="6"/>
  <c r="O129" i="6"/>
  <c r="O128" i="6"/>
  <c r="O127" i="6"/>
  <c r="O126" i="6"/>
  <c r="O125" i="6"/>
  <c r="O124" i="6"/>
  <c r="O123" i="6"/>
  <c r="O122" i="6"/>
  <c r="O121" i="6"/>
  <c r="O120" i="6"/>
  <c r="O119" i="6"/>
  <c r="O118" i="6"/>
  <c r="O117" i="6"/>
  <c r="O116" i="6"/>
  <c r="O115" i="6"/>
  <c r="O114" i="6"/>
  <c r="O113" i="6"/>
  <c r="O112" i="6"/>
  <c r="O111" i="6"/>
  <c r="O110" i="6"/>
  <c r="O109" i="6"/>
  <c r="O108" i="6"/>
  <c r="O107" i="6"/>
  <c r="O106" i="6"/>
  <c r="O105" i="6"/>
  <c r="O104" i="6"/>
  <c r="O103" i="6"/>
  <c r="O102" i="6"/>
  <c r="O101" i="6"/>
  <c r="O100" i="6"/>
  <c r="O99" i="6"/>
  <c r="O98" i="6"/>
  <c r="O97" i="6"/>
  <c r="O96" i="6"/>
  <c r="O95" i="6"/>
  <c r="O94" i="6"/>
  <c r="O93" i="6"/>
  <c r="O92" i="6"/>
  <c r="O91" i="6"/>
  <c r="O90" i="6"/>
  <c r="O89" i="6"/>
  <c r="O88" i="6"/>
  <c r="O87" i="6"/>
  <c r="O86" i="6"/>
  <c r="O85" i="6"/>
  <c r="O84" i="6"/>
  <c r="O83" i="6"/>
  <c r="O82" i="6"/>
  <c r="O81" i="6"/>
  <c r="O80" i="6"/>
  <c r="O79" i="6"/>
  <c r="O78" i="6"/>
  <c r="O77" i="6"/>
  <c r="O76" i="6"/>
  <c r="O75" i="6"/>
  <c r="O74" i="6"/>
  <c r="O73" i="6"/>
  <c r="O72" i="6"/>
  <c r="O71" i="6"/>
  <c r="O70" i="6"/>
  <c r="O69" i="6"/>
  <c r="O68" i="6"/>
  <c r="O67" i="6"/>
  <c r="O66" i="6"/>
  <c r="O65" i="6"/>
  <c r="O64" i="6"/>
  <c r="O63" i="6"/>
  <c r="F63" i="6"/>
  <c r="O62" i="6"/>
  <c r="F62" i="6"/>
  <c r="O61" i="6"/>
  <c r="F61" i="6"/>
  <c r="O60" i="6"/>
  <c r="F60" i="6"/>
  <c r="O59" i="6"/>
  <c r="F59" i="6"/>
  <c r="O58" i="6"/>
  <c r="F58" i="6"/>
  <c r="O57" i="6"/>
  <c r="F57" i="6"/>
  <c r="O56" i="6"/>
  <c r="F56" i="6"/>
  <c r="O55" i="6"/>
  <c r="F55" i="6"/>
  <c r="O54" i="6"/>
  <c r="F54" i="6"/>
  <c r="O53" i="6"/>
  <c r="F53" i="6"/>
  <c r="O52" i="6"/>
  <c r="F52" i="6"/>
  <c r="O51" i="6"/>
  <c r="F51" i="6"/>
  <c r="O50" i="6"/>
  <c r="F50" i="6"/>
  <c r="O49" i="6"/>
  <c r="F49" i="6"/>
  <c r="O48" i="6"/>
  <c r="F48" i="6"/>
  <c r="O47" i="6"/>
  <c r="F47" i="6"/>
  <c r="O46" i="6"/>
  <c r="F46" i="6"/>
  <c r="O45" i="6"/>
  <c r="F45" i="6"/>
  <c r="O44" i="6"/>
  <c r="F44" i="6"/>
  <c r="O43" i="6"/>
  <c r="F43" i="6"/>
  <c r="O42" i="6"/>
  <c r="F42" i="6"/>
  <c r="O41" i="6"/>
  <c r="F41" i="6"/>
  <c r="F20" i="6" l="1"/>
  <c r="F104" i="6" l="1"/>
  <c r="F102" i="6"/>
  <c r="F100" i="6"/>
  <c r="F98" i="6"/>
  <c r="F96" i="6"/>
  <c r="F94" i="6"/>
  <c r="F92" i="6"/>
  <c r="F90" i="6"/>
  <c r="F88" i="6"/>
  <c r="F86" i="6"/>
  <c r="F84" i="6"/>
  <c r="F82" i="6"/>
  <c r="F80" i="6"/>
  <c r="F78" i="6"/>
  <c r="F76" i="6"/>
  <c r="F74" i="6"/>
  <c r="F72" i="6"/>
  <c r="F70" i="6"/>
  <c r="F68" i="6"/>
  <c r="F66" i="6"/>
  <c r="F64" i="6"/>
  <c r="F105" i="6"/>
  <c r="F103" i="6"/>
  <c r="F101" i="6"/>
  <c r="F99" i="6"/>
  <c r="F97" i="6"/>
  <c r="F95" i="6"/>
  <c r="F93" i="6"/>
  <c r="F91" i="6"/>
  <c r="F89" i="6"/>
  <c r="F87" i="6"/>
  <c r="F85" i="6"/>
  <c r="F83" i="6"/>
  <c r="F81" i="6"/>
  <c r="F79" i="6"/>
  <c r="F77" i="6"/>
  <c r="F75" i="6"/>
  <c r="F73" i="6"/>
  <c r="F71" i="6"/>
  <c r="F69" i="6"/>
  <c r="F67" i="6"/>
  <c r="F65" i="6"/>
  <c r="B3" i="10"/>
  <c r="B3" i="9"/>
  <c r="B3" i="5"/>
  <c r="B2" i="12"/>
  <c r="F40" i="6" l="1"/>
  <c r="F13" i="6" l="1"/>
  <c r="F15" i="6" l="1"/>
  <c r="F31" i="6"/>
  <c r="F110" i="6" l="1"/>
  <c r="F109" i="6"/>
  <c r="F108" i="6"/>
  <c r="F107" i="6"/>
  <c r="F106" i="6"/>
  <c r="F190" i="6"/>
  <c r="F174" i="6"/>
  <c r="D174" i="6" s="1"/>
  <c r="F187" i="6"/>
  <c r="D187" i="6" s="1"/>
  <c r="F179" i="6"/>
  <c r="D179" i="6" s="1"/>
  <c r="F171" i="6"/>
  <c r="D171" i="6" s="1"/>
  <c r="F182" i="6"/>
  <c r="D182" i="6" s="1"/>
  <c r="F128" i="6"/>
  <c r="F120" i="6"/>
  <c r="F112" i="6"/>
  <c r="F123" i="6"/>
  <c r="F115" i="6"/>
  <c r="F172" i="6"/>
  <c r="D172" i="6" s="1"/>
  <c r="F185" i="6"/>
  <c r="D185" i="6" s="1"/>
  <c r="F177" i="6"/>
  <c r="D177" i="6" s="1"/>
  <c r="F188" i="6"/>
  <c r="D188" i="6" s="1"/>
  <c r="F180" i="6"/>
  <c r="D180" i="6" s="1"/>
  <c r="F126" i="6"/>
  <c r="F118" i="6"/>
  <c r="F129" i="6"/>
  <c r="F121" i="6"/>
  <c r="F113" i="6"/>
  <c r="F170" i="6"/>
  <c r="D170" i="6" s="1"/>
  <c r="F183" i="6"/>
  <c r="D183" i="6" s="1"/>
  <c r="F175" i="6"/>
  <c r="D175" i="6" s="1"/>
  <c r="F186" i="6"/>
  <c r="D186" i="6" s="1"/>
  <c r="F178" i="6"/>
  <c r="D178" i="6" s="1"/>
  <c r="F124" i="6"/>
  <c r="F116" i="6"/>
  <c r="F127" i="6"/>
  <c r="F119" i="6"/>
  <c r="F111" i="6"/>
  <c r="F130" i="6"/>
  <c r="F189" i="6"/>
  <c r="D189" i="6" s="1"/>
  <c r="F181" i="6"/>
  <c r="D181" i="6" s="1"/>
  <c r="F173" i="6"/>
  <c r="D173" i="6" s="1"/>
  <c r="F184" i="6"/>
  <c r="D184" i="6" s="1"/>
  <c r="F176" i="6"/>
  <c r="D176" i="6" s="1"/>
  <c r="F122" i="6"/>
  <c r="F114" i="6"/>
  <c r="F125" i="6"/>
  <c r="F117" i="6"/>
  <c r="J190" i="6"/>
  <c r="B153" i="10" s="1"/>
  <c r="J185" i="6"/>
  <c r="J173" i="6"/>
  <c r="J172" i="6"/>
  <c r="J171" i="6"/>
  <c r="J189" i="6"/>
  <c r="J179" i="6"/>
  <c r="J178" i="6"/>
  <c r="J177" i="6"/>
  <c r="J176" i="6"/>
  <c r="J170" i="6"/>
  <c r="J183" i="6"/>
  <c r="J182" i="6"/>
  <c r="J181" i="6"/>
  <c r="J180" i="6"/>
  <c r="J174" i="6"/>
  <c r="J187" i="6"/>
  <c r="J186" i="6"/>
  <c r="J184" i="6"/>
  <c r="J175" i="6"/>
  <c r="J188" i="6"/>
  <c r="D190" i="6"/>
  <c r="F135" i="6"/>
  <c r="F134" i="6"/>
  <c r="F132" i="6"/>
  <c r="F133" i="6"/>
  <c r="F131" i="6"/>
  <c r="F162" i="6"/>
  <c r="F154" i="6"/>
  <c r="F146" i="6"/>
  <c r="F138" i="6"/>
  <c r="F165" i="6"/>
  <c r="F157" i="6"/>
  <c r="F149" i="6"/>
  <c r="F141" i="6"/>
  <c r="F168" i="6"/>
  <c r="F160" i="6"/>
  <c r="F152" i="6"/>
  <c r="F144" i="6"/>
  <c r="F136" i="6"/>
  <c r="F163" i="6"/>
  <c r="F155" i="6"/>
  <c r="F147" i="6"/>
  <c r="F139" i="6"/>
  <c r="F166" i="6"/>
  <c r="F158" i="6"/>
  <c r="F150" i="6"/>
  <c r="F142" i="6"/>
  <c r="F169" i="6"/>
  <c r="F161" i="6"/>
  <c r="F153" i="6"/>
  <c r="F145" i="6"/>
  <c r="F137" i="6"/>
  <c r="F164" i="6"/>
  <c r="F156" i="6"/>
  <c r="F148" i="6"/>
  <c r="F140" i="6"/>
  <c r="F167" i="6"/>
  <c r="F159" i="6"/>
  <c r="F151" i="6"/>
  <c r="F143" i="6"/>
  <c r="E15" i="6"/>
  <c r="J84" i="6"/>
  <c r="J80" i="6"/>
  <c r="J76" i="6"/>
  <c r="J72" i="6"/>
  <c r="J68" i="6"/>
  <c r="J64" i="6"/>
  <c r="J60" i="6"/>
  <c r="J56" i="6"/>
  <c r="J52" i="6"/>
  <c r="J48" i="6"/>
  <c r="J44" i="6"/>
  <c r="J82" i="6"/>
  <c r="J78" i="6"/>
  <c r="J74" i="6"/>
  <c r="J70" i="6"/>
  <c r="J66" i="6"/>
  <c r="J62" i="6"/>
  <c r="J58" i="6"/>
  <c r="J54" i="6"/>
  <c r="J50" i="6"/>
  <c r="J46" i="6"/>
  <c r="J42" i="6"/>
  <c r="J83" i="6"/>
  <c r="J75" i="6"/>
  <c r="J67" i="6"/>
  <c r="J59" i="6"/>
  <c r="J51" i="6"/>
  <c r="J43" i="6"/>
  <c r="J81" i="6"/>
  <c r="J73" i="6"/>
  <c r="J65" i="6"/>
  <c r="J57" i="6"/>
  <c r="J49" i="6"/>
  <c r="J85" i="6"/>
  <c r="J79" i="6"/>
  <c r="J71" i="6"/>
  <c r="J63" i="6"/>
  <c r="J55" i="6"/>
  <c r="J47" i="6"/>
  <c r="J41" i="6"/>
  <c r="J77" i="6"/>
  <c r="J69" i="6"/>
  <c r="J61" i="6"/>
  <c r="J53" i="6"/>
  <c r="J45" i="6"/>
  <c r="J90" i="6"/>
  <c r="J87" i="6"/>
  <c r="J103" i="6"/>
  <c r="J119" i="6"/>
  <c r="J135" i="6"/>
  <c r="J151" i="6"/>
  <c r="J167" i="6"/>
  <c r="J106" i="6"/>
  <c r="J120" i="6"/>
  <c r="J136" i="6"/>
  <c r="J152" i="6"/>
  <c r="J168" i="6"/>
  <c r="J113" i="6"/>
  <c r="J146" i="6"/>
  <c r="J88" i="6"/>
  <c r="J125" i="6"/>
  <c r="J157" i="6"/>
  <c r="J105" i="6"/>
  <c r="J142" i="6"/>
  <c r="J96" i="6"/>
  <c r="J121" i="6"/>
  <c r="J153" i="6"/>
  <c r="J107" i="6"/>
  <c r="J123" i="6"/>
  <c r="J139" i="6"/>
  <c r="J155" i="6"/>
  <c r="J110" i="6"/>
  <c r="J124" i="6"/>
  <c r="J140" i="6"/>
  <c r="J92" i="6"/>
  <c r="J122" i="6"/>
  <c r="J154" i="6"/>
  <c r="J133" i="6"/>
  <c r="J165" i="6"/>
  <c r="J150" i="6"/>
  <c r="J101" i="6"/>
  <c r="J161" i="6"/>
  <c r="J160" i="6"/>
  <c r="J97" i="6"/>
  <c r="J104" i="6"/>
  <c r="J89" i="6"/>
  <c r="J158" i="6"/>
  <c r="J137" i="6"/>
  <c r="J115" i="6"/>
  <c r="J147" i="6"/>
  <c r="J102" i="6"/>
  <c r="J148" i="6"/>
  <c r="J108" i="6"/>
  <c r="J100" i="6"/>
  <c r="J134" i="6"/>
  <c r="J145" i="6"/>
  <c r="J91" i="6"/>
  <c r="J94" i="6"/>
  <c r="J156" i="6"/>
  <c r="J93" i="6"/>
  <c r="J116" i="6"/>
  <c r="J129" i="6"/>
  <c r="J162" i="6"/>
  <c r="J126" i="6"/>
  <c r="J169" i="6"/>
  <c r="J86" i="6"/>
  <c r="J131" i="6"/>
  <c r="J118" i="6"/>
  <c r="J164" i="6"/>
  <c r="J109" i="6"/>
  <c r="J117" i="6"/>
  <c r="J95" i="6"/>
  <c r="J111" i="6"/>
  <c r="J127" i="6"/>
  <c r="J143" i="6"/>
  <c r="J159" i="6"/>
  <c r="J98" i="6"/>
  <c r="J114" i="6"/>
  <c r="J128" i="6"/>
  <c r="J144" i="6"/>
  <c r="J130" i="6"/>
  <c r="J141" i="6"/>
  <c r="J112" i="6"/>
  <c r="J99" i="6"/>
  <c r="J163" i="6"/>
  <c r="J132" i="6"/>
  <c r="J138" i="6"/>
  <c r="J149" i="6"/>
  <c r="J166" i="6"/>
  <c r="F16" i="6"/>
  <c r="B138" i="10" l="1"/>
  <c r="B137" i="10"/>
  <c r="B146" i="10"/>
  <c r="B141" i="10"/>
  <c r="B135" i="10"/>
  <c r="B147" i="10"/>
  <c r="B143" i="10"/>
  <c r="B133" i="10"/>
  <c r="B142" i="10"/>
  <c r="B136" i="10"/>
  <c r="B149" i="10"/>
  <c r="B144" i="10"/>
  <c r="B139" i="10"/>
  <c r="B152" i="10"/>
  <c r="B148" i="10"/>
  <c r="B151" i="10"/>
  <c r="B150" i="10"/>
  <c r="B145" i="10"/>
  <c r="B140" i="10"/>
  <c r="B134" i="10"/>
  <c r="H41" i="6"/>
  <c r="B4" i="9" s="1"/>
  <c r="H49" i="6"/>
  <c r="B12" i="9" s="1"/>
  <c r="H57" i="6"/>
  <c r="B20" i="9" s="1"/>
  <c r="H65" i="6"/>
  <c r="B28" i="9" s="1"/>
  <c r="H73" i="6"/>
  <c r="B36" i="9" s="1"/>
  <c r="H81" i="6"/>
  <c r="B44" i="9" s="1"/>
  <c r="H89" i="6"/>
  <c r="B52" i="9" s="1"/>
  <c r="H48" i="6"/>
  <c r="B11" i="9" s="1"/>
  <c r="H56" i="6"/>
  <c r="B19" i="9" s="1"/>
  <c r="H64" i="6"/>
  <c r="B27" i="9" s="1"/>
  <c r="H72" i="6"/>
  <c r="B35" i="9" s="1"/>
  <c r="H80" i="6"/>
  <c r="B43" i="9" s="1"/>
  <c r="H88" i="6"/>
  <c r="B51" i="9" s="1"/>
  <c r="H43" i="6"/>
  <c r="B6" i="9" s="1"/>
  <c r="H51" i="6"/>
  <c r="B14" i="9" s="1"/>
  <c r="H67" i="6"/>
  <c r="B30" i="9" s="1"/>
  <c r="H83" i="6"/>
  <c r="B46" i="9" s="1"/>
  <c r="H58" i="6"/>
  <c r="B21" i="9" s="1"/>
  <c r="H74" i="6"/>
  <c r="B37" i="9" s="1"/>
  <c r="H90" i="6"/>
  <c r="B53" i="9" s="1"/>
  <c r="H53" i="6"/>
  <c r="B16" i="9" s="1"/>
  <c r="H69" i="6"/>
  <c r="B32" i="9" s="1"/>
  <c r="H85" i="6"/>
  <c r="B48" i="9" s="1"/>
  <c r="H52" i="6"/>
  <c r="B15" i="9" s="1"/>
  <c r="H68" i="6"/>
  <c r="B31" i="9" s="1"/>
  <c r="H84" i="6"/>
  <c r="B47" i="9" s="1"/>
  <c r="H47" i="6"/>
  <c r="B10" i="9" s="1"/>
  <c r="H55" i="6"/>
  <c r="B18" i="9" s="1"/>
  <c r="H63" i="6"/>
  <c r="B26" i="9" s="1"/>
  <c r="H71" i="6"/>
  <c r="B34" i="9" s="1"/>
  <c r="H79" i="6"/>
  <c r="B42" i="9" s="1"/>
  <c r="H87" i="6"/>
  <c r="B50" i="9" s="1"/>
  <c r="H46" i="6"/>
  <c r="B9" i="9" s="1"/>
  <c r="H54" i="6"/>
  <c r="B17" i="9" s="1"/>
  <c r="H62" i="6"/>
  <c r="B25" i="9" s="1"/>
  <c r="H70" i="6"/>
  <c r="B33" i="9" s="1"/>
  <c r="H78" i="6"/>
  <c r="B41" i="9" s="1"/>
  <c r="H86" i="6"/>
  <c r="B49" i="9" s="1"/>
  <c r="H59" i="6"/>
  <c r="B22" i="9" s="1"/>
  <c r="H75" i="6"/>
  <c r="B38" i="9" s="1"/>
  <c r="H91" i="6"/>
  <c r="B54" i="9" s="1"/>
  <c r="H42" i="6"/>
  <c r="H50" i="6"/>
  <c r="B13" i="9" s="1"/>
  <c r="H66" i="6"/>
  <c r="B29" i="9" s="1"/>
  <c r="H82" i="6"/>
  <c r="B45" i="9" s="1"/>
  <c r="H45" i="6"/>
  <c r="B8" i="9" s="1"/>
  <c r="H61" i="6"/>
  <c r="B24" i="9" s="1"/>
  <c r="H77" i="6"/>
  <c r="B40" i="9" s="1"/>
  <c r="H44" i="6"/>
  <c r="B7" i="9" s="1"/>
  <c r="H60" i="6"/>
  <c r="B23" i="9" s="1"/>
  <c r="H76" i="6"/>
  <c r="B39" i="9" s="1"/>
  <c r="H92" i="6"/>
  <c r="B55" i="9" s="1"/>
  <c r="F22" i="6"/>
  <c r="B5" i="9"/>
  <c r="U8" i="11"/>
  <c r="W8" i="11"/>
  <c r="X8" i="11"/>
  <c r="U10" i="11"/>
  <c r="U12" i="11"/>
  <c r="C45" i="11" s="1"/>
  <c r="C40" i="11"/>
  <c r="C41" i="11"/>
  <c r="C46" i="11"/>
  <c r="E52" i="11"/>
  <c r="E54" i="11" s="1"/>
  <c r="E57" i="11" s="1"/>
  <c r="F52" i="11"/>
  <c r="F54" i="11" s="1"/>
  <c r="F57" i="11" s="1"/>
  <c r="G52" i="11"/>
  <c r="G54" i="11" s="1"/>
  <c r="G57" i="11" s="1"/>
  <c r="H52" i="11"/>
  <c r="H54" i="11" s="1"/>
  <c r="H57" i="11" s="1"/>
  <c r="I52" i="11"/>
  <c r="I54" i="11" s="1"/>
  <c r="I57" i="11" s="1"/>
  <c r="J52" i="11"/>
  <c r="J54" i="11" s="1"/>
  <c r="J57" i="11" s="1"/>
  <c r="K52" i="11"/>
  <c r="K54" i="11" s="1"/>
  <c r="K57" i="11" s="1"/>
  <c r="L52" i="11"/>
  <c r="L54" i="11" s="1"/>
  <c r="M52" i="11"/>
  <c r="M54" i="11" s="1"/>
  <c r="M57" i="11" s="1"/>
  <c r="N52" i="11"/>
  <c r="N54" i="11" s="1"/>
  <c r="N57" i="11" s="1"/>
  <c r="O52" i="11"/>
  <c r="O54" i="11" s="1"/>
  <c r="O57" i="11" s="1"/>
  <c r="P52" i="11"/>
  <c r="P54" i="11" s="1"/>
  <c r="P55" i="11" s="1"/>
  <c r="P58" i="11" s="1"/>
  <c r="Q52" i="11"/>
  <c r="Q54" i="11" s="1"/>
  <c r="Q57" i="11" s="1"/>
  <c r="R52" i="11"/>
  <c r="R54" i="11" s="1"/>
  <c r="R57" i="11" s="1"/>
  <c r="S52" i="11"/>
  <c r="S54" i="11" s="1"/>
  <c r="S57" i="11" s="1"/>
  <c r="I187" i="6" l="1"/>
  <c r="H187" i="6" s="1"/>
  <c r="B150" i="9" s="1"/>
  <c r="I182" i="6"/>
  <c r="H182" i="6" s="1"/>
  <c r="B145" i="9" s="1"/>
  <c r="I178" i="6"/>
  <c r="H178" i="6" s="1"/>
  <c r="B141" i="9" s="1"/>
  <c r="I173" i="6"/>
  <c r="H173" i="6" s="1"/>
  <c r="B136" i="9" s="1"/>
  <c r="I188" i="6"/>
  <c r="H188" i="6" s="1"/>
  <c r="B151" i="9" s="1"/>
  <c r="I183" i="6"/>
  <c r="H183" i="6" s="1"/>
  <c r="B146" i="9" s="1"/>
  <c r="I179" i="6"/>
  <c r="H179" i="6" s="1"/>
  <c r="B142" i="9" s="1"/>
  <c r="I175" i="6"/>
  <c r="H175" i="6" s="1"/>
  <c r="B138" i="9" s="1"/>
  <c r="I174" i="6"/>
  <c r="H174" i="6" s="1"/>
  <c r="B137" i="9" s="1"/>
  <c r="I170" i="6"/>
  <c r="H170" i="6" s="1"/>
  <c r="B133" i="9" s="1"/>
  <c r="I189" i="6"/>
  <c r="H189" i="6" s="1"/>
  <c r="B152" i="9" s="1"/>
  <c r="I184" i="6"/>
  <c r="H184" i="6" s="1"/>
  <c r="B147" i="9" s="1"/>
  <c r="I180" i="6"/>
  <c r="H180" i="6" s="1"/>
  <c r="B143" i="9" s="1"/>
  <c r="I176" i="6"/>
  <c r="H176" i="6" s="1"/>
  <c r="B139" i="9" s="1"/>
  <c r="I171" i="6"/>
  <c r="H171" i="6" s="1"/>
  <c r="B134" i="9" s="1"/>
  <c r="I186" i="6"/>
  <c r="H186" i="6" s="1"/>
  <c r="B149" i="9" s="1"/>
  <c r="I185" i="6"/>
  <c r="H185" i="6" s="1"/>
  <c r="B148" i="9" s="1"/>
  <c r="I181" i="6"/>
  <c r="H181" i="6" s="1"/>
  <c r="B144" i="9" s="1"/>
  <c r="I177" i="6"/>
  <c r="H177" i="6" s="1"/>
  <c r="B140" i="9" s="1"/>
  <c r="I172" i="6"/>
  <c r="H172" i="6" s="1"/>
  <c r="B135" i="9" s="1"/>
  <c r="L55" i="11"/>
  <c r="L58" i="11" s="1"/>
  <c r="C39" i="11"/>
  <c r="D18" i="13"/>
  <c r="F18" i="13"/>
  <c r="C38" i="11"/>
  <c r="I190" i="6"/>
  <c r="H190" i="6" s="1"/>
  <c r="B153" i="9" s="1"/>
  <c r="I168" i="6"/>
  <c r="I164" i="6"/>
  <c r="I160" i="6"/>
  <c r="I156" i="6"/>
  <c r="I152" i="6"/>
  <c r="I148" i="6"/>
  <c r="I144" i="6"/>
  <c r="I140" i="6"/>
  <c r="I136" i="6"/>
  <c r="I132" i="6"/>
  <c r="I128" i="6"/>
  <c r="I124" i="6"/>
  <c r="I120" i="6"/>
  <c r="I116" i="6"/>
  <c r="I112" i="6"/>
  <c r="I108" i="6"/>
  <c r="I104" i="6"/>
  <c r="I100" i="6"/>
  <c r="I96" i="6"/>
  <c r="I92" i="6"/>
  <c r="I88" i="6"/>
  <c r="I84" i="6"/>
  <c r="I80" i="6"/>
  <c r="I76" i="6"/>
  <c r="I72" i="6"/>
  <c r="I68" i="6"/>
  <c r="I64" i="6"/>
  <c r="I60" i="6"/>
  <c r="I56" i="6"/>
  <c r="I52" i="6"/>
  <c r="I48" i="6"/>
  <c r="I44" i="6"/>
  <c r="I165" i="6"/>
  <c r="I159" i="6"/>
  <c r="I154" i="6"/>
  <c r="I149" i="6"/>
  <c r="I143" i="6"/>
  <c r="I138" i="6"/>
  <c r="I133" i="6"/>
  <c r="I127" i="6"/>
  <c r="I122" i="6"/>
  <c r="I117" i="6"/>
  <c r="I111" i="6"/>
  <c r="I106" i="6"/>
  <c r="I101" i="6"/>
  <c r="I95" i="6"/>
  <c r="I90" i="6"/>
  <c r="I85" i="6"/>
  <c r="I79" i="6"/>
  <c r="I74" i="6"/>
  <c r="I69" i="6"/>
  <c r="I63" i="6"/>
  <c r="I58" i="6"/>
  <c r="I53" i="6"/>
  <c r="I47" i="6"/>
  <c r="I42" i="6"/>
  <c r="I169" i="6"/>
  <c r="I163" i="6"/>
  <c r="I158" i="6"/>
  <c r="I153" i="6"/>
  <c r="I147" i="6"/>
  <c r="I142" i="6"/>
  <c r="I137" i="6"/>
  <c r="I131" i="6"/>
  <c r="I126" i="6"/>
  <c r="I121" i="6"/>
  <c r="I115" i="6"/>
  <c r="I110" i="6"/>
  <c r="I105" i="6"/>
  <c r="I99" i="6"/>
  <c r="I94" i="6"/>
  <c r="I89" i="6"/>
  <c r="I83" i="6"/>
  <c r="I78" i="6"/>
  <c r="I73" i="6"/>
  <c r="I67" i="6"/>
  <c r="I62" i="6"/>
  <c r="I57" i="6"/>
  <c r="I51" i="6"/>
  <c r="I46" i="6"/>
  <c r="I41" i="6"/>
  <c r="I167" i="6"/>
  <c r="I162" i="6"/>
  <c r="I157" i="6"/>
  <c r="I151" i="6"/>
  <c r="I146" i="6"/>
  <c r="I141" i="6"/>
  <c r="I135" i="6"/>
  <c r="I130" i="6"/>
  <c r="I125" i="6"/>
  <c r="I119" i="6"/>
  <c r="I114" i="6"/>
  <c r="I109" i="6"/>
  <c r="I103" i="6"/>
  <c r="I98" i="6"/>
  <c r="I93" i="6"/>
  <c r="I87" i="6"/>
  <c r="I82" i="6"/>
  <c r="I77" i="6"/>
  <c r="I71" i="6"/>
  <c r="I66" i="6"/>
  <c r="I61" i="6"/>
  <c r="I55" i="6"/>
  <c r="I50" i="6"/>
  <c r="I45" i="6"/>
  <c r="F32" i="6"/>
  <c r="I166" i="6"/>
  <c r="I161" i="6"/>
  <c r="I155" i="6"/>
  <c r="I150" i="6"/>
  <c r="I145" i="6"/>
  <c r="I123" i="6"/>
  <c r="I102" i="6"/>
  <c r="I81" i="6"/>
  <c r="I59" i="6"/>
  <c r="I134" i="6"/>
  <c r="I91" i="6"/>
  <c r="I70" i="6"/>
  <c r="I49" i="6"/>
  <c r="I129" i="6"/>
  <c r="I86" i="6"/>
  <c r="I65" i="6"/>
  <c r="I43" i="6"/>
  <c r="I139" i="6"/>
  <c r="I118" i="6"/>
  <c r="I97" i="6"/>
  <c r="I75" i="6"/>
  <c r="I54" i="6"/>
  <c r="I113" i="6"/>
  <c r="I107" i="6"/>
  <c r="H55" i="11"/>
  <c r="H58" i="11" s="1"/>
  <c r="X10" i="11"/>
  <c r="C37" i="11" s="1"/>
  <c r="W10" i="11"/>
  <c r="C36" i="11" s="1"/>
  <c r="L57" i="11"/>
  <c r="P57" i="11"/>
  <c r="U54" i="11"/>
  <c r="S55" i="11"/>
  <c r="S58" i="11" s="1"/>
  <c r="O55" i="11"/>
  <c r="O58" i="11" s="1"/>
  <c r="K55" i="11"/>
  <c r="K58" i="11" s="1"/>
  <c r="G55" i="11"/>
  <c r="G58" i="11" s="1"/>
  <c r="E23" i="11"/>
  <c r="R55" i="11"/>
  <c r="R58" i="11" s="1"/>
  <c r="N55" i="11"/>
  <c r="N58" i="11" s="1"/>
  <c r="J55" i="11"/>
  <c r="J58" i="11" s="1"/>
  <c r="F55" i="11"/>
  <c r="F58" i="11" s="1"/>
  <c r="Q55" i="11"/>
  <c r="Q58" i="11" s="1"/>
  <c r="M55" i="11"/>
  <c r="M58" i="11" s="1"/>
  <c r="I55" i="11"/>
  <c r="I58" i="11" s="1"/>
  <c r="E55" i="11"/>
  <c r="E58" i="11" s="1"/>
  <c r="E18" i="13" l="1"/>
  <c r="I32" i="13" s="1"/>
  <c r="L32" i="13" s="1"/>
  <c r="M32" i="13" s="1"/>
  <c r="I33" i="13"/>
  <c r="L33" i="13" s="1"/>
  <c r="M33" i="13" s="1"/>
  <c r="H145" i="6"/>
  <c r="B108" i="9" s="1"/>
  <c r="H166" i="6"/>
  <c r="B129" i="9" s="1"/>
  <c r="H98" i="6"/>
  <c r="B61" i="9" s="1"/>
  <c r="H119" i="6"/>
  <c r="B82" i="9" s="1"/>
  <c r="H141" i="6"/>
  <c r="B104" i="9" s="1"/>
  <c r="H162" i="6"/>
  <c r="B125" i="9" s="1"/>
  <c r="H94" i="6"/>
  <c r="B57" i="9" s="1"/>
  <c r="H115" i="6"/>
  <c r="B78" i="9" s="1"/>
  <c r="H137" i="6"/>
  <c r="B100" i="9" s="1"/>
  <c r="H158" i="6"/>
  <c r="B121" i="9" s="1"/>
  <c r="H111" i="6"/>
  <c r="B74" i="9" s="1"/>
  <c r="H133" i="6"/>
  <c r="B96" i="9" s="1"/>
  <c r="H154" i="6"/>
  <c r="B117" i="9" s="1"/>
  <c r="H108" i="6"/>
  <c r="B71" i="9" s="1"/>
  <c r="H124" i="6"/>
  <c r="B87" i="9" s="1"/>
  <c r="H140" i="6"/>
  <c r="B103" i="9" s="1"/>
  <c r="H156" i="6"/>
  <c r="B119" i="9" s="1"/>
  <c r="H107" i="6"/>
  <c r="B70" i="9" s="1"/>
  <c r="H97" i="6"/>
  <c r="B60" i="9" s="1"/>
  <c r="H150" i="6"/>
  <c r="B113" i="9" s="1"/>
  <c r="H103" i="6"/>
  <c r="B66" i="9" s="1"/>
  <c r="H125" i="6"/>
  <c r="B88" i="9" s="1"/>
  <c r="H146" i="6"/>
  <c r="B109" i="9" s="1"/>
  <c r="H167" i="6"/>
  <c r="B130" i="9" s="1"/>
  <c r="H99" i="6"/>
  <c r="B62" i="9" s="1"/>
  <c r="H121" i="6"/>
  <c r="B84" i="9" s="1"/>
  <c r="H142" i="6"/>
  <c r="B105" i="9" s="1"/>
  <c r="H163" i="6"/>
  <c r="B126" i="9" s="1"/>
  <c r="H95" i="6"/>
  <c r="B58" i="9" s="1"/>
  <c r="H117" i="6"/>
  <c r="B80" i="9" s="1"/>
  <c r="H138" i="6"/>
  <c r="B101" i="9" s="1"/>
  <c r="H159" i="6"/>
  <c r="B122" i="9" s="1"/>
  <c r="H96" i="6"/>
  <c r="B59" i="9" s="1"/>
  <c r="H112" i="6"/>
  <c r="B75" i="9" s="1"/>
  <c r="H128" i="6"/>
  <c r="B91" i="9" s="1"/>
  <c r="H144" i="6"/>
  <c r="B107" i="9" s="1"/>
  <c r="H160" i="6"/>
  <c r="B123" i="9" s="1"/>
  <c r="H113" i="6"/>
  <c r="B76" i="9" s="1"/>
  <c r="H118" i="6"/>
  <c r="B81" i="9" s="1"/>
  <c r="H102" i="6"/>
  <c r="B65" i="9" s="1"/>
  <c r="H155" i="6"/>
  <c r="B118" i="9" s="1"/>
  <c r="H109" i="6"/>
  <c r="B72" i="9" s="1"/>
  <c r="H130" i="6"/>
  <c r="B93" i="9" s="1"/>
  <c r="H151" i="6"/>
  <c r="B114" i="9" s="1"/>
  <c r="H105" i="6"/>
  <c r="B68" i="9" s="1"/>
  <c r="H126" i="6"/>
  <c r="B89" i="9" s="1"/>
  <c r="H147" i="6"/>
  <c r="B110" i="9" s="1"/>
  <c r="H169" i="6"/>
  <c r="B132" i="9" s="1"/>
  <c r="H101" i="6"/>
  <c r="B64" i="9" s="1"/>
  <c r="H122" i="6"/>
  <c r="B85" i="9" s="1"/>
  <c r="H143" i="6"/>
  <c r="B106" i="9" s="1"/>
  <c r="H165" i="6"/>
  <c r="B128" i="9" s="1"/>
  <c r="H100" i="6"/>
  <c r="B63" i="9" s="1"/>
  <c r="H116" i="6"/>
  <c r="B79" i="9" s="1"/>
  <c r="H132" i="6"/>
  <c r="B95" i="9" s="1"/>
  <c r="H148" i="6"/>
  <c r="B111" i="9" s="1"/>
  <c r="H164" i="6"/>
  <c r="B127" i="9" s="1"/>
  <c r="H139" i="6"/>
  <c r="B102" i="9" s="1"/>
  <c r="H129" i="6"/>
  <c r="B92" i="9" s="1"/>
  <c r="H134" i="6"/>
  <c r="B97" i="9" s="1"/>
  <c r="H123" i="6"/>
  <c r="B86" i="9" s="1"/>
  <c r="H161" i="6"/>
  <c r="B124" i="9" s="1"/>
  <c r="H93" i="6"/>
  <c r="B56" i="9" s="1"/>
  <c r="H114" i="6"/>
  <c r="B77" i="9" s="1"/>
  <c r="H135" i="6"/>
  <c r="B98" i="9" s="1"/>
  <c r="H157" i="6"/>
  <c r="B120" i="9" s="1"/>
  <c r="H110" i="6"/>
  <c r="B73" i="9" s="1"/>
  <c r="H131" i="6"/>
  <c r="B94" i="9" s="1"/>
  <c r="H153" i="6"/>
  <c r="B116" i="9" s="1"/>
  <c r="H106" i="6"/>
  <c r="B69" i="9" s="1"/>
  <c r="H127" i="6"/>
  <c r="B90" i="9" s="1"/>
  <c r="H149" i="6"/>
  <c r="B112" i="9" s="1"/>
  <c r="H104" i="6"/>
  <c r="B67" i="9" s="1"/>
  <c r="H120" i="6"/>
  <c r="B83" i="9" s="1"/>
  <c r="H136" i="6"/>
  <c r="B99" i="9" s="1"/>
  <c r="H152" i="6"/>
  <c r="B115" i="9" s="1"/>
  <c r="H168" i="6"/>
  <c r="B131" i="9" s="1"/>
  <c r="U57" i="11"/>
  <c r="W57" i="11" s="1"/>
  <c r="E11" i="6" s="1"/>
  <c r="G23" i="11"/>
  <c r="F23" i="11"/>
  <c r="U55" i="11"/>
  <c r="U58" i="11"/>
  <c r="W58" i="11" s="1"/>
  <c r="F11" i="6" s="1"/>
  <c r="F38" i="6"/>
  <c r="H38" i="6" s="1"/>
  <c r="L38" i="6" s="1"/>
  <c r="E38" i="6"/>
  <c r="G38" i="6" s="1"/>
  <c r="K38" i="6" s="1"/>
  <c r="I23" i="13" l="1"/>
  <c r="L23" i="13" s="1"/>
  <c r="M23" i="13" s="1"/>
  <c r="I21" i="13"/>
  <c r="L21" i="13" s="1"/>
  <c r="M21" i="13" s="1"/>
  <c r="I30" i="13"/>
  <c r="L30" i="13" s="1"/>
  <c r="M30" i="13" s="1"/>
  <c r="I31" i="13"/>
  <c r="L31" i="13" s="1"/>
  <c r="M31" i="13" s="1"/>
  <c r="I24" i="13"/>
  <c r="L24" i="13" s="1"/>
  <c r="M24" i="13" s="1"/>
  <c r="I27" i="13"/>
  <c r="L27" i="13" s="1"/>
  <c r="M27" i="13" s="1"/>
  <c r="I28" i="13"/>
  <c r="L28" i="13" s="1"/>
  <c r="M28" i="13" s="1"/>
  <c r="I25" i="13"/>
  <c r="L25" i="13" s="1"/>
  <c r="M25" i="13" s="1"/>
  <c r="I22" i="13"/>
  <c r="L22" i="13" s="1"/>
  <c r="M22" i="13" s="1"/>
  <c r="I26" i="13"/>
  <c r="L26" i="13" s="1"/>
  <c r="M26" i="13" s="1"/>
  <c r="I29" i="13"/>
  <c r="L29" i="13" s="1"/>
  <c r="M29" i="13" s="1"/>
  <c r="M189" i="6"/>
  <c r="M187" i="6"/>
  <c r="M185" i="6"/>
  <c r="N183" i="6"/>
  <c r="N177" i="6"/>
  <c r="M175" i="6"/>
  <c r="N188" i="6"/>
  <c r="N186" i="6"/>
  <c r="M183" i="6"/>
  <c r="M181" i="6"/>
  <c r="M179" i="6"/>
  <c r="M177" i="6"/>
  <c r="N175" i="6"/>
  <c r="M172" i="6"/>
  <c r="M188" i="6"/>
  <c r="N184" i="6"/>
  <c r="N178" i="6"/>
  <c r="N176" i="6"/>
  <c r="N173" i="6"/>
  <c r="N189" i="6"/>
  <c r="N187" i="6"/>
  <c r="N185" i="6"/>
  <c r="M184" i="6"/>
  <c r="M182" i="6"/>
  <c r="M180" i="6"/>
  <c r="M178" i="6"/>
  <c r="M176" i="6"/>
  <c r="M173" i="6"/>
  <c r="M171" i="6"/>
  <c r="N181" i="6"/>
  <c r="N179" i="6"/>
  <c r="N174" i="6"/>
  <c r="N172" i="6"/>
  <c r="N170" i="6"/>
  <c r="M174" i="6"/>
  <c r="M170" i="6"/>
  <c r="M186" i="6"/>
  <c r="N182" i="6"/>
  <c r="N180" i="6"/>
  <c r="N171" i="6"/>
  <c r="M190" i="6"/>
  <c r="N190" i="6"/>
  <c r="B7" i="12"/>
  <c r="M158" i="6"/>
  <c r="M157" i="6"/>
  <c r="M156" i="6"/>
  <c r="M155" i="6"/>
  <c r="M154" i="6"/>
  <c r="M153" i="6"/>
  <c r="M152" i="6"/>
  <c r="M151" i="6"/>
  <c r="N150" i="6"/>
  <c r="N149" i="6"/>
  <c r="N148" i="6"/>
  <c r="N147" i="6"/>
  <c r="N146" i="6"/>
  <c r="N145" i="6"/>
  <c r="N144" i="6"/>
  <c r="N143" i="6"/>
  <c r="M126" i="6"/>
  <c r="M125" i="6"/>
  <c r="M124" i="6"/>
  <c r="M123" i="6"/>
  <c r="M122" i="6"/>
  <c r="M121" i="6"/>
  <c r="M120" i="6"/>
  <c r="M119" i="6"/>
  <c r="N118" i="6"/>
  <c r="N117" i="6"/>
  <c r="M113" i="6"/>
  <c r="M112" i="6"/>
  <c r="M111" i="6"/>
  <c r="M110" i="6"/>
  <c r="M109" i="6"/>
  <c r="M108" i="6"/>
  <c r="M107" i="6"/>
  <c r="N106" i="6"/>
  <c r="N105" i="6"/>
  <c r="N104" i="6"/>
  <c r="N103" i="6"/>
  <c r="M98" i="6"/>
  <c r="N97" i="6"/>
  <c r="N96" i="6"/>
  <c r="N95" i="6"/>
  <c r="N94" i="6"/>
  <c r="N93" i="6"/>
  <c r="N92" i="6"/>
  <c r="N91" i="6"/>
  <c r="L85" i="6"/>
  <c r="N84" i="6"/>
  <c r="L83" i="6"/>
  <c r="N82" i="6"/>
  <c r="L81" i="6"/>
  <c r="N80" i="6"/>
  <c r="L79" i="6"/>
  <c r="N78" i="6"/>
  <c r="L77" i="6"/>
  <c r="N76" i="6"/>
  <c r="L75" i="6"/>
  <c r="N74" i="6"/>
  <c r="L73" i="6"/>
  <c r="N72" i="6"/>
  <c r="L71" i="6"/>
  <c r="N70" i="6"/>
  <c r="L69" i="6"/>
  <c r="N68" i="6"/>
  <c r="L67" i="6"/>
  <c r="N66" i="6"/>
  <c r="L65" i="6"/>
  <c r="N64" i="6"/>
  <c r="L63" i="6"/>
  <c r="N62" i="6"/>
  <c r="L61" i="6"/>
  <c r="N60" i="6"/>
  <c r="L59" i="6"/>
  <c r="N58" i="6"/>
  <c r="L57" i="6"/>
  <c r="N56" i="6"/>
  <c r="L55" i="6"/>
  <c r="N54" i="6"/>
  <c r="L53" i="6"/>
  <c r="N52" i="6"/>
  <c r="L51" i="6"/>
  <c r="M169" i="6"/>
  <c r="M168" i="6"/>
  <c r="M167" i="6"/>
  <c r="N166" i="6"/>
  <c r="N165" i="6"/>
  <c r="N164" i="6"/>
  <c r="N163" i="6"/>
  <c r="N162" i="6"/>
  <c r="N161" i="6"/>
  <c r="N160" i="6"/>
  <c r="N159" i="6"/>
  <c r="M142" i="6"/>
  <c r="M141" i="6"/>
  <c r="M140" i="6"/>
  <c r="M139" i="6"/>
  <c r="M138" i="6"/>
  <c r="M137" i="6"/>
  <c r="M136" i="6"/>
  <c r="M135" i="6"/>
  <c r="N134" i="6"/>
  <c r="N133" i="6"/>
  <c r="N132" i="6"/>
  <c r="N131" i="6"/>
  <c r="N130" i="6"/>
  <c r="N129" i="6"/>
  <c r="N128" i="6"/>
  <c r="N127" i="6"/>
  <c r="M116" i="6"/>
  <c r="M115" i="6"/>
  <c r="N114" i="6"/>
  <c r="M102" i="6"/>
  <c r="M101" i="6"/>
  <c r="N100" i="6"/>
  <c r="N99" i="6"/>
  <c r="L91" i="6"/>
  <c r="M90" i="6"/>
  <c r="M89" i="6"/>
  <c r="M88" i="6"/>
  <c r="M87" i="6"/>
  <c r="N86" i="6"/>
  <c r="N85" i="6"/>
  <c r="L84" i="6"/>
  <c r="N83" i="6"/>
  <c r="L82" i="6"/>
  <c r="N81" i="6"/>
  <c r="L80" i="6"/>
  <c r="N79" i="6"/>
  <c r="L78" i="6"/>
  <c r="N77" i="6"/>
  <c r="L76" i="6"/>
  <c r="N75" i="6"/>
  <c r="L74" i="6"/>
  <c r="N73" i="6"/>
  <c r="L72" i="6"/>
  <c r="N71" i="6"/>
  <c r="L70" i="6"/>
  <c r="N69" i="6"/>
  <c r="L68" i="6"/>
  <c r="N67" i="6"/>
  <c r="L66" i="6"/>
  <c r="N65" i="6"/>
  <c r="L64" i="6"/>
  <c r="N63" i="6"/>
  <c r="L62" i="6"/>
  <c r="N61" i="6"/>
  <c r="L60" i="6"/>
  <c r="N59" i="6"/>
  <c r="L58" i="6"/>
  <c r="N167" i="6"/>
  <c r="M166" i="6"/>
  <c r="M162" i="6"/>
  <c r="N158" i="6"/>
  <c r="N154" i="6"/>
  <c r="M149" i="6"/>
  <c r="M145" i="6"/>
  <c r="N141" i="6"/>
  <c r="N137" i="6"/>
  <c r="M132" i="6"/>
  <c r="M128" i="6"/>
  <c r="N124" i="6"/>
  <c r="N120" i="6"/>
  <c r="N115" i="6"/>
  <c r="M114" i="6"/>
  <c r="N110" i="6"/>
  <c r="M105" i="6"/>
  <c r="N101" i="6"/>
  <c r="M100" i="6"/>
  <c r="M95" i="6"/>
  <c r="L95" i="6" s="1"/>
  <c r="M91" i="6"/>
  <c r="N87" i="6"/>
  <c r="M86" i="6"/>
  <c r="M57" i="6"/>
  <c r="M56" i="6"/>
  <c r="M53" i="6"/>
  <c r="M52" i="6"/>
  <c r="L50" i="6"/>
  <c r="N49" i="6"/>
  <c r="L48" i="6"/>
  <c r="N47" i="6"/>
  <c r="L46" i="6"/>
  <c r="N45" i="6"/>
  <c r="L44" i="6"/>
  <c r="N43" i="6"/>
  <c r="L42" i="6"/>
  <c r="N41" i="6"/>
  <c r="N168" i="6"/>
  <c r="M163" i="6"/>
  <c r="L163" i="6" s="1"/>
  <c r="M159" i="6"/>
  <c r="N155" i="6"/>
  <c r="N151" i="6"/>
  <c r="M150" i="6"/>
  <c r="M146" i="6"/>
  <c r="N142" i="6"/>
  <c r="N138" i="6"/>
  <c r="M133" i="6"/>
  <c r="M129" i="6"/>
  <c r="N125" i="6"/>
  <c r="N121" i="6"/>
  <c r="N116" i="6"/>
  <c r="N111" i="6"/>
  <c r="N107" i="6"/>
  <c r="M106" i="6"/>
  <c r="N102" i="6"/>
  <c r="M96" i="6"/>
  <c r="M92" i="6"/>
  <c r="N88" i="6"/>
  <c r="L87" i="6"/>
  <c r="L56" i="6"/>
  <c r="N55" i="6"/>
  <c r="L52" i="6"/>
  <c r="N51" i="6"/>
  <c r="M49" i="6"/>
  <c r="M47" i="6"/>
  <c r="M45" i="6"/>
  <c r="M43" i="6"/>
  <c r="M41" i="6"/>
  <c r="N169" i="6"/>
  <c r="M164" i="6"/>
  <c r="L164" i="6" s="1"/>
  <c r="M160" i="6"/>
  <c r="N156" i="6"/>
  <c r="N152" i="6"/>
  <c r="M147" i="6"/>
  <c r="M143" i="6"/>
  <c r="N139" i="6"/>
  <c r="N135" i="6"/>
  <c r="M134" i="6"/>
  <c r="M130" i="6"/>
  <c r="N126" i="6"/>
  <c r="M165" i="6"/>
  <c r="L165" i="6" s="1"/>
  <c r="N140" i="6"/>
  <c r="M118" i="6"/>
  <c r="N113" i="6"/>
  <c r="L47" i="6"/>
  <c r="M161" i="6"/>
  <c r="M131" i="6"/>
  <c r="L131" i="6" s="1"/>
  <c r="N119" i="6"/>
  <c r="M46" i="6"/>
  <c r="N44" i="6"/>
  <c r="N157" i="6"/>
  <c r="M148" i="6"/>
  <c r="M127" i="6"/>
  <c r="N122" i="6"/>
  <c r="N109" i="6"/>
  <c r="M103" i="6"/>
  <c r="L103" i="6" s="1"/>
  <c r="N98" i="6"/>
  <c r="M97" i="6"/>
  <c r="L97" i="6" s="1"/>
  <c r="N89" i="6"/>
  <c r="M55" i="6"/>
  <c r="M54" i="6"/>
  <c r="M51" i="6"/>
  <c r="N50" i="6"/>
  <c r="M44" i="6"/>
  <c r="L43" i="6"/>
  <c r="N42" i="6"/>
  <c r="N153" i="6"/>
  <c r="M144" i="6"/>
  <c r="N123" i="6"/>
  <c r="M117" i="6"/>
  <c r="N112" i="6"/>
  <c r="M104" i="6"/>
  <c r="M99" i="6"/>
  <c r="N90" i="6"/>
  <c r="M85" i="6"/>
  <c r="M84" i="6"/>
  <c r="M83" i="6"/>
  <c r="M82" i="6"/>
  <c r="M81" i="6"/>
  <c r="M80" i="6"/>
  <c r="M79" i="6"/>
  <c r="M78" i="6"/>
  <c r="M77" i="6"/>
  <c r="M76" i="6"/>
  <c r="M75" i="6"/>
  <c r="M74" i="6"/>
  <c r="M73" i="6"/>
  <c r="M72" i="6"/>
  <c r="M71" i="6"/>
  <c r="M70" i="6"/>
  <c r="M69" i="6"/>
  <c r="M68" i="6"/>
  <c r="M67" i="6"/>
  <c r="M66" i="6"/>
  <c r="M65" i="6"/>
  <c r="M64" i="6"/>
  <c r="M63" i="6"/>
  <c r="M62" i="6"/>
  <c r="M61" i="6"/>
  <c r="M60" i="6"/>
  <c r="M59" i="6"/>
  <c r="M58" i="6"/>
  <c r="N57" i="6"/>
  <c r="L54" i="6"/>
  <c r="N53" i="6"/>
  <c r="M50" i="6"/>
  <c r="L49" i="6"/>
  <c r="N48" i="6"/>
  <c r="M42" i="6"/>
  <c r="M93" i="6"/>
  <c r="L93" i="6" s="1"/>
  <c r="M48" i="6"/>
  <c r="N46" i="6"/>
  <c r="N136" i="6"/>
  <c r="N108" i="6"/>
  <c r="M94" i="6"/>
  <c r="L45" i="6"/>
  <c r="L92" i="6"/>
  <c r="L88" i="6"/>
  <c r="L89" i="6"/>
  <c r="L86" i="6"/>
  <c r="L90" i="6"/>
  <c r="L41" i="6"/>
  <c r="X58" i="11"/>
  <c r="A132" i="7"/>
  <c r="A131" i="7"/>
  <c r="A130" i="7"/>
  <c r="A129" i="7"/>
  <c r="A128" i="7"/>
  <c r="A127" i="7"/>
  <c r="A126" i="7"/>
  <c r="A125" i="7"/>
  <c r="A124" i="7"/>
  <c r="A123" i="7"/>
  <c r="A122" i="7"/>
  <c r="A121" i="7"/>
  <c r="A120" i="7"/>
  <c r="A119" i="7"/>
  <c r="A118" i="7"/>
  <c r="A117" i="7"/>
  <c r="A116" i="7"/>
  <c r="A115" i="7"/>
  <c r="A114" i="7"/>
  <c r="A113" i="7"/>
  <c r="A112" i="7"/>
  <c r="A111" i="7"/>
  <c r="A110" i="7"/>
  <c r="A109" i="7"/>
  <c r="A108" i="7"/>
  <c r="A107" i="7"/>
  <c r="A106" i="7"/>
  <c r="A105" i="7"/>
  <c r="A104" i="7"/>
  <c r="A103" i="7"/>
  <c r="A102" i="7"/>
  <c r="A101" i="7"/>
  <c r="A100" i="7"/>
  <c r="A99" i="7"/>
  <c r="A98" i="7"/>
  <c r="A97" i="7"/>
  <c r="A96" i="7"/>
  <c r="A95" i="7"/>
  <c r="A94" i="7"/>
  <c r="A93" i="7"/>
  <c r="A92" i="7"/>
  <c r="A91" i="7"/>
  <c r="A90" i="7"/>
  <c r="A89" i="7"/>
  <c r="A88" i="7"/>
  <c r="A87" i="7"/>
  <c r="A86" i="7"/>
  <c r="A85" i="7"/>
  <c r="A84" i="7"/>
  <c r="A83" i="7"/>
  <c r="A82" i="7"/>
  <c r="A81" i="7"/>
  <c r="A80" i="7"/>
  <c r="A79" i="7"/>
  <c r="A78" i="7"/>
  <c r="A77" i="7"/>
  <c r="A76" i="7"/>
  <c r="A75" i="7"/>
  <c r="A74" i="7"/>
  <c r="A73" i="7"/>
  <c r="A72" i="7"/>
  <c r="A71" i="7"/>
  <c r="A70" i="7"/>
  <c r="A69" i="7"/>
  <c r="A68" i="7"/>
  <c r="A67" i="7"/>
  <c r="A66" i="7"/>
  <c r="A65" i="7"/>
  <c r="A64" i="7"/>
  <c r="A63" i="7"/>
  <c r="A62" i="7"/>
  <c r="A61" i="7"/>
  <c r="A60" i="7"/>
  <c r="A59" i="7"/>
  <c r="A58" i="7"/>
  <c r="A57" i="7"/>
  <c r="A56" i="7"/>
  <c r="A55" i="7"/>
  <c r="A54" i="7"/>
  <c r="A53" i="7"/>
  <c r="A52" i="7"/>
  <c r="A51" i="7"/>
  <c r="A50" i="7"/>
  <c r="A49" i="7"/>
  <c r="A48" i="7"/>
  <c r="A47" i="7"/>
  <c r="A46" i="7"/>
  <c r="A45" i="7"/>
  <c r="A44" i="7"/>
  <c r="A43" i="7"/>
  <c r="A42" i="7"/>
  <c r="A41" i="7"/>
  <c r="A40" i="7"/>
  <c r="A39" i="7"/>
  <c r="A38" i="7"/>
  <c r="A37" i="7"/>
  <c r="A36" i="7"/>
  <c r="A35" i="7"/>
  <c r="A34" i="7"/>
  <c r="A33" i="7"/>
  <c r="A32" i="7"/>
  <c r="A31" i="7"/>
  <c r="A30" i="7"/>
  <c r="A29" i="7"/>
  <c r="A28" i="7"/>
  <c r="A27" i="7"/>
  <c r="A26" i="7"/>
  <c r="A25" i="7"/>
  <c r="A24" i="7"/>
  <c r="A23" i="7"/>
  <c r="A22" i="7"/>
  <c r="A21" i="7"/>
  <c r="A20" i="7"/>
  <c r="A19" i="7"/>
  <c r="A18" i="7"/>
  <c r="A17" i="7"/>
  <c r="A16" i="7"/>
  <c r="A15" i="7"/>
  <c r="A14" i="7"/>
  <c r="A13" i="7"/>
  <c r="A12" i="7"/>
  <c r="A11" i="7"/>
  <c r="A10" i="7"/>
  <c r="A9" i="7"/>
  <c r="A8" i="7"/>
  <c r="A7" i="7"/>
  <c r="A6" i="7"/>
  <c r="A5" i="7"/>
  <c r="A4" i="7"/>
  <c r="A3" i="7"/>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A4" i="4"/>
  <c r="A3" i="4"/>
  <c r="A132" i="5"/>
  <c r="A131" i="5"/>
  <c r="A130" i="5"/>
  <c r="A129" i="5"/>
  <c r="A128" i="5"/>
  <c r="A127" i="5"/>
  <c r="A126" i="5"/>
  <c r="A125" i="5"/>
  <c r="A124" i="5"/>
  <c r="A123" i="5"/>
  <c r="A122" i="5"/>
  <c r="A121" i="5"/>
  <c r="A120" i="5"/>
  <c r="A119" i="5"/>
  <c r="A118" i="5"/>
  <c r="A117" i="5"/>
  <c r="A116" i="5"/>
  <c r="A115" i="5"/>
  <c r="A114" i="5"/>
  <c r="A113" i="5"/>
  <c r="A112" i="5"/>
  <c r="A111" i="5"/>
  <c r="A110" i="5"/>
  <c r="A109" i="5"/>
  <c r="A108" i="5"/>
  <c r="A107" i="5"/>
  <c r="A106" i="5"/>
  <c r="A105" i="5"/>
  <c r="A104" i="5"/>
  <c r="A103" i="5"/>
  <c r="A102" i="5"/>
  <c r="A101" i="5"/>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1" i="5"/>
  <c r="A10" i="5"/>
  <c r="A9" i="5"/>
  <c r="A8" i="5"/>
  <c r="A7" i="5"/>
  <c r="A6" i="5"/>
  <c r="A5" i="5"/>
  <c r="A4" i="5"/>
  <c r="A3" i="5"/>
  <c r="A132" i="9"/>
  <c r="A131" i="9"/>
  <c r="A130" i="9"/>
  <c r="A129" i="9"/>
  <c r="A128" i="9"/>
  <c r="A127" i="9"/>
  <c r="A126" i="9"/>
  <c r="A125" i="9"/>
  <c r="A124" i="9"/>
  <c r="A123" i="9"/>
  <c r="A122" i="9"/>
  <c r="A121" i="9"/>
  <c r="A120" i="9"/>
  <c r="A119" i="9"/>
  <c r="A118" i="9"/>
  <c r="A117" i="9"/>
  <c r="A116" i="9"/>
  <c r="A115" i="9"/>
  <c r="A114" i="9"/>
  <c r="A113" i="9"/>
  <c r="A112" i="9"/>
  <c r="A111" i="9"/>
  <c r="A110" i="9"/>
  <c r="A109" i="9"/>
  <c r="A108" i="9"/>
  <c r="A107" i="9"/>
  <c r="A106" i="9"/>
  <c r="A105" i="9"/>
  <c r="A104" i="9"/>
  <c r="A103" i="9"/>
  <c r="A102" i="9"/>
  <c r="A101" i="9"/>
  <c r="A100" i="9"/>
  <c r="A99" i="9"/>
  <c r="A98" i="9"/>
  <c r="A97" i="9"/>
  <c r="A96" i="9"/>
  <c r="A95" i="9"/>
  <c r="A94" i="9"/>
  <c r="A93" i="9"/>
  <c r="A92" i="9"/>
  <c r="A91" i="9"/>
  <c r="A90" i="9"/>
  <c r="A89" i="9"/>
  <c r="A88" i="9"/>
  <c r="A87" i="9"/>
  <c r="A86" i="9"/>
  <c r="A85" i="9"/>
  <c r="A84" i="9"/>
  <c r="A83" i="9"/>
  <c r="A82" i="9"/>
  <c r="A81" i="9"/>
  <c r="A80" i="9"/>
  <c r="A79" i="9"/>
  <c r="A78" i="9"/>
  <c r="A77" i="9"/>
  <c r="A76" i="9"/>
  <c r="A75" i="9"/>
  <c r="A74" i="9"/>
  <c r="A73" i="9"/>
  <c r="A72" i="9"/>
  <c r="A71" i="9"/>
  <c r="A70" i="9"/>
  <c r="A69" i="9"/>
  <c r="A68" i="9"/>
  <c r="A67" i="9"/>
  <c r="A66" i="9"/>
  <c r="A65" i="9"/>
  <c r="A64" i="9"/>
  <c r="A63" i="9"/>
  <c r="A62" i="9"/>
  <c r="A61" i="9"/>
  <c r="A60" i="9"/>
  <c r="A59" i="9"/>
  <c r="A58" i="9"/>
  <c r="A57" i="9"/>
  <c r="A56" i="9"/>
  <c r="A55" i="9"/>
  <c r="A54" i="9"/>
  <c r="A53" i="9"/>
  <c r="A52" i="9"/>
  <c r="A51" i="9"/>
  <c r="A50" i="9"/>
  <c r="A49" i="9"/>
  <c r="A48" i="9"/>
  <c r="A47" i="9"/>
  <c r="A46" i="9"/>
  <c r="A45" i="9"/>
  <c r="A44" i="9"/>
  <c r="A43" i="9"/>
  <c r="A42" i="9"/>
  <c r="A41" i="9"/>
  <c r="A40" i="9"/>
  <c r="A39" i="9"/>
  <c r="A38" i="9"/>
  <c r="A37" i="9"/>
  <c r="A36" i="9"/>
  <c r="A35" i="9"/>
  <c r="A34" i="9"/>
  <c r="A33" i="9"/>
  <c r="A32" i="9"/>
  <c r="A31" i="9"/>
  <c r="A30" i="9"/>
  <c r="A29" i="9"/>
  <c r="A28" i="9"/>
  <c r="A27" i="9"/>
  <c r="A26" i="9"/>
  <c r="A25" i="9"/>
  <c r="A24" i="9"/>
  <c r="A23" i="9"/>
  <c r="A22" i="9"/>
  <c r="A21" i="9"/>
  <c r="A20" i="9"/>
  <c r="A19" i="9"/>
  <c r="A18" i="9"/>
  <c r="A17" i="9"/>
  <c r="A16" i="9"/>
  <c r="A15" i="9"/>
  <c r="A14" i="9"/>
  <c r="A13" i="9"/>
  <c r="A12" i="9"/>
  <c r="A11" i="9"/>
  <c r="A10" i="9"/>
  <c r="A9" i="9"/>
  <c r="A8" i="9"/>
  <c r="A7" i="9"/>
  <c r="A6" i="9"/>
  <c r="A5" i="9"/>
  <c r="A4" i="9"/>
  <c r="A3" i="9"/>
  <c r="A132" i="10"/>
  <c r="A131" i="10"/>
  <c r="A130" i="10"/>
  <c r="A129" i="10"/>
  <c r="A128" i="10"/>
  <c r="A127" i="10"/>
  <c r="A126" i="10"/>
  <c r="A125" i="10"/>
  <c r="A124" i="10"/>
  <c r="A123" i="10"/>
  <c r="A122" i="10"/>
  <c r="A121" i="10"/>
  <c r="A120" i="10"/>
  <c r="A119" i="10"/>
  <c r="A118" i="10"/>
  <c r="A117" i="10"/>
  <c r="A116" i="10"/>
  <c r="A115" i="10"/>
  <c r="A114" i="10"/>
  <c r="A113" i="10"/>
  <c r="A112" i="10"/>
  <c r="A111" i="10"/>
  <c r="A110" i="10"/>
  <c r="A109" i="10"/>
  <c r="A108" i="10"/>
  <c r="A107" i="10"/>
  <c r="A106" i="10"/>
  <c r="A105" i="10"/>
  <c r="A104" i="10"/>
  <c r="A103" i="10"/>
  <c r="A102" i="10"/>
  <c r="A101" i="10"/>
  <c r="A100" i="10"/>
  <c r="A99" i="10"/>
  <c r="A98" i="10"/>
  <c r="A97" i="10"/>
  <c r="A96" i="10"/>
  <c r="A95" i="10"/>
  <c r="A94" i="10"/>
  <c r="A93" i="10"/>
  <c r="A92" i="10"/>
  <c r="A91" i="10"/>
  <c r="A90" i="10"/>
  <c r="A89" i="10"/>
  <c r="A88" i="10"/>
  <c r="A87" i="10"/>
  <c r="A86" i="10"/>
  <c r="A85" i="10"/>
  <c r="A84" i="10"/>
  <c r="A83" i="10"/>
  <c r="A82" i="10"/>
  <c r="A81" i="10"/>
  <c r="A80" i="10"/>
  <c r="A79" i="10"/>
  <c r="A78" i="10"/>
  <c r="A77" i="10"/>
  <c r="A76" i="10"/>
  <c r="A75" i="10"/>
  <c r="A74" i="10"/>
  <c r="A73" i="10"/>
  <c r="A72" i="10"/>
  <c r="A71" i="10"/>
  <c r="A70" i="10"/>
  <c r="A69" i="10"/>
  <c r="A68" i="10"/>
  <c r="A67" i="10"/>
  <c r="A66" i="10"/>
  <c r="A65" i="10"/>
  <c r="A64" i="10"/>
  <c r="A63" i="10"/>
  <c r="A62" i="10"/>
  <c r="A61" i="10"/>
  <c r="A60" i="10"/>
  <c r="A59" i="10"/>
  <c r="A58" i="10"/>
  <c r="A57" i="10"/>
  <c r="A56" i="10"/>
  <c r="A55" i="10"/>
  <c r="A54" i="10"/>
  <c r="A53" i="10"/>
  <c r="A52" i="10"/>
  <c r="A51" i="10"/>
  <c r="A50" i="10"/>
  <c r="A49" i="10"/>
  <c r="A48" i="10"/>
  <c r="A47" i="10"/>
  <c r="A46" i="10"/>
  <c r="A45" i="10"/>
  <c r="A44" i="10"/>
  <c r="A43" i="10"/>
  <c r="A42" i="10"/>
  <c r="A41" i="10"/>
  <c r="A40" i="10"/>
  <c r="A39" i="10"/>
  <c r="A38" i="10"/>
  <c r="A37" i="10"/>
  <c r="A36" i="10"/>
  <c r="A35" i="10"/>
  <c r="A34" i="10"/>
  <c r="A33" i="10"/>
  <c r="A32" i="10"/>
  <c r="A31" i="10"/>
  <c r="A30" i="10"/>
  <c r="A29" i="10"/>
  <c r="A28" i="10"/>
  <c r="A27" i="10"/>
  <c r="A26" i="10"/>
  <c r="A25" i="10"/>
  <c r="A24" i="10"/>
  <c r="A23" i="10"/>
  <c r="A22" i="10"/>
  <c r="A21" i="10"/>
  <c r="A20" i="10"/>
  <c r="A19" i="10"/>
  <c r="A18" i="10"/>
  <c r="A17" i="10"/>
  <c r="A16" i="10"/>
  <c r="A15" i="10"/>
  <c r="A14" i="10"/>
  <c r="A13" i="10"/>
  <c r="A12" i="10"/>
  <c r="A11" i="10"/>
  <c r="A10" i="10"/>
  <c r="A9" i="10"/>
  <c r="A8" i="10"/>
  <c r="A7" i="10"/>
  <c r="A6" i="10"/>
  <c r="A5" i="10"/>
  <c r="A4" i="10"/>
  <c r="A3" i="10"/>
  <c r="D59" i="6"/>
  <c r="D53" i="6"/>
  <c r="D51" i="6"/>
  <c r="D48" i="6"/>
  <c r="D46" i="6"/>
  <c r="D44" i="6"/>
  <c r="D42" i="6"/>
  <c r="D41" i="6"/>
  <c r="D40" i="6"/>
  <c r="D168" i="6"/>
  <c r="L132" i="6" l="1"/>
  <c r="L110" i="6"/>
  <c r="I40" i="13"/>
  <c r="M18" i="11" s="1"/>
  <c r="L177" i="6"/>
  <c r="B140" i="7" s="1"/>
  <c r="L188" i="6"/>
  <c r="B151" i="7" s="1"/>
  <c r="L176" i="6"/>
  <c r="B139" i="7" s="1"/>
  <c r="L174" i="6"/>
  <c r="B137" i="7" s="1"/>
  <c r="L184" i="6"/>
  <c r="B147" i="7" s="1"/>
  <c r="L185" i="6"/>
  <c r="B148" i="7" s="1"/>
  <c r="L178" i="6"/>
  <c r="B141" i="7" s="1"/>
  <c r="L186" i="6"/>
  <c r="B149" i="7" s="1"/>
  <c r="L183" i="6"/>
  <c r="B146" i="7" s="1"/>
  <c r="L170" i="6"/>
  <c r="B133" i="7" s="1"/>
  <c r="L173" i="6"/>
  <c r="B136" i="7" s="1"/>
  <c r="L182" i="6"/>
  <c r="B145" i="7" s="1"/>
  <c r="L179" i="6"/>
  <c r="B142" i="7" s="1"/>
  <c r="L172" i="6"/>
  <c r="B135" i="7" s="1"/>
  <c r="L181" i="6"/>
  <c r="B144" i="7" s="1"/>
  <c r="L175" i="6"/>
  <c r="B138" i="7" s="1"/>
  <c r="L187" i="6"/>
  <c r="B150" i="7" s="1"/>
  <c r="L171" i="6"/>
  <c r="B134" i="7" s="1"/>
  <c r="L180" i="6"/>
  <c r="B143" i="7" s="1"/>
  <c r="L189" i="6"/>
  <c r="B152" i="7" s="1"/>
  <c r="L141" i="6"/>
  <c r="L146" i="6"/>
  <c r="L143" i="6"/>
  <c r="L190" i="6"/>
  <c r="B153" i="7" s="1"/>
  <c r="L127" i="6"/>
  <c r="L99" i="6"/>
  <c r="L105" i="6"/>
  <c r="L115" i="6"/>
  <c r="L121" i="6"/>
  <c r="L144" i="6"/>
  <c r="L148" i="6"/>
  <c r="L160" i="6"/>
  <c r="L150" i="6"/>
  <c r="L114" i="6"/>
  <c r="L128" i="6"/>
  <c r="L151" i="6"/>
  <c r="L153" i="6"/>
  <c r="L157" i="6"/>
  <c r="L94" i="6"/>
  <c r="L104" i="6"/>
  <c r="L96" i="6"/>
  <c r="L159" i="6"/>
  <c r="L101" i="6"/>
  <c r="L116" i="6"/>
  <c r="L138" i="6"/>
  <c r="L122" i="6"/>
  <c r="L129" i="6"/>
  <c r="L142" i="6"/>
  <c r="L107" i="6"/>
  <c r="L111" i="6"/>
  <c r="L126" i="6"/>
  <c r="L118" i="6"/>
  <c r="L130" i="6"/>
  <c r="L133" i="6"/>
  <c r="L100" i="6"/>
  <c r="L145" i="6"/>
  <c r="L162" i="6"/>
  <c r="L102" i="6"/>
  <c r="L135" i="6"/>
  <c r="L139" i="6"/>
  <c r="L167" i="6"/>
  <c r="L108" i="6"/>
  <c r="L112" i="6"/>
  <c r="L119" i="6"/>
  <c r="L123" i="6"/>
  <c r="L155" i="6"/>
  <c r="L117" i="6"/>
  <c r="L161" i="6"/>
  <c r="L134" i="6"/>
  <c r="L147" i="6"/>
  <c r="L106" i="6"/>
  <c r="L149" i="6"/>
  <c r="L166" i="6"/>
  <c r="L136" i="6"/>
  <c r="L140" i="6"/>
  <c r="L168" i="6"/>
  <c r="L109" i="6"/>
  <c r="L113" i="6"/>
  <c r="L120" i="6"/>
  <c r="L124" i="6"/>
  <c r="L152" i="6"/>
  <c r="L156" i="6"/>
  <c r="L137" i="6"/>
  <c r="L169" i="6"/>
  <c r="L98" i="6"/>
  <c r="L125" i="6"/>
  <c r="L154" i="6"/>
  <c r="L158" i="6"/>
  <c r="D55" i="6"/>
  <c r="D43" i="6"/>
  <c r="D45" i="6"/>
  <c r="D47" i="6"/>
  <c r="D49" i="6"/>
  <c r="D57" i="6"/>
  <c r="D52" i="6"/>
  <c r="D56" i="6"/>
  <c r="D50" i="6"/>
  <c r="D54" i="6"/>
  <c r="D58" i="6"/>
  <c r="D67" i="6"/>
  <c r="D60" i="6"/>
  <c r="D61" i="6"/>
  <c r="D63" i="6"/>
  <c r="D64" i="6"/>
  <c r="D65" i="6"/>
  <c r="D62" i="6"/>
  <c r="D66" i="6"/>
  <c r="D152" i="6"/>
  <c r="D74" i="6"/>
  <c r="D92" i="6"/>
  <c r="D121" i="6"/>
  <c r="D71" i="6"/>
  <c r="D72" i="6"/>
  <c r="D88" i="6"/>
  <c r="D117" i="6"/>
  <c r="D132" i="6"/>
  <c r="D86" i="6"/>
  <c r="D119" i="6"/>
  <c r="D87" i="6"/>
  <c r="D91" i="6"/>
  <c r="D102" i="6"/>
  <c r="D113" i="6"/>
  <c r="D135" i="6"/>
  <c r="D148" i="6"/>
  <c r="D163" i="6"/>
  <c r="D90" i="6"/>
  <c r="D103" i="6"/>
  <c r="D115" i="6"/>
  <c r="D137" i="6"/>
  <c r="D165" i="6"/>
  <c r="D166" i="6"/>
  <c r="D162" i="6"/>
  <c r="D158" i="6"/>
  <c r="D154" i="6"/>
  <c r="D150" i="6"/>
  <c r="D146" i="6"/>
  <c r="D142" i="6"/>
  <c r="D138" i="6"/>
  <c r="D134" i="6"/>
  <c r="D130" i="6"/>
  <c r="D126" i="6"/>
  <c r="D122" i="6"/>
  <c r="D118" i="6"/>
  <c r="D114" i="6"/>
  <c r="D110" i="6"/>
  <c r="D106" i="6"/>
  <c r="D157" i="6"/>
  <c r="D156" i="6"/>
  <c r="D155" i="6"/>
  <c r="D141" i="6"/>
  <c r="D140" i="6"/>
  <c r="D139" i="6"/>
  <c r="D125" i="6"/>
  <c r="D124" i="6"/>
  <c r="D123" i="6"/>
  <c r="D109" i="6"/>
  <c r="D108" i="6"/>
  <c r="D107" i="6"/>
  <c r="D101" i="6"/>
  <c r="D97" i="6"/>
  <c r="D93" i="6"/>
  <c r="D89" i="6"/>
  <c r="D85" i="6"/>
  <c r="D81" i="6"/>
  <c r="D77" i="6"/>
  <c r="D73" i="6"/>
  <c r="D69" i="6"/>
  <c r="D161" i="6"/>
  <c r="D160" i="6"/>
  <c r="D159" i="6"/>
  <c r="D145" i="6"/>
  <c r="D144" i="6"/>
  <c r="D143" i="6"/>
  <c r="D129" i="6"/>
  <c r="D128" i="6"/>
  <c r="D127" i="6"/>
  <c r="D75" i="6"/>
  <c r="D82" i="6"/>
  <c r="D83" i="6"/>
  <c r="D84" i="6"/>
  <c r="D98" i="6"/>
  <c r="D99" i="6"/>
  <c r="D100" i="6"/>
  <c r="D105" i="6"/>
  <c r="D112" i="6"/>
  <c r="D120" i="6"/>
  <c r="D131" i="6"/>
  <c r="D133" i="6"/>
  <c r="D151" i="6"/>
  <c r="D153" i="6"/>
  <c r="D164" i="6"/>
  <c r="D68" i="6"/>
  <c r="D70" i="6"/>
  <c r="D76" i="6"/>
  <c r="D78" i="6"/>
  <c r="D79" i="6"/>
  <c r="D80" i="6"/>
  <c r="D94" i="6"/>
  <c r="D95" i="6"/>
  <c r="D96" i="6"/>
  <c r="D104" i="6"/>
  <c r="D111" i="6"/>
  <c r="D116" i="6"/>
  <c r="D136" i="6"/>
  <c r="D147" i="6"/>
  <c r="D149" i="6"/>
  <c r="D167" i="6"/>
  <c r="D169" i="6"/>
  <c r="M23" i="11" l="1"/>
  <c r="C32" i="11" s="1"/>
  <c r="C29" i="11"/>
  <c r="E26" i="6"/>
  <c r="E20" i="6" l="1"/>
  <c r="E21" i="6"/>
  <c r="E13" i="6"/>
  <c r="B22" i="7"/>
  <c r="B26" i="7"/>
  <c r="B30" i="7"/>
  <c r="B115" i="7"/>
  <c r="B6" i="7"/>
  <c r="B10" i="7"/>
  <c r="B3" i="7"/>
  <c r="B7" i="7"/>
  <c r="B13" i="7"/>
  <c r="B17" i="7"/>
  <c r="B23" i="7"/>
  <c r="B27" i="7"/>
  <c r="B11" i="7"/>
  <c r="B14" i="7"/>
  <c r="B18" i="7"/>
  <c r="B20" i="7"/>
  <c r="B24" i="7"/>
  <c r="B28" i="7"/>
  <c r="B84" i="7"/>
  <c r="B131" i="7"/>
  <c r="B15" i="7"/>
  <c r="B19" i="7"/>
  <c r="B5" i="7"/>
  <c r="B9" i="7"/>
  <c r="B21" i="7"/>
  <c r="B25" i="7"/>
  <c r="B29" i="7"/>
  <c r="B37" i="7"/>
  <c r="B55" i="7"/>
  <c r="B4" i="7"/>
  <c r="B8" i="7"/>
  <c r="B12" i="7"/>
  <c r="B16" i="7"/>
  <c r="B110" i="7"/>
  <c r="B127" i="7"/>
  <c r="B36" i="7"/>
  <c r="B104" i="7"/>
  <c r="B117" i="7"/>
  <c r="B66" i="7"/>
  <c r="B76" i="7"/>
  <c r="B34" i="7"/>
  <c r="B39" i="7"/>
  <c r="B63" i="7"/>
  <c r="B123" i="7"/>
  <c r="B88" i="7"/>
  <c r="B105" i="7"/>
  <c r="B53" i="7"/>
  <c r="B74" i="7"/>
  <c r="B47" i="7"/>
  <c r="B44" i="7"/>
  <c r="B119" i="7"/>
  <c r="B125" i="7"/>
  <c r="B100" i="7"/>
  <c r="B111" i="7"/>
  <c r="B67" i="7"/>
  <c r="B32" i="7"/>
  <c r="B103" i="7"/>
  <c r="B113" i="7"/>
  <c r="B78" i="7"/>
  <c r="B98" i="7"/>
  <c r="B80" i="7"/>
  <c r="B99" i="7"/>
  <c r="B45" i="7"/>
  <c r="B52" i="7"/>
  <c r="B69" i="7"/>
  <c r="B96" i="7"/>
  <c r="B40" i="7"/>
  <c r="B118" i="7"/>
  <c r="B121" i="7"/>
  <c r="B43" i="7"/>
  <c r="B94" i="7"/>
  <c r="B90" i="7"/>
  <c r="B60" i="7"/>
  <c r="B77" i="7"/>
  <c r="B54" i="7"/>
  <c r="B95" i="7"/>
  <c r="B112" i="7"/>
  <c r="B42" i="7"/>
  <c r="B75" i="7"/>
  <c r="B46" i="7"/>
  <c r="B48" i="7"/>
  <c r="B120" i="7"/>
  <c r="B129" i="7"/>
  <c r="B50" i="7"/>
  <c r="B35" i="7"/>
  <c r="B41" i="7"/>
  <c r="B130" i="7"/>
  <c r="B92" i="7"/>
  <c r="B70" i="7"/>
  <c r="B85" i="7"/>
  <c r="B83" i="7"/>
  <c r="B38" i="7"/>
  <c r="B56" i="7"/>
  <c r="B73" i="7"/>
  <c r="B126" i="7"/>
  <c r="B33" i="7"/>
  <c r="B107" i="7"/>
  <c r="B72" i="7"/>
  <c r="B93" i="7"/>
  <c r="B82" i="7"/>
  <c r="B51" i="7"/>
  <c r="B58" i="7"/>
  <c r="B31" i="7"/>
  <c r="B68" i="7"/>
  <c r="B91" i="7"/>
  <c r="B64" i="7"/>
  <c r="B81" i="7"/>
  <c r="B79" i="7"/>
  <c r="B57" i="7"/>
  <c r="B122" i="7"/>
  <c r="B87" i="7"/>
  <c r="B101" i="7"/>
  <c r="B106" i="7"/>
  <c r="B71" i="7"/>
  <c r="B89" i="7"/>
  <c r="B128" i="7"/>
  <c r="B65" i="7"/>
  <c r="B59" i="7"/>
  <c r="B116" i="7"/>
  <c r="B62" i="7"/>
  <c r="B124" i="7"/>
  <c r="B102" i="7"/>
  <c r="B109" i="7"/>
  <c r="B49" i="7"/>
  <c r="B132" i="7"/>
  <c r="B114" i="7"/>
  <c r="B61" i="7"/>
  <c r="B108" i="7"/>
  <c r="B86" i="7"/>
  <c r="B97" i="7"/>
  <c r="B6" i="12" l="1"/>
  <c r="E16" i="6"/>
  <c r="E12" i="6"/>
  <c r="E185" i="6" l="1"/>
  <c r="E183" i="6"/>
  <c r="E181" i="6"/>
  <c r="E174" i="6"/>
  <c r="E170" i="6"/>
  <c r="E184" i="6"/>
  <c r="E180" i="6"/>
  <c r="E173" i="6"/>
  <c r="E188" i="6"/>
  <c r="E186" i="6"/>
  <c r="E175" i="6"/>
  <c r="E182" i="6"/>
  <c r="E171" i="6"/>
  <c r="E189" i="6"/>
  <c r="E187" i="6"/>
  <c r="E176" i="6"/>
  <c r="E179" i="6"/>
  <c r="E177" i="6"/>
  <c r="E172" i="6"/>
  <c r="E178" i="6"/>
  <c r="E190" i="6"/>
  <c r="E22" i="6"/>
  <c r="E166" i="6"/>
  <c r="E158" i="6"/>
  <c r="E150" i="6"/>
  <c r="E142" i="6"/>
  <c r="E134" i="6"/>
  <c r="E126" i="6"/>
  <c r="E118" i="6"/>
  <c r="E113" i="6"/>
  <c r="E106" i="6"/>
  <c r="E103" i="6"/>
  <c r="E96" i="6"/>
  <c r="E94" i="6"/>
  <c r="G94" i="6" s="1"/>
  <c r="E90" i="6"/>
  <c r="E86" i="6"/>
  <c r="G86" i="6" s="1"/>
  <c r="E82" i="6"/>
  <c r="G82" i="6" s="1"/>
  <c r="E78" i="6"/>
  <c r="G78" i="6" s="1"/>
  <c r="E74" i="6"/>
  <c r="G74" i="6" s="1"/>
  <c r="E70" i="6"/>
  <c r="G70" i="6" s="1"/>
  <c r="E66" i="6"/>
  <c r="G66" i="6" s="1"/>
  <c r="E62" i="6"/>
  <c r="G62" i="6" s="1"/>
  <c r="E58" i="6"/>
  <c r="G58" i="6" s="1"/>
  <c r="E54" i="6"/>
  <c r="G54" i="6" s="1"/>
  <c r="E50" i="6"/>
  <c r="G50" i="6" s="1"/>
  <c r="E46" i="6"/>
  <c r="G46" i="6" s="1"/>
  <c r="E42" i="6"/>
  <c r="G42" i="6" s="1"/>
  <c r="E169" i="6"/>
  <c r="E165" i="6"/>
  <c r="E163" i="6"/>
  <c r="E161" i="6"/>
  <c r="E157" i="6"/>
  <c r="E155" i="6"/>
  <c r="E153" i="6"/>
  <c r="E149" i="6"/>
  <c r="E147" i="6"/>
  <c r="E145" i="6"/>
  <c r="E141" i="6"/>
  <c r="G141" i="6" s="1"/>
  <c r="E139" i="6"/>
  <c r="E137" i="6"/>
  <c r="E133" i="6"/>
  <c r="E131" i="6"/>
  <c r="E129" i="6"/>
  <c r="E125" i="6"/>
  <c r="E123" i="6"/>
  <c r="E121" i="6"/>
  <c r="E119" i="6"/>
  <c r="E167" i="6"/>
  <c r="E159" i="6"/>
  <c r="E151" i="6"/>
  <c r="G151" i="6" s="1"/>
  <c r="E143" i="6"/>
  <c r="E135" i="6"/>
  <c r="E127" i="6"/>
  <c r="E117" i="6"/>
  <c r="E115" i="6"/>
  <c r="E109" i="6"/>
  <c r="E107" i="6"/>
  <c r="E104" i="6"/>
  <c r="E100" i="6"/>
  <c r="E98" i="6"/>
  <c r="E95" i="6"/>
  <c r="E92" i="6"/>
  <c r="G92" i="6" s="1"/>
  <c r="E91" i="6"/>
  <c r="E88" i="6"/>
  <c r="G88" i="6" s="1"/>
  <c r="E84" i="6"/>
  <c r="G84" i="6" s="1"/>
  <c r="E80" i="6"/>
  <c r="G80" i="6" s="1"/>
  <c r="E76" i="6"/>
  <c r="G76" i="6" s="1"/>
  <c r="E72" i="6"/>
  <c r="G72" i="6" s="1"/>
  <c r="E68" i="6"/>
  <c r="G68" i="6" s="1"/>
  <c r="E64" i="6"/>
  <c r="G64" i="6" s="1"/>
  <c r="E60" i="6"/>
  <c r="G60" i="6" s="1"/>
  <c r="E56" i="6"/>
  <c r="G56" i="6" s="1"/>
  <c r="E52" i="6"/>
  <c r="G52" i="6" s="1"/>
  <c r="E48" i="6"/>
  <c r="G48" i="6" s="1"/>
  <c r="E44" i="6"/>
  <c r="G44" i="6" s="1"/>
  <c r="E168" i="6"/>
  <c r="E164" i="6"/>
  <c r="E162" i="6"/>
  <c r="E160" i="6"/>
  <c r="E156" i="6"/>
  <c r="E154" i="6"/>
  <c r="E152" i="6"/>
  <c r="E148" i="6"/>
  <c r="E146" i="6"/>
  <c r="E138" i="6"/>
  <c r="E130" i="6"/>
  <c r="E122" i="6"/>
  <c r="E116" i="6"/>
  <c r="E112" i="6"/>
  <c r="E110" i="6"/>
  <c r="E101" i="6"/>
  <c r="E85" i="6"/>
  <c r="G85" i="6" s="1"/>
  <c r="E83" i="6"/>
  <c r="G83" i="6" s="1"/>
  <c r="E81" i="6"/>
  <c r="G81" i="6" s="1"/>
  <c r="E79" i="6"/>
  <c r="G79" i="6" s="1"/>
  <c r="E77" i="6"/>
  <c r="G77" i="6" s="1"/>
  <c r="E75" i="6"/>
  <c r="G75" i="6" s="1"/>
  <c r="E73" i="6"/>
  <c r="G73" i="6" s="1"/>
  <c r="E71" i="6"/>
  <c r="G71" i="6" s="1"/>
  <c r="E69" i="6"/>
  <c r="G69" i="6" s="1"/>
  <c r="E67" i="6"/>
  <c r="G67" i="6" s="1"/>
  <c r="E65" i="6"/>
  <c r="G65" i="6" s="1"/>
  <c r="E63" i="6"/>
  <c r="G63" i="6" s="1"/>
  <c r="E61" i="6"/>
  <c r="G61" i="6" s="1"/>
  <c r="E59" i="6"/>
  <c r="G59" i="6" s="1"/>
  <c r="E57" i="6"/>
  <c r="G57" i="6" s="1"/>
  <c r="E55" i="6"/>
  <c r="G55" i="6" s="1"/>
  <c r="E53" i="6"/>
  <c r="G53" i="6" s="1"/>
  <c r="E51" i="6"/>
  <c r="G51" i="6" s="1"/>
  <c r="E49" i="6"/>
  <c r="G49" i="6" s="1"/>
  <c r="E43" i="6"/>
  <c r="G43" i="6" s="1"/>
  <c r="E108" i="6"/>
  <c r="E87" i="6"/>
  <c r="G87" i="6" s="1"/>
  <c r="E140" i="6"/>
  <c r="E132" i="6"/>
  <c r="E124" i="6"/>
  <c r="E111" i="6"/>
  <c r="E102" i="6"/>
  <c r="E97" i="6"/>
  <c r="E89" i="6"/>
  <c r="E144" i="6"/>
  <c r="E136" i="6"/>
  <c r="E128" i="6"/>
  <c r="E120" i="6"/>
  <c r="E114" i="6"/>
  <c r="E105" i="6"/>
  <c r="E99" i="6"/>
  <c r="E93" i="6"/>
  <c r="E47" i="6"/>
  <c r="G47" i="6" s="1"/>
  <c r="E45" i="6"/>
  <c r="G45" i="6" s="1"/>
  <c r="E41" i="6"/>
  <c r="E40" i="6"/>
  <c r="G113" i="6" l="1"/>
  <c r="G104" i="6"/>
  <c r="G121" i="6"/>
  <c r="G117" i="6"/>
  <c r="G131" i="6"/>
  <c r="G163" i="6"/>
  <c r="G153" i="6"/>
  <c r="G114" i="6"/>
  <c r="G111" i="6"/>
  <c r="G112" i="6"/>
  <c r="G142" i="6"/>
  <c r="K187" i="6"/>
  <c r="B150" i="4" s="1"/>
  <c r="G187" i="6"/>
  <c r="K180" i="6"/>
  <c r="B143" i="4" s="1"/>
  <c r="G180" i="6"/>
  <c r="G178" i="6"/>
  <c r="K178" i="6"/>
  <c r="B141" i="4" s="1"/>
  <c r="K176" i="6"/>
  <c r="B139" i="4" s="1"/>
  <c r="G176" i="6"/>
  <c r="K182" i="6"/>
  <c r="B145" i="4" s="1"/>
  <c r="G182" i="6"/>
  <c r="K173" i="6"/>
  <c r="B136" i="4" s="1"/>
  <c r="G173" i="6"/>
  <c r="K174" i="6"/>
  <c r="B137" i="4" s="1"/>
  <c r="G174" i="6"/>
  <c r="K175" i="6"/>
  <c r="B138" i="4" s="1"/>
  <c r="G175" i="6"/>
  <c r="K177" i="6"/>
  <c r="B140" i="4" s="1"/>
  <c r="G177" i="6"/>
  <c r="G189" i="6"/>
  <c r="K189" i="6"/>
  <c r="B152" i="4" s="1"/>
  <c r="K186" i="6"/>
  <c r="B149" i="4" s="1"/>
  <c r="G186" i="6"/>
  <c r="K184" i="6"/>
  <c r="B147" i="4" s="1"/>
  <c r="G184" i="6"/>
  <c r="K183" i="6"/>
  <c r="B146" i="4" s="1"/>
  <c r="G183" i="6"/>
  <c r="K172" i="6"/>
  <c r="B135" i="4" s="1"/>
  <c r="G172" i="6"/>
  <c r="G181" i="6"/>
  <c r="K181" i="6"/>
  <c r="B144" i="4" s="1"/>
  <c r="K179" i="6"/>
  <c r="B142" i="4" s="1"/>
  <c r="G179" i="6"/>
  <c r="K171" i="6"/>
  <c r="B134" i="4" s="1"/>
  <c r="G171" i="6"/>
  <c r="K188" i="6"/>
  <c r="B151" i="4" s="1"/>
  <c r="G188" i="6"/>
  <c r="K170" i="6"/>
  <c r="B133" i="4" s="1"/>
  <c r="G170" i="6"/>
  <c r="K185" i="6"/>
  <c r="B148" i="4" s="1"/>
  <c r="G185" i="6"/>
  <c r="G144" i="6"/>
  <c r="G154" i="6"/>
  <c r="K190" i="6"/>
  <c r="B153" i="4" s="1"/>
  <c r="G190" i="6"/>
  <c r="B153" i="5" s="1"/>
  <c r="G138" i="6"/>
  <c r="G164" i="6"/>
  <c r="G105" i="6"/>
  <c r="G136" i="6"/>
  <c r="G102" i="6"/>
  <c r="G140" i="6"/>
  <c r="G110" i="6"/>
  <c r="G130" i="6"/>
  <c r="G152" i="6"/>
  <c r="G162" i="6"/>
  <c r="G91" i="6"/>
  <c r="G100" i="6"/>
  <c r="G115" i="6"/>
  <c r="G143" i="6"/>
  <c r="G119" i="6"/>
  <c r="G129" i="6"/>
  <c r="G139" i="6"/>
  <c r="G149" i="6"/>
  <c r="G161" i="6"/>
  <c r="G90" i="6"/>
  <c r="G106" i="6"/>
  <c r="G134" i="6"/>
  <c r="G166" i="6"/>
  <c r="G93" i="6"/>
  <c r="G120" i="6"/>
  <c r="G89" i="6"/>
  <c r="G124" i="6"/>
  <c r="G108" i="6"/>
  <c r="G116" i="6"/>
  <c r="G146" i="6"/>
  <c r="G156" i="6"/>
  <c r="G168" i="6"/>
  <c r="G95" i="6"/>
  <c r="G107" i="6"/>
  <c r="G127" i="6"/>
  <c r="G159" i="6"/>
  <c r="G123" i="6"/>
  <c r="G133" i="6"/>
  <c r="G145" i="6"/>
  <c r="G155" i="6"/>
  <c r="G165" i="6"/>
  <c r="G96" i="6"/>
  <c r="G118" i="6"/>
  <c r="G150" i="6"/>
  <c r="G99" i="6"/>
  <c r="G128" i="6"/>
  <c r="G97" i="6"/>
  <c r="G132" i="6"/>
  <c r="G101" i="6"/>
  <c r="G122" i="6"/>
  <c r="G148" i="6"/>
  <c r="G160" i="6"/>
  <c r="G98" i="6"/>
  <c r="G109" i="6"/>
  <c r="G135" i="6"/>
  <c r="G167" i="6"/>
  <c r="G125" i="6"/>
  <c r="G137" i="6"/>
  <c r="G147" i="6"/>
  <c r="G157" i="6"/>
  <c r="G169" i="6"/>
  <c r="G103" i="6"/>
  <c r="G126" i="6"/>
  <c r="G158" i="6"/>
  <c r="K114" i="6"/>
  <c r="B77" i="4" s="1"/>
  <c r="K87" i="6"/>
  <c r="B50" i="4" s="1"/>
  <c r="K67" i="6"/>
  <c r="P67" i="6" s="1"/>
  <c r="K112" i="6"/>
  <c r="B75" i="4" s="1"/>
  <c r="K164" i="6"/>
  <c r="B127" i="4" s="1"/>
  <c r="K80" i="6"/>
  <c r="B43" i="4" s="1"/>
  <c r="K117" i="6"/>
  <c r="B80" i="4" s="1"/>
  <c r="K131" i="6"/>
  <c r="P131" i="6" s="1"/>
  <c r="K153" i="6"/>
  <c r="B116" i="4" s="1"/>
  <c r="K62" i="6"/>
  <c r="P62" i="6" s="1"/>
  <c r="K78" i="6"/>
  <c r="B41" i="4" s="1"/>
  <c r="K94" i="6"/>
  <c r="P94" i="6" s="1"/>
  <c r="K113" i="6"/>
  <c r="P113" i="6" s="1"/>
  <c r="K142" i="6"/>
  <c r="B105" i="4" s="1"/>
  <c r="K93" i="6"/>
  <c r="B56" i="4" s="1"/>
  <c r="K120" i="6"/>
  <c r="B83" i="4" s="1"/>
  <c r="K89" i="6"/>
  <c r="B52" i="4" s="1"/>
  <c r="K124" i="6"/>
  <c r="B87" i="4" s="1"/>
  <c r="K108" i="6"/>
  <c r="B71" i="4" s="1"/>
  <c r="K53" i="6"/>
  <c r="B16" i="4" s="1"/>
  <c r="K61" i="6"/>
  <c r="B24" i="4" s="1"/>
  <c r="K69" i="6"/>
  <c r="B32" i="4" s="1"/>
  <c r="K77" i="6"/>
  <c r="B40" i="4" s="1"/>
  <c r="K85" i="6"/>
  <c r="B48" i="4" s="1"/>
  <c r="K116" i="6"/>
  <c r="K146" i="6"/>
  <c r="B109" i="4" s="1"/>
  <c r="K156" i="6"/>
  <c r="B119" i="4" s="1"/>
  <c r="K168" i="6"/>
  <c r="B131" i="4" s="1"/>
  <c r="K52" i="6"/>
  <c r="B15" i="4" s="1"/>
  <c r="K68" i="6"/>
  <c r="P68" i="6" s="1"/>
  <c r="K84" i="6"/>
  <c r="B47" i="4" s="1"/>
  <c r="K95" i="6"/>
  <c r="B58" i="4" s="1"/>
  <c r="K107" i="6"/>
  <c r="B70" i="4" s="1"/>
  <c r="K127" i="6"/>
  <c r="B90" i="4" s="1"/>
  <c r="K159" i="6"/>
  <c r="B122" i="4" s="1"/>
  <c r="K123" i="6"/>
  <c r="B86" i="4" s="1"/>
  <c r="K133" i="6"/>
  <c r="B96" i="4" s="1"/>
  <c r="K145" i="6"/>
  <c r="B108" i="4" s="1"/>
  <c r="K155" i="6"/>
  <c r="K165" i="6"/>
  <c r="B128" i="4" s="1"/>
  <c r="K50" i="6"/>
  <c r="B13" i="4" s="1"/>
  <c r="K66" i="6"/>
  <c r="P66" i="6" s="1"/>
  <c r="K82" i="6"/>
  <c r="B45" i="4" s="1"/>
  <c r="K96" i="6"/>
  <c r="K118" i="6"/>
  <c r="B81" i="4" s="1"/>
  <c r="K150" i="6"/>
  <c r="B113" i="4" s="1"/>
  <c r="K47" i="6"/>
  <c r="B10" i="4" s="1"/>
  <c r="K144" i="6"/>
  <c r="B107" i="4" s="1"/>
  <c r="K111" i="6"/>
  <c r="K51" i="6"/>
  <c r="B14" i="4" s="1"/>
  <c r="K59" i="6"/>
  <c r="B22" i="4" s="1"/>
  <c r="K75" i="6"/>
  <c r="B38" i="4" s="1"/>
  <c r="K83" i="6"/>
  <c r="P83" i="6" s="1"/>
  <c r="K138" i="6"/>
  <c r="B101" i="4" s="1"/>
  <c r="K154" i="6"/>
  <c r="B117" i="4" s="1"/>
  <c r="K48" i="6"/>
  <c r="B11" i="4" s="1"/>
  <c r="K64" i="6"/>
  <c r="B27" i="4" s="1"/>
  <c r="K92" i="6"/>
  <c r="B55" i="4" s="1"/>
  <c r="K104" i="6"/>
  <c r="B67" i="4" s="1"/>
  <c r="K151" i="6"/>
  <c r="B114" i="4" s="1"/>
  <c r="K121" i="6"/>
  <c r="B84" i="4" s="1"/>
  <c r="K141" i="6"/>
  <c r="P141" i="6" s="1"/>
  <c r="K163" i="6"/>
  <c r="B126" i="4" s="1"/>
  <c r="K46" i="6"/>
  <c r="B9" i="4" s="1"/>
  <c r="K41" i="6"/>
  <c r="B4" i="4" s="1"/>
  <c r="G41" i="6"/>
  <c r="K99" i="6"/>
  <c r="K128" i="6"/>
  <c r="B91" i="4" s="1"/>
  <c r="K97" i="6"/>
  <c r="B60" i="4" s="1"/>
  <c r="K132" i="6"/>
  <c r="B95" i="4" s="1"/>
  <c r="K43" i="6"/>
  <c r="B6" i="4" s="1"/>
  <c r="K55" i="6"/>
  <c r="B18" i="4" s="1"/>
  <c r="K63" i="6"/>
  <c r="B26" i="4" s="1"/>
  <c r="K71" i="6"/>
  <c r="B34" i="4" s="1"/>
  <c r="K79" i="6"/>
  <c r="B42" i="4" s="1"/>
  <c r="K101" i="6"/>
  <c r="K122" i="6"/>
  <c r="B85" i="4" s="1"/>
  <c r="K148" i="6"/>
  <c r="B111" i="4" s="1"/>
  <c r="K160" i="6"/>
  <c r="B123" i="4" s="1"/>
  <c r="K56" i="6"/>
  <c r="P56" i="6" s="1"/>
  <c r="K72" i="6"/>
  <c r="B35" i="4" s="1"/>
  <c r="K88" i="6"/>
  <c r="B51" i="4" s="1"/>
  <c r="K98" i="6"/>
  <c r="B61" i="4" s="1"/>
  <c r="K109" i="6"/>
  <c r="B72" i="4" s="1"/>
  <c r="K135" i="6"/>
  <c r="B98" i="4" s="1"/>
  <c r="K167" i="6"/>
  <c r="B130" i="4" s="1"/>
  <c r="K125" i="6"/>
  <c r="B88" i="4" s="1"/>
  <c r="K137" i="6"/>
  <c r="B100" i="4" s="1"/>
  <c r="K147" i="6"/>
  <c r="B110" i="4" s="1"/>
  <c r="K157" i="6"/>
  <c r="B120" i="4" s="1"/>
  <c r="K169" i="6"/>
  <c r="B132" i="4" s="1"/>
  <c r="K54" i="6"/>
  <c r="B17" i="4" s="1"/>
  <c r="K70" i="6"/>
  <c r="B33" i="4" s="1"/>
  <c r="K86" i="6"/>
  <c r="B49" i="4" s="1"/>
  <c r="K103" i="6"/>
  <c r="B66" i="4" s="1"/>
  <c r="K126" i="6"/>
  <c r="B89" i="4" s="1"/>
  <c r="K158" i="6"/>
  <c r="B121" i="4" s="1"/>
  <c r="K45" i="6"/>
  <c r="B8" i="4" s="1"/>
  <c r="K105" i="6"/>
  <c r="B68" i="4" s="1"/>
  <c r="K136" i="6"/>
  <c r="B99" i="4" s="1"/>
  <c r="K102" i="6"/>
  <c r="B65" i="4" s="1"/>
  <c r="K140" i="6"/>
  <c r="B103" i="4" s="1"/>
  <c r="K49" i="6"/>
  <c r="B12" i="4" s="1"/>
  <c r="K57" i="6"/>
  <c r="B20" i="4" s="1"/>
  <c r="K65" i="6"/>
  <c r="B28" i="4" s="1"/>
  <c r="K73" i="6"/>
  <c r="B36" i="4" s="1"/>
  <c r="K81" i="6"/>
  <c r="B44" i="4" s="1"/>
  <c r="K110" i="6"/>
  <c r="B73" i="4" s="1"/>
  <c r="K130" i="6"/>
  <c r="B93" i="4" s="1"/>
  <c r="K152" i="6"/>
  <c r="B115" i="4" s="1"/>
  <c r="K162" i="6"/>
  <c r="B125" i="4" s="1"/>
  <c r="K44" i="6"/>
  <c r="B7" i="4" s="1"/>
  <c r="K60" i="6"/>
  <c r="B23" i="4" s="1"/>
  <c r="K76" i="6"/>
  <c r="B39" i="4" s="1"/>
  <c r="K91" i="6"/>
  <c r="B54" i="4" s="1"/>
  <c r="K100" i="6"/>
  <c r="B63" i="4" s="1"/>
  <c r="K115" i="6"/>
  <c r="B78" i="4" s="1"/>
  <c r="K143" i="6"/>
  <c r="B106" i="4" s="1"/>
  <c r="K119" i="6"/>
  <c r="B82" i="4" s="1"/>
  <c r="K129" i="6"/>
  <c r="B92" i="4" s="1"/>
  <c r="K139" i="6"/>
  <c r="B102" i="4" s="1"/>
  <c r="K149" i="6"/>
  <c r="B112" i="4" s="1"/>
  <c r="K161" i="6"/>
  <c r="B124" i="4" s="1"/>
  <c r="K42" i="6"/>
  <c r="B5" i="4" s="1"/>
  <c r="K58" i="6"/>
  <c r="B21" i="4" s="1"/>
  <c r="K74" i="6"/>
  <c r="B37" i="4" s="1"/>
  <c r="K90" i="6"/>
  <c r="B53" i="4" s="1"/>
  <c r="K106" i="6"/>
  <c r="B69" i="4" s="1"/>
  <c r="K134" i="6"/>
  <c r="B97" i="4" s="1"/>
  <c r="K166" i="6"/>
  <c r="B129" i="4" s="1"/>
  <c r="B3" i="4"/>
  <c r="P111" i="6" l="1"/>
  <c r="P155" i="6"/>
  <c r="B148" i="5"/>
  <c r="P185" i="6"/>
  <c r="B151" i="5"/>
  <c r="P188" i="6"/>
  <c r="B142" i="5"/>
  <c r="P179" i="6"/>
  <c r="B135" i="5"/>
  <c r="P172" i="6"/>
  <c r="B147" i="5"/>
  <c r="P184" i="6"/>
  <c r="B138" i="5"/>
  <c r="P175" i="6"/>
  <c r="B136" i="5"/>
  <c r="P173" i="6"/>
  <c r="B139" i="5"/>
  <c r="P176" i="6"/>
  <c r="B143" i="5"/>
  <c r="P180" i="6"/>
  <c r="B152" i="5"/>
  <c r="P189" i="6"/>
  <c r="B133" i="5"/>
  <c r="P170" i="6"/>
  <c r="B134" i="5"/>
  <c r="P171" i="6"/>
  <c r="B146" i="5"/>
  <c r="P183" i="6"/>
  <c r="B149" i="5"/>
  <c r="P186" i="6"/>
  <c r="B140" i="5"/>
  <c r="P177" i="6"/>
  <c r="P174" i="6"/>
  <c r="B137" i="5"/>
  <c r="B145" i="5"/>
  <c r="P182" i="6"/>
  <c r="B150" i="5"/>
  <c r="P187" i="6"/>
  <c r="B144" i="5"/>
  <c r="P181" i="6"/>
  <c r="P178" i="6"/>
  <c r="B141" i="5"/>
  <c r="P78" i="6"/>
  <c r="P190" i="6"/>
  <c r="P96" i="6"/>
  <c r="B31" i="4"/>
  <c r="P163" i="6"/>
  <c r="P76" i="6"/>
  <c r="P109" i="6"/>
  <c r="P127" i="6"/>
  <c r="P122" i="6"/>
  <c r="P59" i="6"/>
  <c r="B74" i="4"/>
  <c r="P72" i="6"/>
  <c r="P99" i="6"/>
  <c r="B94" i="4"/>
  <c r="P136" i="6"/>
  <c r="P50" i="6"/>
  <c r="P137" i="6"/>
  <c r="P97" i="6"/>
  <c r="P118" i="6"/>
  <c r="P145" i="6"/>
  <c r="P110" i="6"/>
  <c r="P86" i="6"/>
  <c r="P43" i="6"/>
  <c r="P64" i="6"/>
  <c r="P47" i="6"/>
  <c r="P85" i="6"/>
  <c r="P117" i="6"/>
  <c r="P112" i="6"/>
  <c r="P123" i="6"/>
  <c r="P42" i="6"/>
  <c r="P159" i="6"/>
  <c r="P107" i="6"/>
  <c r="P93" i="6"/>
  <c r="B118" i="4"/>
  <c r="P166" i="6"/>
  <c r="P129" i="6"/>
  <c r="P154" i="6"/>
  <c r="P82" i="6"/>
  <c r="P84" i="6"/>
  <c r="P52" i="6"/>
  <c r="P146" i="6"/>
  <c r="P53" i="6"/>
  <c r="P89" i="6"/>
  <c r="P153" i="6"/>
  <c r="P167" i="6"/>
  <c r="P95" i="6"/>
  <c r="B76" i="4"/>
  <c r="P44" i="6"/>
  <c r="P73" i="6"/>
  <c r="P126" i="6"/>
  <c r="P79" i="6"/>
  <c r="P104" i="6"/>
  <c r="P133" i="6"/>
  <c r="P87" i="6"/>
  <c r="P168" i="6"/>
  <c r="B46" i="4"/>
  <c r="B19" i="4"/>
  <c r="B25" i="4"/>
  <c r="B57" i="4"/>
  <c r="P106" i="6"/>
  <c r="P149" i="6"/>
  <c r="P100" i="6"/>
  <c r="P54" i="6"/>
  <c r="P101" i="6"/>
  <c r="P63" i="6"/>
  <c r="P121" i="6"/>
  <c r="P116" i="6"/>
  <c r="P69" i="6"/>
  <c r="P142" i="6"/>
  <c r="P80" i="6"/>
  <c r="B29" i="4"/>
  <c r="B30" i="4"/>
  <c r="B59" i="4"/>
  <c r="B79" i="4"/>
  <c r="B104" i="4"/>
  <c r="B64" i="4"/>
  <c r="B62" i="4"/>
  <c r="P74" i="6"/>
  <c r="P143" i="6"/>
  <c r="P57" i="6"/>
  <c r="P45" i="6"/>
  <c r="P157" i="6"/>
  <c r="P135" i="6"/>
  <c r="P71" i="6"/>
  <c r="P55" i="6"/>
  <c r="P46" i="6"/>
  <c r="P151" i="6"/>
  <c r="P92" i="6"/>
  <c r="P48" i="6"/>
  <c r="P138" i="6"/>
  <c r="P75" i="6"/>
  <c r="P51" i="6"/>
  <c r="P144" i="6"/>
  <c r="P150" i="6"/>
  <c r="P77" i="6"/>
  <c r="P61" i="6"/>
  <c r="P114" i="6"/>
  <c r="P140" i="6"/>
  <c r="P160" i="6"/>
  <c r="P165" i="6"/>
  <c r="P124" i="6"/>
  <c r="P120" i="6"/>
  <c r="P134" i="6"/>
  <c r="P90" i="6"/>
  <c r="P58" i="6"/>
  <c r="P161" i="6"/>
  <c r="P139" i="6"/>
  <c r="P119" i="6"/>
  <c r="P115" i="6"/>
  <c r="P91" i="6"/>
  <c r="P60" i="6"/>
  <c r="P162" i="6"/>
  <c r="P130" i="6"/>
  <c r="P81" i="6"/>
  <c r="P65" i="6"/>
  <c r="P49" i="6"/>
  <c r="P102" i="6"/>
  <c r="P105" i="6"/>
  <c r="P158" i="6"/>
  <c r="P103" i="6"/>
  <c r="P70" i="6"/>
  <c r="P169" i="6"/>
  <c r="P147" i="6"/>
  <c r="P152" i="6"/>
  <c r="P88" i="6"/>
  <c r="P125" i="6"/>
  <c r="P98" i="6"/>
  <c r="P148" i="6"/>
  <c r="P132" i="6"/>
  <c r="P128" i="6"/>
  <c r="P156" i="6"/>
  <c r="P108" i="6"/>
  <c r="P164" i="6"/>
  <c r="B11" i="10"/>
  <c r="B15" i="10"/>
  <c r="B19" i="10"/>
  <c r="B23" i="10"/>
  <c r="B27" i="10"/>
  <c r="B31" i="10"/>
  <c r="B35" i="10"/>
  <c r="B43" i="10"/>
  <c r="B47" i="10"/>
  <c r="B51" i="10"/>
  <c r="B55" i="10"/>
  <c r="B59" i="10"/>
  <c r="B63" i="10"/>
  <c r="B67" i="10"/>
  <c r="B71" i="10"/>
  <c r="B75" i="10"/>
  <c r="B79" i="10"/>
  <c r="B83" i="10"/>
  <c r="B91" i="10"/>
  <c r="B95" i="10"/>
  <c r="B99" i="10"/>
  <c r="B107" i="10"/>
  <c r="B111" i="10"/>
  <c r="B115" i="10"/>
  <c r="B123" i="10"/>
  <c r="B127" i="10"/>
  <c r="B131" i="10"/>
  <c r="B8" i="10"/>
  <c r="B12" i="10"/>
  <c r="B16" i="10"/>
  <c r="B20" i="10"/>
  <c r="B24" i="10"/>
  <c r="B28" i="10"/>
  <c r="B32" i="10"/>
  <c r="B36" i="10"/>
  <c r="B40" i="10"/>
  <c r="B44" i="10"/>
  <c r="B48" i="10"/>
  <c r="B52" i="10"/>
  <c r="B60" i="10"/>
  <c r="B64" i="10"/>
  <c r="B68" i="10"/>
  <c r="B72" i="10"/>
  <c r="B76" i="10"/>
  <c r="B80" i="10"/>
  <c r="B84" i="10"/>
  <c r="B92" i="10"/>
  <c r="B96" i="10"/>
  <c r="B100" i="10"/>
  <c r="B108" i="10"/>
  <c r="B112" i="10"/>
  <c r="B116" i="10"/>
  <c r="B120" i="10"/>
  <c r="B124" i="10"/>
  <c r="B128" i="10"/>
  <c r="B132" i="10"/>
  <c r="B9" i="10"/>
  <c r="B13" i="10"/>
  <c r="B17" i="10"/>
  <c r="B21" i="10"/>
  <c r="B25" i="10"/>
  <c r="B29" i="10"/>
  <c r="B33" i="10"/>
  <c r="B37" i="10"/>
  <c r="B41" i="10"/>
  <c r="B45" i="10"/>
  <c r="B49" i="10"/>
  <c r="B57" i="10"/>
  <c r="B61" i="10"/>
  <c r="B65" i="10"/>
  <c r="B69" i="10"/>
  <c r="B73" i="10"/>
  <c r="B77" i="10"/>
  <c r="B81" i="10"/>
  <c r="B6" i="10"/>
  <c r="B22" i="10"/>
  <c r="B38" i="10"/>
  <c r="B54" i="10"/>
  <c r="B70" i="10"/>
  <c r="B86" i="10"/>
  <c r="B94" i="10"/>
  <c r="B110" i="10"/>
  <c r="B118" i="10"/>
  <c r="B126" i="10"/>
  <c r="B4" i="10"/>
  <c r="B10" i="10"/>
  <c r="B26" i="10"/>
  <c r="B42" i="10"/>
  <c r="B74" i="10"/>
  <c r="B89" i="10"/>
  <c r="B97" i="10"/>
  <c r="B113" i="10"/>
  <c r="B121" i="10"/>
  <c r="B129" i="10"/>
  <c r="B14" i="10"/>
  <c r="B30" i="10"/>
  <c r="B46" i="10"/>
  <c r="B62" i="10"/>
  <c r="B78" i="10"/>
  <c r="B90" i="10"/>
  <c r="B98" i="10"/>
  <c r="B106" i="10"/>
  <c r="B114" i="10"/>
  <c r="B122" i="10"/>
  <c r="B130" i="10"/>
  <c r="B18" i="10"/>
  <c r="B50" i="10"/>
  <c r="B66" i="10"/>
  <c r="B82" i="10"/>
  <c r="B93" i="10"/>
  <c r="B101" i="10"/>
  <c r="B109" i="10"/>
  <c r="B117" i="10"/>
  <c r="B125" i="10"/>
  <c r="P41" i="6"/>
  <c r="B127" i="5"/>
  <c r="B131" i="5"/>
  <c r="B62" i="5"/>
  <c r="B110" i="5"/>
  <c r="B91" i="5"/>
  <c r="B90" i="5"/>
  <c r="B122" i="5"/>
  <c r="B4" i="5"/>
  <c r="B20" i="5"/>
  <c r="B36" i="5"/>
  <c r="B52" i="5"/>
  <c r="B68" i="5"/>
  <c r="B84" i="5"/>
  <c r="B100" i="5"/>
  <c r="B116" i="5"/>
  <c r="B132" i="5"/>
  <c r="B65" i="5"/>
  <c r="B129" i="5"/>
  <c r="B61" i="5"/>
  <c r="B125" i="5"/>
  <c r="B32" i="5"/>
  <c r="B88" i="5"/>
  <c r="B17" i="5"/>
  <c r="B47" i="5"/>
  <c r="B45" i="5"/>
  <c r="B14" i="5"/>
  <c r="B30" i="5"/>
  <c r="B46" i="5"/>
  <c r="B41" i="5"/>
  <c r="B105" i="5"/>
  <c r="B39" i="5"/>
  <c r="B37" i="5"/>
  <c r="B101" i="5"/>
  <c r="B27" i="5"/>
  <c r="B8" i="5"/>
  <c r="B24" i="5"/>
  <c r="B56" i="5"/>
  <c r="B96" i="5"/>
  <c r="B113" i="5"/>
  <c r="B109" i="5"/>
  <c r="B10" i="5"/>
  <c r="B26" i="5"/>
  <c r="B42" i="5"/>
  <c r="B25" i="5"/>
  <c r="B89" i="5"/>
  <c r="B23" i="5"/>
  <c r="B21" i="5"/>
  <c r="B85" i="5"/>
  <c r="B72" i="5"/>
  <c r="B120" i="5"/>
  <c r="B15" i="5"/>
  <c r="B77" i="5"/>
  <c r="B94" i="5"/>
  <c r="B103" i="5"/>
  <c r="B74" i="5"/>
  <c r="B106" i="5"/>
  <c r="B87" i="5"/>
  <c r="B11" i="5"/>
  <c r="B75" i="5"/>
  <c r="B19" i="5"/>
  <c r="B115" i="5"/>
  <c r="B12" i="5"/>
  <c r="B28" i="5"/>
  <c r="B44" i="5"/>
  <c r="B60" i="5"/>
  <c r="B76" i="5"/>
  <c r="B92" i="5"/>
  <c r="B108" i="5"/>
  <c r="B124" i="5"/>
  <c r="B33" i="5"/>
  <c r="B97" i="5"/>
  <c r="B31" i="5"/>
  <c r="B29" i="5"/>
  <c r="B93" i="5"/>
  <c r="B64" i="5"/>
  <c r="B112" i="5"/>
  <c r="B81" i="5"/>
  <c r="B13" i="5"/>
  <c r="B35" i="5"/>
  <c r="B6" i="5"/>
  <c r="B22" i="5"/>
  <c r="B38" i="5"/>
  <c r="B54" i="5"/>
  <c r="B9" i="5"/>
  <c r="B73" i="5"/>
  <c r="B7" i="5"/>
  <c r="B5" i="5"/>
  <c r="B69" i="5"/>
  <c r="B16" i="5"/>
  <c r="B40" i="5"/>
  <c r="B80" i="5"/>
  <c r="B128" i="5"/>
  <c r="B18" i="5"/>
  <c r="B34" i="5"/>
  <c r="B50" i="5"/>
  <c r="B57" i="5"/>
  <c r="B121" i="5"/>
  <c r="B53" i="5"/>
  <c r="B117" i="5"/>
  <c r="B48" i="5"/>
  <c r="B104" i="5"/>
  <c r="B49" i="5"/>
  <c r="B63" i="5"/>
  <c r="B78" i="5"/>
  <c r="B126" i="5"/>
  <c r="B58" i="5"/>
  <c r="B95" i="5"/>
  <c r="B51" i="5"/>
  <c r="B70" i="5"/>
  <c r="B86" i="5"/>
  <c r="B102" i="5"/>
  <c r="B118" i="5"/>
  <c r="B71" i="5"/>
  <c r="B59" i="5"/>
  <c r="B123" i="5"/>
  <c r="B111" i="5"/>
  <c r="B99" i="5"/>
  <c r="B66" i="5"/>
  <c r="B82" i="5"/>
  <c r="B98" i="5"/>
  <c r="B114" i="5"/>
  <c r="B130" i="5"/>
  <c r="B55" i="5"/>
  <c r="B119" i="5"/>
  <c r="B43" i="5"/>
  <c r="B107" i="5"/>
  <c r="B83" i="5"/>
  <c r="B79" i="5"/>
  <c r="B67" i="5"/>
  <c r="B87" i="10"/>
  <c r="B119" i="10"/>
  <c r="B58" i="10"/>
  <c r="B56" i="10"/>
  <c r="B53" i="10"/>
  <c r="B102" i="10"/>
  <c r="B5" i="10"/>
  <c r="B34" i="10"/>
  <c r="B103" i="10"/>
  <c r="B39" i="10"/>
  <c r="B7" i="10"/>
  <c r="B105" i="10"/>
  <c r="B88" i="10"/>
  <c r="B104" i="10"/>
  <c r="B85"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F10" authorId="0" shapeId="0" xr:uid="{00000000-0006-0000-0200-000001000000}">
      <text>
        <r>
          <rPr>
            <sz val="9"/>
            <color indexed="81"/>
            <rFont val="Meiryo UI"/>
            <family val="3"/>
            <charset val="128"/>
          </rPr>
          <t>減速度の7割程度が目安。
増やすと電制負担率が上がるが
MT比によっては滑走しやすくなる。
例：小田急電鉄3000形は常用減速度4.0km/h/sのうち
2.85km/h/sを電制でカバーする ＝ 71%</t>
        </r>
      </text>
    </comment>
    <comment ref="F21" authorId="0" shapeId="0" xr:uid="{00000000-0006-0000-0200-000002000000}">
      <text>
        <r>
          <rPr>
            <sz val="8"/>
            <color indexed="81"/>
            <rFont val="Meiryo UI"/>
            <family val="3"/>
            <charset val="128"/>
          </rPr>
          <t>力行使用時の2倍くらいにする</t>
        </r>
      </text>
    </comment>
    <comment ref="F33" authorId="0" shapeId="0" xr:uid="{00000000-0006-0000-0200-000003000000}">
      <text>
        <r>
          <rPr>
            <sz val="9"/>
            <color indexed="81"/>
            <rFont val="Meiryo UI"/>
            <family val="3"/>
            <charset val="128"/>
          </rPr>
          <t>空・積の特性曲線を完全に重ねてしまうと計算が発散して誤作動する可能性があるため</t>
        </r>
        <r>
          <rPr>
            <b/>
            <sz val="9"/>
            <color indexed="81"/>
            <rFont val="Meiryo UI"/>
            <family val="3"/>
            <charset val="128"/>
          </rPr>
          <t xml:space="preserve">
</t>
        </r>
      </text>
    </comment>
  </commentList>
</comments>
</file>

<file path=xl/sharedStrings.xml><?xml version="1.0" encoding="utf-8"?>
<sst xmlns="http://schemas.openxmlformats.org/spreadsheetml/2006/main" count="172" uniqueCount="134">
  <si>
    <t>#</t>
  </si>
  <si>
    <t>[km/h/s]</t>
  </si>
  <si>
    <t>[km/h]</t>
    <phoneticPr fontId="3"/>
  </si>
  <si>
    <t>[A]</t>
    <phoneticPr fontId="3"/>
  </si>
  <si>
    <t>VVVF</t>
    <phoneticPr fontId="3"/>
  </si>
  <si>
    <t>CVCF</t>
    <phoneticPr fontId="3"/>
  </si>
  <si>
    <t>CVVF1</t>
    <phoneticPr fontId="3"/>
  </si>
  <si>
    <t>CVVF2</t>
    <phoneticPr fontId="3"/>
  </si>
  <si>
    <t>Ampere</t>
    <phoneticPr fontId="3"/>
  </si>
  <si>
    <t>[-]</t>
    <phoneticPr fontId="3"/>
  </si>
  <si>
    <t>Domain</t>
    <phoneticPr fontId="3"/>
  </si>
  <si>
    <t>[N]</t>
    <phoneticPr fontId="3"/>
  </si>
  <si>
    <t>F-Empty</t>
    <phoneticPr fontId="1"/>
  </si>
  <si>
    <t>F-Max</t>
    <phoneticPr fontId="1"/>
  </si>
  <si>
    <t>C-Max</t>
    <phoneticPr fontId="1"/>
  </si>
  <si>
    <t>C-Empty</t>
    <phoneticPr fontId="1"/>
  </si>
  <si>
    <t>Brake</t>
    <phoneticPr fontId="3"/>
  </si>
  <si>
    <t>慣性重量(積)</t>
    <rPh sb="0" eb="2">
      <t>カンセイ</t>
    </rPh>
    <rPh sb="2" eb="4">
      <t>ジュウリョウ</t>
    </rPh>
    <rPh sb="5" eb="6">
      <t>セキ</t>
    </rPh>
    <phoneticPr fontId="9"/>
  </si>
  <si>
    <t>慣性重量(空)</t>
    <rPh sb="0" eb="2">
      <t>カンセイ</t>
    </rPh>
    <rPh sb="2" eb="4">
      <t>ジュウリョウ</t>
    </rPh>
    <rPh sb="5" eb="6">
      <t>クウ</t>
    </rPh>
    <phoneticPr fontId="9"/>
  </si>
  <si>
    <t>質量(積車)</t>
    <rPh sb="0" eb="2">
      <t>シツリョウ</t>
    </rPh>
    <rPh sb="3" eb="5">
      <t>セキシャ</t>
    </rPh>
    <phoneticPr fontId="9"/>
  </si>
  <si>
    <t>質量(空車)</t>
    <rPh sb="0" eb="2">
      <t>シツリョウ</t>
    </rPh>
    <rPh sb="3" eb="5">
      <t>クウシャ</t>
    </rPh>
    <phoneticPr fontId="9"/>
  </si>
  <si>
    <t>/1M車</t>
    <rPh sb="3" eb="4">
      <t>シャ</t>
    </rPh>
    <phoneticPr fontId="9"/>
  </si>
  <si>
    <t>計</t>
    <rPh sb="0" eb="1">
      <t>ケイ</t>
    </rPh>
    <phoneticPr fontId="9"/>
  </si>
  <si>
    <t>計算用</t>
    <rPh sb="0" eb="2">
      <t>ケイサン</t>
    </rPh>
    <rPh sb="2" eb="3">
      <t>ヨウ</t>
    </rPh>
    <phoneticPr fontId="9"/>
  </si>
  <si>
    <t>※その他の設定項目は適宜記入のこと</t>
    <rPh sb="3" eb="4">
      <t>タ</t>
    </rPh>
    <rPh sb="5" eb="7">
      <t>セッテイ</t>
    </rPh>
    <rPh sb="7" eb="9">
      <t>コウモク</t>
    </rPh>
    <rPh sb="10" eb="12">
      <t>テキギ</t>
    </rPh>
    <rPh sb="12" eb="14">
      <t>キニュウ</t>
    </rPh>
    <phoneticPr fontId="9"/>
  </si>
  <si>
    <t>BodyWeight</t>
    <phoneticPr fontId="9"/>
  </si>
  <si>
    <t>Capacity</t>
    <phoneticPr fontId="9"/>
  </si>
  <si>
    <t>[Passengers]</t>
    <phoneticPr fontId="9"/>
  </si>
  <si>
    <t>TrailerInertiaFactor</t>
    <phoneticPr fontId="9"/>
  </si>
  <si>
    <t>MotorcarInertiaFactor</t>
    <phoneticPr fontId="9"/>
  </si>
  <si>
    <t>TrailerCount</t>
  </si>
  <si>
    <t>MotorcarCount</t>
  </si>
  <si>
    <t>TrailerWeight</t>
  </si>
  <si>
    <t>MotorcarWeight</t>
  </si>
  <si>
    <t>[Dynamics]</t>
    <phoneticPr fontId="9"/>
  </si>
  <si>
    <t>車両パラメーターファイル 入力用</t>
    <rPh sb="0" eb="2">
      <t>シャリョウ</t>
    </rPh>
    <rPh sb="13" eb="16">
      <t>ニュウリョクヨウ</t>
    </rPh>
    <phoneticPr fontId="9"/>
  </si>
  <si>
    <t>走行抵抗係数</t>
    <rPh sb="0" eb="2">
      <t>ソウコウ</t>
    </rPh>
    <rPh sb="2" eb="4">
      <t>テイコウ</t>
    </rPh>
    <rPh sb="4" eb="6">
      <t>ケイスウ</t>
    </rPh>
    <phoneticPr fontId="9"/>
  </si>
  <si>
    <t>c</t>
    <phoneticPr fontId="9"/>
  </si>
  <si>
    <t>b</t>
    <phoneticPr fontId="9"/>
  </si>
  <si>
    <t>a</t>
    <phoneticPr fontId="9"/>
  </si>
  <si>
    <t>T車慣性係数</t>
    <rPh sb="1" eb="2">
      <t>シャ</t>
    </rPh>
    <rPh sb="2" eb="4">
      <t>カンセイ</t>
    </rPh>
    <rPh sb="4" eb="6">
      <t>ケイスウ</t>
    </rPh>
    <phoneticPr fontId="9"/>
  </si>
  <si>
    <t>M車慣性係数</t>
    <rPh sb="1" eb="2">
      <t>シャ</t>
    </rPh>
    <rPh sb="2" eb="4">
      <t>カンセイ</t>
    </rPh>
    <rPh sb="4" eb="6">
      <t>ケイスウ</t>
    </rPh>
    <phoneticPr fontId="9"/>
  </si>
  <si>
    <t>人の質量[kg]</t>
    <rPh sb="0" eb="1">
      <t>ヒト</t>
    </rPh>
    <rPh sb="2" eb="4">
      <t>シツリョウ</t>
    </rPh>
    <phoneticPr fontId="9"/>
  </si>
  <si>
    <t>最大乗車率</t>
    <rPh sb="0" eb="2">
      <t>サイダイ</t>
    </rPh>
    <rPh sb="2" eb="5">
      <t>ジョウシャリツ</t>
    </rPh>
    <phoneticPr fontId="9"/>
  </si>
  <si>
    <t>[人]</t>
    <rPh sb="1" eb="2">
      <t>ニン</t>
    </rPh>
    <phoneticPr fontId="9"/>
  </si>
  <si>
    <t>定員</t>
    <rPh sb="0" eb="2">
      <t>テイイン</t>
    </rPh>
    <phoneticPr fontId="9"/>
  </si>
  <si>
    <t>[t]</t>
    <phoneticPr fontId="9"/>
  </si>
  <si>
    <t>質量</t>
    <rPh sb="0" eb="2">
      <t>シツリョウ</t>
    </rPh>
    <phoneticPr fontId="9"/>
  </si>
  <si>
    <t>T</t>
    <phoneticPr fontId="9"/>
  </si>
  <si>
    <t>M</t>
    <phoneticPr fontId="9"/>
  </si>
  <si>
    <t>車種</t>
    <rPh sb="0" eb="2">
      <t>シャシュ</t>
    </rPh>
    <phoneticPr fontId="9"/>
  </si>
  <si>
    <t>編成</t>
    <rPh sb="0" eb="2">
      <t>ヘンセイ</t>
    </rPh>
    <phoneticPr fontId="9"/>
  </si>
  <si>
    <t>号車</t>
    <rPh sb="0" eb="2">
      <t>ゴウシャ</t>
    </rPh>
    <phoneticPr fontId="9"/>
  </si>
  <si>
    <t>使用方法:黄色のセルに必要事項を記入</t>
    <rPh sb="0" eb="2">
      <t>シヨウ</t>
    </rPh>
    <rPh sb="2" eb="4">
      <t>ホウホウ</t>
    </rPh>
    <rPh sb="5" eb="7">
      <t>キイロ</t>
    </rPh>
    <rPh sb="11" eb="13">
      <t>ヒツヨウ</t>
    </rPh>
    <rPh sb="13" eb="15">
      <t>ジコウ</t>
    </rPh>
    <rPh sb="16" eb="18">
      <t>キニュウ</t>
    </rPh>
    <phoneticPr fontId="9"/>
  </si>
  <si>
    <t>車両・編成情報</t>
    <rPh sb="0" eb="2">
      <t>シャリョウ</t>
    </rPh>
    <rPh sb="3" eb="5">
      <t>ヘンセイ</t>
    </rPh>
    <rPh sb="5" eb="7">
      <t>ジョウホウ</t>
    </rPh>
    <phoneticPr fontId="9"/>
  </si>
  <si>
    <t>減速度 電制負担分</t>
    <rPh sb="0" eb="3">
      <t>ゲンソクド</t>
    </rPh>
    <rPh sb="8" eb="9">
      <t>ブン</t>
    </rPh>
    <phoneticPr fontId="3"/>
  </si>
  <si>
    <t>トルク</t>
    <phoneticPr fontId="3"/>
  </si>
  <si>
    <t>上限速度</t>
    <rPh sb="0" eb="2">
      <t>ジョウゲン</t>
    </rPh>
    <rPh sb="2" eb="4">
      <t>ソクド</t>
    </rPh>
    <phoneticPr fontId="3"/>
  </si>
  <si>
    <t>電流</t>
    <rPh sb="0" eb="2">
      <t>デンリュウ</t>
    </rPh>
    <phoneticPr fontId="3"/>
  </si>
  <si>
    <t>0. 定引張力領域(V/F一定)</t>
    <rPh sb="7" eb="9">
      <t>リョウイキ</t>
    </rPh>
    <rPh sb="13" eb="15">
      <t>イッテイ</t>
    </rPh>
    <phoneticPr fontId="3"/>
  </si>
  <si>
    <t xml:space="preserve">3. 特性領域(CVCF) </t>
    <rPh sb="3" eb="5">
      <t>トクセイ</t>
    </rPh>
    <rPh sb="5" eb="7">
      <t>リョウイキ</t>
    </rPh>
    <phoneticPr fontId="3"/>
  </si>
  <si>
    <r>
      <t>1. 定引張力領域(CVVF)</t>
    </r>
    <r>
      <rPr>
        <sz val="9"/>
        <color theme="1"/>
        <rFont val="Meiryo UI"/>
        <family val="3"/>
        <charset val="128"/>
      </rPr>
      <t xml:space="preserve"> </t>
    </r>
    <rPh sb="7" eb="9">
      <t>リョウイキ</t>
    </rPh>
    <phoneticPr fontId="3"/>
  </si>
  <si>
    <t>速度関数の変化点</t>
    <rPh sb="0" eb="2">
      <t>ソクド</t>
    </rPh>
    <rPh sb="2" eb="4">
      <t>カンスウ</t>
    </rPh>
    <rPh sb="5" eb="7">
      <t>ヘンカ</t>
    </rPh>
    <rPh sb="7" eb="8">
      <t>テン</t>
    </rPh>
    <phoneticPr fontId="3"/>
  </si>
  <si>
    <t>比例係数</t>
    <rPh sb="0" eb="2">
      <t>ヒレイ</t>
    </rPh>
    <rPh sb="2" eb="4">
      <t>ケイスウ</t>
    </rPh>
    <phoneticPr fontId="3"/>
  </si>
  <si>
    <t>「A]</t>
    <phoneticPr fontId="3"/>
  </si>
  <si>
    <t>Zero</t>
    <phoneticPr fontId="3"/>
  </si>
  <si>
    <t>絞り込み開始速度</t>
    <rPh sb="0" eb="1">
      <t>シボ</t>
    </rPh>
    <rPh sb="2" eb="3">
      <t>コ</t>
    </rPh>
    <rPh sb="4" eb="6">
      <t>カイシ</t>
    </rPh>
    <rPh sb="6" eb="8">
      <t>ソクド</t>
    </rPh>
    <phoneticPr fontId="3"/>
  </si>
  <si>
    <t>空車</t>
    <rPh sb="0" eb="2">
      <t>クウシャ</t>
    </rPh>
    <phoneticPr fontId="3"/>
  </si>
  <si>
    <t>積車</t>
    <rPh sb="0" eb="2">
      <t>セキシャ</t>
    </rPh>
    <phoneticPr fontId="3"/>
  </si>
  <si>
    <t>絞り込み</t>
    <rPh sb="0" eb="1">
      <t>シボ</t>
    </rPh>
    <rPh sb="2" eb="3">
      <t>コ</t>
    </rPh>
    <phoneticPr fontId="3"/>
  </si>
  <si>
    <t>N/A</t>
    <phoneticPr fontId="3"/>
  </si>
  <si>
    <t>空車　＆ 積車</t>
  </si>
  <si>
    <t xml:space="preserve">2. 定出力領域(CVVF) </t>
    <rPh sb="3" eb="4">
      <t>テイ</t>
    </rPh>
    <rPh sb="4" eb="6">
      <t>シュツリョク</t>
    </rPh>
    <rPh sb="6" eb="8">
      <t>リョウイキ</t>
    </rPh>
    <phoneticPr fontId="3"/>
  </si>
  <si>
    <t>BreakerDelay_On</t>
  </si>
  <si>
    <t>BreakerDelay_Off</t>
  </si>
  <si>
    <t>CurrentReducingTime</t>
  </si>
  <si>
    <t>JerkRegulation_Up</t>
  </si>
  <si>
    <t>JerkRegulation_Down</t>
  </si>
  <si>
    <t>RequiredNotch_Up</t>
  </si>
  <si>
    <t>RequiredNotch_Down</t>
  </si>
  <si>
    <t>Stepdelay_Up</t>
  </si>
  <si>
    <t>Stepdelay_Down</t>
  </si>
  <si>
    <t>CurrentLimitingValue_Empty</t>
  </si>
  <si>
    <t>CurrentLimitingValue_Full</t>
  </si>
  <si>
    <t>係数(発散防止)</t>
    <rPh sb="0" eb="2">
      <t>ケイスウ</t>
    </rPh>
    <rPh sb="3" eb="5">
      <t>ハッサン</t>
    </rPh>
    <rPh sb="5" eb="7">
      <t>ボウシ</t>
    </rPh>
    <phoneticPr fontId="3"/>
  </si>
  <si>
    <t>要マクロ有効化</t>
    <rPh sb="0" eb="1">
      <t>ヨウ</t>
    </rPh>
    <rPh sb="4" eb="6">
      <t>ユウコウ</t>
    </rPh>
    <rPh sb="6" eb="7">
      <t>カ</t>
    </rPh>
    <phoneticPr fontId="3"/>
  </si>
  <si>
    <t>励磁電流</t>
    <rPh sb="0" eb="2">
      <t>レイジ</t>
    </rPh>
    <rPh sb="2" eb="4">
      <t>デンリュウ</t>
    </rPh>
    <phoneticPr fontId="3"/>
  </si>
  <si>
    <t>トルク寄与電流</t>
    <rPh sb="3" eb="5">
      <t>キヨ</t>
    </rPh>
    <rPh sb="5" eb="7">
      <t>デンリュウ</t>
    </rPh>
    <phoneticPr fontId="3"/>
  </si>
  <si>
    <t>モーター電流</t>
    <rPh sb="4" eb="6">
      <t>デンリュウ</t>
    </rPh>
    <phoneticPr fontId="3"/>
  </si>
  <si>
    <t>BveTs Vehicle Performance Table 1.00</t>
    <phoneticPr fontId="3"/>
  </si>
  <si>
    <t>BC圧 [kPa]</t>
    <rPh sb="2" eb="3">
      <t>アツ</t>
    </rPh>
    <phoneticPr fontId="9"/>
  </si>
  <si>
    <r>
      <t>減速度</t>
    </r>
    <r>
      <rPr>
        <sz val="8"/>
        <color theme="1"/>
        <rFont val="Calibri"/>
        <family val="2"/>
      </rPr>
      <t xml:space="preserve"> [km/h/s]</t>
    </r>
    <rPh sb="0" eb="3">
      <t>ゲンソクド</t>
    </rPh>
    <phoneticPr fontId="9"/>
  </si>
  <si>
    <t>[Brake]</t>
    <phoneticPr fontId="9"/>
  </si>
  <si>
    <t>ブレーキ受圧面積相当</t>
    <rPh sb="4" eb="5">
      <t>ジュ</t>
    </rPh>
    <rPh sb="5" eb="6">
      <t>アツ</t>
    </rPh>
    <rPh sb="6" eb="8">
      <t>メンセキ</t>
    </rPh>
    <rPh sb="8" eb="10">
      <t>ソウトウ</t>
    </rPh>
    <phoneticPr fontId="9"/>
  </si>
  <si>
    <t>制輪子摩擦係数</t>
    <rPh sb="0" eb="1">
      <t>セイ</t>
    </rPh>
    <rPh sb="1" eb="3">
      <t>リンシ</t>
    </rPh>
    <rPh sb="3" eb="5">
      <t>マサツ</t>
    </rPh>
    <rPh sb="5" eb="7">
      <t>ケイスウ</t>
    </rPh>
    <phoneticPr fontId="9"/>
  </si>
  <si>
    <t>M</t>
    <phoneticPr fontId="39"/>
  </si>
  <si>
    <t>T</t>
    <phoneticPr fontId="39"/>
  </si>
  <si>
    <t>最高速度[km/h]</t>
    <rPh sb="0" eb="2">
      <t>サイコウ</t>
    </rPh>
    <rPh sb="2" eb="4">
      <t>ソクド</t>
    </rPh>
    <phoneticPr fontId="9"/>
  </si>
  <si>
    <t>速度</t>
    <rPh sb="0" eb="2">
      <t>ソクド</t>
    </rPh>
    <phoneticPr fontId="9"/>
  </si>
  <si>
    <t>ShoeFriction (制輪子摩擦係数) 計算表</t>
    <rPh sb="14" eb="15">
      <t>セイ</t>
    </rPh>
    <rPh sb="15" eb="17">
      <t>リンシ</t>
    </rPh>
    <rPh sb="17" eb="19">
      <t>マサツ</t>
    </rPh>
    <rPh sb="19" eb="21">
      <t>ケイスウ</t>
    </rPh>
    <rPh sb="23" eb="26">
      <t>ケイサンヒョウ</t>
    </rPh>
    <phoneticPr fontId="39"/>
  </si>
  <si>
    <t>踏面直押</t>
    <rPh sb="0" eb="2">
      <t>トウメン</t>
    </rPh>
    <rPh sb="2" eb="3">
      <t>チョク</t>
    </rPh>
    <rPh sb="3" eb="4">
      <t>オ</t>
    </rPh>
    <phoneticPr fontId="39"/>
  </si>
  <si>
    <t>軸ディスク</t>
    <rPh sb="0" eb="1">
      <t>ジク</t>
    </rPh>
    <phoneticPr fontId="39"/>
  </si>
  <si>
    <t>踏面ユニット</t>
    <rPh sb="0" eb="2">
      <t>トウメン</t>
    </rPh>
    <phoneticPr fontId="39"/>
  </si>
  <si>
    <t>シリンダ直径</t>
    <rPh sb="4" eb="6">
      <t>チョッケイ</t>
    </rPh>
    <phoneticPr fontId="39"/>
  </si>
  <si>
    <t>シリンダ個数</t>
    <rPh sb="4" eb="6">
      <t>コスウ</t>
    </rPh>
    <phoneticPr fontId="39"/>
  </si>
  <si>
    <t>ブレーキ倍率</t>
    <rPh sb="4" eb="6">
      <t>バイリツ</t>
    </rPh>
    <phoneticPr fontId="39"/>
  </si>
  <si>
    <t>ブレーキ効率</t>
    <rPh sb="4" eb="6">
      <t>コウリツ</t>
    </rPh>
    <phoneticPr fontId="39"/>
  </si>
  <si>
    <t>ディスク比</t>
    <rPh sb="4" eb="5">
      <t>ヒ</t>
    </rPh>
    <phoneticPr fontId="39"/>
  </si>
  <si>
    <t>基礎ブレーキ方式</t>
    <rPh sb="0" eb="2">
      <t>キソ</t>
    </rPh>
    <rPh sb="6" eb="8">
      <t>ホウシキ</t>
    </rPh>
    <phoneticPr fontId="9"/>
  </si>
  <si>
    <r>
      <t xml:space="preserve">(参考) </t>
    </r>
    <r>
      <rPr>
        <sz val="8"/>
        <color theme="1"/>
        <rFont val="Meiryo UI"/>
        <family val="3"/>
        <charset val="128"/>
      </rPr>
      <t>運転理論 p.145</t>
    </r>
    <rPh sb="1" eb="3">
      <t>サンコウ</t>
    </rPh>
    <rPh sb="5" eb="7">
      <t>ウンテン</t>
    </rPh>
    <rPh sb="7" eb="9">
      <t>リロン</t>
    </rPh>
    <phoneticPr fontId="39"/>
  </si>
  <si>
    <t>係数</t>
    <rPh sb="0" eb="2">
      <t>ケイスウ</t>
    </rPh>
    <phoneticPr fontId="39"/>
  </si>
  <si>
    <t>a</t>
    <phoneticPr fontId="9"/>
  </si>
  <si>
    <t>b</t>
    <phoneticPr fontId="9"/>
  </si>
  <si>
    <t>c</t>
    <phoneticPr fontId="9"/>
  </si>
  <si>
    <t>速度ごとの制輪子摩擦係数</t>
    <rPh sb="0" eb="2">
      <t>ソクド</t>
    </rPh>
    <rPh sb="5" eb="6">
      <t>セイ</t>
    </rPh>
    <rPh sb="6" eb="8">
      <t>リンシ</t>
    </rPh>
    <rPh sb="8" eb="10">
      <t>マサツ</t>
    </rPh>
    <rPh sb="10" eb="12">
      <t>ケイスウ</t>
    </rPh>
    <phoneticPr fontId="39"/>
  </si>
  <si>
    <t>平均速度</t>
    <rPh sb="0" eb="2">
      <t>ヘイキン</t>
    </rPh>
    <rPh sb="2" eb="4">
      <t>ソクド</t>
    </rPh>
    <phoneticPr fontId="9"/>
  </si>
  <si>
    <t>使用速度域</t>
    <rPh sb="0" eb="2">
      <t>シヨウ</t>
    </rPh>
    <rPh sb="2" eb="4">
      <t>ソクド</t>
    </rPh>
    <rPh sb="4" eb="5">
      <t>イキ</t>
    </rPh>
    <phoneticPr fontId="9"/>
  </si>
  <si>
    <t>軸の構成比</t>
    <rPh sb="0" eb="1">
      <t>ジク</t>
    </rPh>
    <rPh sb="2" eb="4">
      <t>コウセイ</t>
    </rPh>
    <rPh sb="4" eb="5">
      <t>ヒ</t>
    </rPh>
    <phoneticPr fontId="9"/>
  </si>
  <si>
    <t>係数の平均</t>
    <rPh sb="0" eb="2">
      <t>ケイスウ</t>
    </rPh>
    <rPh sb="3" eb="5">
      <t>ヘイキン</t>
    </rPh>
    <phoneticPr fontId="9"/>
  </si>
  <si>
    <t>近似曲線</t>
    <phoneticPr fontId="9"/>
  </si>
  <si>
    <t>差異</t>
    <rPh sb="0" eb="2">
      <t>サイ</t>
    </rPh>
    <phoneticPr fontId="9"/>
  </si>
  <si>
    <t>近似の係数</t>
    <rPh sb="3" eb="5">
      <t>ケイスウ</t>
    </rPh>
    <phoneticPr fontId="9"/>
  </si>
  <si>
    <t>↑[Brake] で使う ShoeFriction</t>
    <rPh sb="10" eb="11">
      <t>ツカ</t>
    </rPh>
    <phoneticPr fontId="9"/>
  </si>
  <si>
    <t>←[AirSupplement] で使う ShoeFriction</t>
    <rPh sb="18" eb="19">
      <t>ツカ</t>
    </rPh>
    <phoneticPr fontId="9"/>
  </si>
  <si>
    <t>[AirSupplement]</t>
    <phoneticPr fontId="9"/>
  </si>
  <si>
    <t>T</t>
  </si>
  <si>
    <t>M</t>
  </si>
  <si>
    <t>BveTs Vehicle Performance Table 1.00</t>
    <phoneticPr fontId="9"/>
  </si>
  <si>
    <t>ResetTime</t>
  </si>
  <si>
    <t>M</t>
    <phoneticPr fontId="9"/>
  </si>
  <si>
    <t>T</t>
    <phoneticPr fontId="9"/>
  </si>
  <si>
    <t>二乗</t>
    <rPh sb="0" eb="2">
      <t>ニジョウ</t>
    </rPh>
    <phoneticPr fontId="9"/>
  </si>
  <si>
    <t>合計</t>
    <rPh sb="0" eb="2">
      <t>ゴウケイ</t>
    </rPh>
    <phoneticPr fontId="9"/>
  </si>
  <si>
    <t>差異が小さくなるように調整する</t>
    <rPh sb="0" eb="2">
      <t>サイ</t>
    </rPh>
    <rPh sb="3" eb="4">
      <t>チイ</t>
    </rPh>
    <rPh sb="11" eb="13">
      <t>チョウセイ</t>
    </rPh>
    <phoneticPr fontId="9"/>
  </si>
</sst>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Red]\-#,##0.0"/>
    <numFmt numFmtId="177" formatCode="0_);[Red]\(0\)"/>
    <numFmt numFmtId="178" formatCode="0_ "/>
    <numFmt numFmtId="179" formatCode="0.0"/>
    <numFmt numFmtId="180" formatCode="0.00_);[Red]\(0.00\)"/>
    <numFmt numFmtId="181" formatCode="#,##0.000;[Red]\-#,##0.000"/>
    <numFmt numFmtId="182" formatCode="0.000"/>
  </numFmts>
  <fonts count="45" x14ac:knownFonts="1">
    <font>
      <sz val="8"/>
      <color theme="1"/>
      <name val="Meiryo UI"/>
      <family val="3"/>
      <charset val="128"/>
    </font>
    <font>
      <sz val="6"/>
      <name val="ＭＳ Ｐゴシック"/>
      <family val="2"/>
      <charset val="128"/>
      <scheme val="minor"/>
    </font>
    <font>
      <sz val="11"/>
      <color theme="1"/>
      <name val="ＭＳ Ｐゴシック"/>
      <family val="2"/>
      <charset val="128"/>
      <scheme val="minor"/>
    </font>
    <font>
      <sz val="6"/>
      <name val="ＭＳ Ｐゴシック"/>
      <family val="3"/>
      <charset val="128"/>
    </font>
    <font>
      <sz val="11"/>
      <color theme="1"/>
      <name val="Calibri"/>
      <family val="2"/>
    </font>
    <font>
      <b/>
      <u/>
      <sz val="9"/>
      <color theme="1"/>
      <name val="Calibri"/>
      <family val="2"/>
    </font>
    <font>
      <b/>
      <sz val="8"/>
      <color theme="1"/>
      <name val="Meiryo UI"/>
      <family val="3"/>
      <charset val="128"/>
    </font>
    <font>
      <b/>
      <u/>
      <sz val="8"/>
      <name val="Meiryo UI"/>
      <family val="3"/>
      <charset val="128"/>
    </font>
    <font>
      <sz val="8"/>
      <color theme="1"/>
      <name val="Calibri"/>
      <family val="2"/>
    </font>
    <font>
      <sz val="6"/>
      <name val="Meiryo UI"/>
      <family val="3"/>
      <charset val="128"/>
    </font>
    <font>
      <sz val="11"/>
      <color theme="1"/>
      <name val="Meiryo UI"/>
      <family val="3"/>
      <charset val="128"/>
    </font>
    <font>
      <sz val="8"/>
      <color theme="0" tint="-0.499984740745262"/>
      <name val="Meiryo UI"/>
      <family val="3"/>
      <charset val="128"/>
    </font>
    <font>
      <sz val="8"/>
      <color theme="0" tint="-0.499984740745262"/>
      <name val="Calibri"/>
      <family val="2"/>
    </font>
    <font>
      <sz val="7"/>
      <color theme="0" tint="-0.499984740745262"/>
      <name val="Calibri"/>
      <family val="2"/>
    </font>
    <font>
      <sz val="11"/>
      <color theme="0" tint="-0.499984740745262"/>
      <name val="Meiryo UI"/>
      <family val="3"/>
      <charset val="128"/>
    </font>
    <font>
      <sz val="8"/>
      <color theme="0" tint="-0.34998626667073579"/>
      <name val="Meiryo UI"/>
      <family val="3"/>
      <charset val="128"/>
    </font>
    <font>
      <sz val="8"/>
      <color theme="0" tint="-0.14999847407452621"/>
      <name val="Meiryo UI"/>
      <family val="3"/>
      <charset val="128"/>
    </font>
    <font>
      <sz val="8"/>
      <color rgb="FF0000FF"/>
      <name val="Meiryo UI"/>
      <family val="3"/>
      <charset val="128"/>
    </font>
    <font>
      <b/>
      <sz val="8"/>
      <color rgb="FFFF0000"/>
      <name val="Meiryo UI"/>
      <family val="3"/>
      <charset val="128"/>
    </font>
    <font>
      <sz val="9"/>
      <color theme="1"/>
      <name val="Calibri"/>
      <family val="2"/>
    </font>
    <font>
      <b/>
      <sz val="9"/>
      <color theme="1"/>
      <name val="Meiryo UI"/>
      <family val="3"/>
      <charset val="128"/>
    </font>
    <font>
      <sz val="9"/>
      <color theme="1"/>
      <name val="Meiryo UI"/>
      <family val="3"/>
      <charset val="128"/>
    </font>
    <font>
      <b/>
      <sz val="9"/>
      <color indexed="81"/>
      <name val="Meiryo UI"/>
      <family val="3"/>
      <charset val="128"/>
    </font>
    <font>
      <b/>
      <u/>
      <sz val="9"/>
      <color theme="0" tint="-0.499984740745262"/>
      <name val="Calibri"/>
      <family val="2"/>
    </font>
    <font>
      <sz val="8"/>
      <color theme="1"/>
      <name val="Meiryo UI"/>
      <family val="3"/>
      <charset val="128"/>
    </font>
    <font>
      <b/>
      <u/>
      <sz val="8"/>
      <color theme="0" tint="-0.499984740745262"/>
      <name val="Meiryo UI"/>
      <family val="3"/>
      <charset val="128"/>
    </font>
    <font>
      <i/>
      <sz val="8"/>
      <color theme="0" tint="-0.499984740745262"/>
      <name val="Calibri"/>
      <family val="2"/>
    </font>
    <font>
      <b/>
      <u/>
      <sz val="8"/>
      <color theme="1"/>
      <name val="Meiryo UI"/>
      <family val="3"/>
      <charset val="128"/>
    </font>
    <font>
      <sz val="9"/>
      <color indexed="81"/>
      <name val="Meiryo UI"/>
      <family val="3"/>
      <charset val="128"/>
    </font>
    <font>
      <i/>
      <sz val="8"/>
      <color theme="1"/>
      <name val="Calibri"/>
      <family val="2"/>
    </font>
    <font>
      <sz val="8"/>
      <color indexed="81"/>
      <name val="Meiryo UI"/>
      <family val="3"/>
      <charset val="128"/>
    </font>
    <font>
      <sz val="9"/>
      <color theme="1" tint="0.499984740745262"/>
      <name val="Calibri"/>
      <family val="2"/>
    </font>
    <font>
      <sz val="8"/>
      <color theme="1" tint="0.499984740745262"/>
      <name val="Meiryo UI"/>
      <family val="3"/>
      <charset val="128"/>
    </font>
    <font>
      <sz val="9"/>
      <color rgb="FF0000FF"/>
      <name val="Calibri"/>
      <family val="2"/>
    </font>
    <font>
      <sz val="8"/>
      <color rgb="FF000000"/>
      <name val="Meiryo UI"/>
      <family val="3"/>
      <charset val="128"/>
    </font>
    <font>
      <b/>
      <sz val="8"/>
      <color theme="0"/>
      <name val="Meiryo UI"/>
      <family val="3"/>
      <charset val="128"/>
    </font>
    <font>
      <sz val="9"/>
      <color theme="0"/>
      <name val="Meiryo UI"/>
      <family val="3"/>
      <charset val="128"/>
    </font>
    <font>
      <sz val="9"/>
      <name val="Calibri"/>
      <family val="2"/>
    </font>
    <font>
      <sz val="9"/>
      <color theme="0" tint="-0.249977111117893"/>
      <name val="Calibri"/>
      <family val="2"/>
    </font>
    <font>
      <sz val="6"/>
      <name val="Calibri"/>
      <family val="2"/>
      <charset val="128"/>
    </font>
    <font>
      <sz val="9"/>
      <color rgb="FF0000CC"/>
      <name val="Calibri"/>
      <family val="2"/>
    </font>
    <font>
      <sz val="10"/>
      <color theme="1"/>
      <name val="Meiryo UI"/>
      <family val="3"/>
      <charset val="128"/>
    </font>
    <font>
      <sz val="8"/>
      <color rgb="FF0000CC"/>
      <name val="Meiryo UI"/>
      <family val="3"/>
      <charset val="128"/>
    </font>
    <font>
      <sz val="8"/>
      <color theme="1" tint="0.499984740745262"/>
      <name val="Calibri"/>
      <family val="2"/>
    </font>
    <font>
      <b/>
      <sz val="8"/>
      <color rgb="FF002060"/>
      <name val="Meiryo UI"/>
      <family val="3"/>
      <charset val="128"/>
    </font>
  </fonts>
  <fills count="18">
    <fill>
      <patternFill patternType="none"/>
    </fill>
    <fill>
      <patternFill patternType="gray125"/>
    </fill>
    <fill>
      <patternFill patternType="solid">
        <fgColor rgb="FFFFFF99"/>
        <bgColor indexed="64"/>
      </patternFill>
    </fill>
    <fill>
      <patternFill patternType="solid">
        <fgColor theme="2"/>
        <bgColor indexed="64"/>
      </patternFill>
    </fill>
    <fill>
      <patternFill patternType="solid">
        <fgColor theme="4" tint="0.59999389629810485"/>
        <bgColor indexed="64"/>
      </patternFill>
    </fill>
    <fill>
      <patternFill patternType="solid">
        <fgColor theme="9" tint="0.79998168889431442"/>
        <bgColor indexed="64"/>
      </patternFill>
    </fill>
    <fill>
      <patternFill patternType="mediumGray">
        <fgColor theme="0"/>
        <bgColor theme="2"/>
      </patternFill>
    </fill>
    <fill>
      <patternFill patternType="mediumGray">
        <fgColor theme="0"/>
        <bgColor theme="9" tint="0.79998168889431442"/>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92D050"/>
        <bgColor indexed="64"/>
      </patternFill>
    </fill>
    <fill>
      <patternFill patternType="mediumGray">
        <fgColor theme="3" tint="0.79998168889431442"/>
        <bgColor indexed="65"/>
      </patternFill>
    </fill>
    <fill>
      <patternFill patternType="solid">
        <fgColor theme="4" tint="0.79998168889431442"/>
        <bgColor indexed="64"/>
      </patternFill>
    </fill>
    <fill>
      <patternFill patternType="mediumGray">
        <fgColor theme="3" tint="0.79998168889431442"/>
        <bgColor theme="4" tint="0.79998168889431442"/>
      </patternFill>
    </fill>
    <fill>
      <patternFill patternType="solid">
        <fgColor rgb="FFC00000"/>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rgb="FFFFCCFF"/>
        <bgColor indexed="64"/>
      </patternFill>
    </fill>
  </fills>
  <borders count="25">
    <border>
      <left/>
      <right/>
      <top/>
      <bottom/>
      <diagonal/>
    </border>
    <border>
      <left/>
      <right style="thick">
        <color theme="0" tint="-4.9989318521683403E-2"/>
      </right>
      <top/>
      <bottom style="thick">
        <color theme="0" tint="-4.9989318521683403E-2"/>
      </bottom>
      <diagonal/>
    </border>
    <border>
      <left/>
      <right/>
      <top/>
      <bottom style="thick">
        <color theme="0" tint="-4.9989318521683403E-2"/>
      </bottom>
      <diagonal/>
    </border>
    <border>
      <left style="thick">
        <color theme="0" tint="-4.9989318521683403E-2"/>
      </left>
      <right/>
      <top/>
      <bottom style="thick">
        <color theme="0" tint="-4.9989318521683403E-2"/>
      </bottom>
      <diagonal/>
    </border>
    <border>
      <left/>
      <right style="thick">
        <color theme="0" tint="-4.9989318521683403E-2"/>
      </right>
      <top/>
      <bottom/>
      <diagonal/>
    </border>
    <border>
      <left style="thick">
        <color theme="0" tint="-4.9989318521683403E-2"/>
      </left>
      <right/>
      <top/>
      <bottom/>
      <diagonal/>
    </border>
    <border>
      <left/>
      <right style="thick">
        <color theme="6" tint="0.79998168889431442"/>
      </right>
      <top/>
      <bottom style="thick">
        <color theme="6" tint="0.79998168889431442"/>
      </bottom>
      <diagonal/>
    </border>
    <border>
      <left/>
      <right/>
      <top/>
      <bottom style="thick">
        <color theme="6" tint="0.79998168889431442"/>
      </bottom>
      <diagonal/>
    </border>
    <border>
      <left style="thick">
        <color theme="6" tint="0.79998168889431442"/>
      </left>
      <right/>
      <top/>
      <bottom style="thick">
        <color theme="6" tint="0.79998168889431442"/>
      </bottom>
      <diagonal/>
    </border>
    <border>
      <left/>
      <right style="thick">
        <color theme="6" tint="0.79998168889431442"/>
      </right>
      <top/>
      <bottom/>
      <diagonal/>
    </border>
    <border>
      <left style="thick">
        <color theme="6" tint="0.79998168889431442"/>
      </left>
      <right/>
      <top/>
      <bottom/>
      <diagonal/>
    </border>
    <border>
      <left style="thick">
        <color rgb="FF92D050"/>
      </left>
      <right style="thick">
        <color rgb="FF92D050"/>
      </right>
      <top/>
      <bottom/>
      <diagonal/>
    </border>
    <border>
      <left style="hair">
        <color theme="1" tint="0.499984740745262"/>
      </left>
      <right style="hair">
        <color theme="1" tint="0.499984740745262"/>
      </right>
      <top style="hair">
        <color theme="1" tint="0.499984740745262"/>
      </top>
      <bottom style="hair">
        <color theme="1" tint="0.499984740745262"/>
      </bottom>
      <diagonal/>
    </border>
    <border>
      <left style="thick">
        <color theme="4" tint="0.59996337778862885"/>
      </left>
      <right/>
      <top/>
      <bottom/>
      <diagonal/>
    </border>
    <border>
      <left/>
      <right style="thick">
        <color theme="4" tint="0.59996337778862885"/>
      </right>
      <top/>
      <bottom/>
      <diagonal/>
    </border>
    <border>
      <left style="thick">
        <color theme="4" tint="0.59996337778862885"/>
      </left>
      <right/>
      <top/>
      <bottom style="thick">
        <color theme="4" tint="0.59996337778862885"/>
      </bottom>
      <diagonal/>
    </border>
    <border>
      <left/>
      <right/>
      <top/>
      <bottom style="thick">
        <color theme="4" tint="0.59996337778862885"/>
      </bottom>
      <diagonal/>
    </border>
    <border>
      <left/>
      <right style="thick">
        <color theme="4" tint="0.59996337778862885"/>
      </right>
      <top/>
      <bottom style="thick">
        <color theme="4" tint="0.59996337778862885"/>
      </bottom>
      <diagonal/>
    </border>
    <border>
      <left style="medium">
        <color theme="9" tint="0.59996337778862885"/>
      </left>
      <right/>
      <top style="medium">
        <color theme="9" tint="0.39994506668294322"/>
      </top>
      <bottom/>
      <diagonal/>
    </border>
    <border>
      <left/>
      <right/>
      <top style="medium">
        <color theme="9" tint="0.39994506668294322"/>
      </top>
      <bottom/>
      <diagonal/>
    </border>
    <border>
      <left style="medium">
        <color theme="9" tint="0.59996337778862885"/>
      </left>
      <right/>
      <top/>
      <bottom/>
      <diagonal/>
    </border>
    <border>
      <left/>
      <right style="medium">
        <color theme="9" tint="0.59996337778862885"/>
      </right>
      <top/>
      <bottom/>
      <diagonal/>
    </border>
    <border>
      <left style="medium">
        <color theme="9" tint="0.59996337778862885"/>
      </left>
      <right/>
      <top/>
      <bottom style="medium">
        <color theme="9" tint="0.59996337778862885"/>
      </bottom>
      <diagonal/>
    </border>
    <border>
      <left/>
      <right/>
      <top/>
      <bottom style="medium">
        <color theme="9" tint="0.59996337778862885"/>
      </bottom>
      <diagonal/>
    </border>
    <border>
      <left/>
      <right style="medium">
        <color theme="9" tint="0.59996337778862885"/>
      </right>
      <top/>
      <bottom style="medium">
        <color theme="9" tint="0.59996337778862885"/>
      </bottom>
      <diagonal/>
    </border>
  </borders>
  <cellStyleXfs count="3">
    <xf numFmtId="0" fontId="0" fillId="0" borderId="0">
      <alignment vertical="center"/>
    </xf>
    <xf numFmtId="38" fontId="2" fillId="0" borderId="0" applyFont="0" applyFill="0" applyBorder="0" applyAlignment="0" applyProtection="0">
      <alignment vertical="center"/>
    </xf>
    <xf numFmtId="9" fontId="24" fillId="0" borderId="0" applyFont="0" applyFill="0" applyBorder="0" applyAlignment="0" applyProtection="0">
      <alignment vertical="center"/>
    </xf>
  </cellStyleXfs>
  <cellXfs count="127">
    <xf numFmtId="0" fontId="0" fillId="0" borderId="0" xfId="0">
      <alignment vertical="center"/>
    </xf>
    <xf numFmtId="0" fontId="4" fillId="0" borderId="0" xfId="0" applyFont="1">
      <alignment vertical="center"/>
    </xf>
    <xf numFmtId="0" fontId="0" fillId="3" borderId="0" xfId="0" applyFill="1">
      <alignment vertical="center"/>
    </xf>
    <xf numFmtId="0" fontId="5" fillId="3" borderId="0" xfId="0" applyFont="1" applyFill="1" applyAlignment="1">
      <alignment horizontal="center" vertical="center"/>
    </xf>
    <xf numFmtId="0" fontId="0" fillId="3" borderId="0" xfId="0" applyFill="1" applyAlignment="1">
      <alignment horizontal="center" vertical="center"/>
    </xf>
    <xf numFmtId="0" fontId="0" fillId="5" borderId="0" xfId="0" applyFill="1" applyAlignment="1">
      <alignment horizontal="center" vertical="center"/>
    </xf>
    <xf numFmtId="0" fontId="0" fillId="5" borderId="0" xfId="0" applyFill="1">
      <alignment vertical="center"/>
    </xf>
    <xf numFmtId="0" fontId="5" fillId="5" borderId="0" xfId="0" applyFont="1" applyFill="1" applyAlignment="1">
      <alignment horizontal="center" vertical="center"/>
    </xf>
    <xf numFmtId="0" fontId="7" fillId="6" borderId="0" xfId="0" applyFont="1" applyFill="1" applyAlignment="1">
      <alignment horizontal="centerContinuous" vertical="center"/>
    </xf>
    <xf numFmtId="0" fontId="7" fillId="7" borderId="0" xfId="0" applyFont="1" applyFill="1" applyAlignment="1">
      <alignment horizontal="centerContinuous" vertical="center"/>
    </xf>
    <xf numFmtId="0" fontId="8" fillId="0" borderId="0" xfId="0" applyFont="1">
      <alignment vertical="center"/>
    </xf>
    <xf numFmtId="0" fontId="8" fillId="3" borderId="0" xfId="0" applyFont="1" applyFill="1">
      <alignment vertical="center"/>
    </xf>
    <xf numFmtId="38" fontId="8" fillId="5" borderId="0" xfId="1" applyFont="1" applyFill="1">
      <alignment vertical="center"/>
    </xf>
    <xf numFmtId="0" fontId="10" fillId="0" borderId="0" xfId="0" applyFont="1">
      <alignment vertical="center"/>
    </xf>
    <xf numFmtId="0" fontId="11" fillId="0" borderId="1" xfId="0" applyFont="1" applyBorder="1">
      <alignment vertical="center"/>
    </xf>
    <xf numFmtId="0" fontId="11" fillId="0" borderId="2" xfId="0" applyFont="1" applyBorder="1">
      <alignment vertical="center"/>
    </xf>
    <xf numFmtId="0" fontId="11" fillId="0" borderId="3" xfId="0" applyFont="1" applyBorder="1">
      <alignment vertical="center"/>
    </xf>
    <xf numFmtId="0" fontId="11" fillId="0" borderId="4" xfId="0" applyFont="1" applyBorder="1">
      <alignment vertical="center"/>
    </xf>
    <xf numFmtId="9" fontId="12" fillId="0" borderId="0" xfId="0" applyNumberFormat="1" applyFont="1">
      <alignment vertical="center"/>
    </xf>
    <xf numFmtId="0" fontId="13" fillId="0" borderId="0" xfId="0" applyFont="1">
      <alignment vertical="center"/>
    </xf>
    <xf numFmtId="0" fontId="12" fillId="0" borderId="0" xfId="0" applyFont="1">
      <alignment vertical="center"/>
    </xf>
    <xf numFmtId="0" fontId="11" fillId="0" borderId="0" xfId="0" applyFont="1">
      <alignment vertical="center"/>
    </xf>
    <xf numFmtId="0" fontId="11" fillId="0" borderId="5" xfId="0" applyFont="1" applyBorder="1">
      <alignment vertical="center"/>
    </xf>
    <xf numFmtId="0" fontId="11" fillId="0" borderId="0" xfId="0" applyFont="1" applyAlignment="1">
      <alignment horizontal="center" vertical="center"/>
    </xf>
    <xf numFmtId="0" fontId="12" fillId="8" borderId="0" xfId="0" applyFont="1" applyFill="1">
      <alignment vertical="center"/>
    </xf>
    <xf numFmtId="0" fontId="11" fillId="9" borderId="4" xfId="0" applyFont="1" applyFill="1" applyBorder="1">
      <alignment vertical="center"/>
    </xf>
    <xf numFmtId="0" fontId="11" fillId="9" borderId="0" xfId="0" applyFont="1" applyFill="1">
      <alignment vertical="center"/>
    </xf>
    <xf numFmtId="0" fontId="14" fillId="9" borderId="5" xfId="0" applyFont="1" applyFill="1"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15" fillId="0" borderId="0" xfId="0" applyFont="1">
      <alignment vertical="center"/>
    </xf>
    <xf numFmtId="0" fontId="0" fillId="0" borderId="10" xfId="0" applyBorder="1">
      <alignment vertical="center"/>
    </xf>
    <xf numFmtId="0" fontId="16" fillId="0" borderId="0" xfId="0" applyFont="1">
      <alignment vertical="center"/>
    </xf>
    <xf numFmtId="0" fontId="0" fillId="10" borderId="11" xfId="0" applyFill="1" applyBorder="1">
      <alignment vertical="center"/>
    </xf>
    <xf numFmtId="0" fontId="0" fillId="10" borderId="0" xfId="0" applyFill="1">
      <alignment vertical="center"/>
    </xf>
    <xf numFmtId="0" fontId="10" fillId="10" borderId="11" xfId="0" applyFont="1" applyFill="1" applyBorder="1">
      <alignment vertical="center"/>
    </xf>
    <xf numFmtId="0" fontId="0" fillId="0" borderId="0" xfId="0" applyAlignment="1">
      <alignment horizontal="center" vertical="center"/>
    </xf>
    <xf numFmtId="9" fontId="17" fillId="2" borderId="0" xfId="0" applyNumberFormat="1" applyFont="1" applyFill="1">
      <alignment vertical="center"/>
    </xf>
    <xf numFmtId="177" fontId="17" fillId="2" borderId="0" xfId="0" applyNumberFormat="1" applyFont="1" applyFill="1">
      <alignment vertical="center"/>
    </xf>
    <xf numFmtId="178" fontId="0" fillId="0" borderId="0" xfId="1" applyNumberFormat="1" applyFont="1" applyBorder="1">
      <alignment vertical="center"/>
    </xf>
    <xf numFmtId="0" fontId="17" fillId="2" borderId="0" xfId="0" applyFont="1" applyFill="1" applyAlignment="1">
      <alignment horizontal="center" vertical="center"/>
    </xf>
    <xf numFmtId="176" fontId="0" fillId="0" borderId="0" xfId="1" applyNumberFormat="1" applyFont="1" applyBorder="1">
      <alignment vertical="center"/>
    </xf>
    <xf numFmtId="179" fontId="0" fillId="0" borderId="0" xfId="0" applyNumberFormat="1">
      <alignment vertical="center"/>
    </xf>
    <xf numFmtId="179" fontId="17" fillId="2" borderId="0" xfId="0" applyNumberFormat="1" applyFont="1" applyFill="1" applyAlignment="1">
      <alignment horizontal="center" vertical="center"/>
    </xf>
    <xf numFmtId="0" fontId="18" fillId="0" borderId="0" xfId="0" applyFont="1">
      <alignment vertical="center"/>
    </xf>
    <xf numFmtId="178" fontId="0" fillId="0" borderId="0" xfId="0" applyNumberFormat="1" applyAlignment="1">
      <alignment horizontal="center" vertical="center"/>
    </xf>
    <xf numFmtId="178" fontId="0" fillId="0" borderId="0" xfId="0" applyNumberFormat="1">
      <alignment vertical="center"/>
    </xf>
    <xf numFmtId="0" fontId="0" fillId="8" borderId="12" xfId="0" applyFill="1" applyBorder="1" applyAlignment="1">
      <alignment horizontal="center" vertical="center"/>
    </xf>
    <xf numFmtId="38" fontId="8" fillId="3" borderId="0" xfId="1" applyFont="1" applyFill="1">
      <alignment vertical="center"/>
    </xf>
    <xf numFmtId="0" fontId="6" fillId="4" borderId="0" xfId="0" applyFont="1" applyFill="1" applyAlignment="1">
      <alignment horizontal="centerContinuous" vertical="center"/>
    </xf>
    <xf numFmtId="0" fontId="0" fillId="0" borderId="13" xfId="0" applyBorder="1">
      <alignment vertical="center"/>
    </xf>
    <xf numFmtId="0" fontId="0" fillId="0" borderId="14" xfId="0" applyBorder="1">
      <alignment vertical="center"/>
    </xf>
    <xf numFmtId="0" fontId="0" fillId="13" borderId="14" xfId="0" applyFill="1" applyBorder="1">
      <alignment vertical="center"/>
    </xf>
    <xf numFmtId="0" fontId="20" fillId="11" borderId="13" xfId="0" applyFont="1" applyFill="1" applyBorder="1" applyAlignment="1">
      <alignment horizontal="left" vertical="center" indent="1"/>
    </xf>
    <xf numFmtId="0" fontId="20" fillId="13" borderId="13" xfId="0" applyFont="1" applyFill="1" applyBorder="1" applyAlignment="1">
      <alignment horizontal="left" vertical="center" indent="1"/>
    </xf>
    <xf numFmtId="0" fontId="11" fillId="5" borderId="0" xfId="0" applyFont="1" applyFill="1">
      <alignment vertical="center"/>
    </xf>
    <xf numFmtId="0" fontId="23" fillId="5" borderId="0" xfId="0" applyFont="1" applyFill="1" applyAlignment="1">
      <alignment horizontal="center" vertical="center"/>
    </xf>
    <xf numFmtId="38" fontId="12" fillId="5" borderId="0" xfId="1" applyFont="1" applyFill="1">
      <alignment vertical="center"/>
    </xf>
    <xf numFmtId="0" fontId="25" fillId="6" borderId="0" xfId="0" applyFont="1" applyFill="1" applyAlignment="1">
      <alignment horizontal="centerContinuous" vertical="center"/>
    </xf>
    <xf numFmtId="0" fontId="11" fillId="3" borderId="0" xfId="0" applyFont="1" applyFill="1">
      <alignment vertical="center"/>
    </xf>
    <xf numFmtId="0" fontId="23" fillId="3" borderId="0" xfId="0" applyFont="1" applyFill="1" applyAlignment="1">
      <alignment horizontal="center" vertical="center"/>
    </xf>
    <xf numFmtId="38" fontId="12" fillId="3" borderId="0" xfId="1" applyFont="1" applyFill="1">
      <alignment vertical="center"/>
    </xf>
    <xf numFmtId="0" fontId="0" fillId="12" borderId="0" xfId="0" applyFill="1">
      <alignment vertical="center"/>
    </xf>
    <xf numFmtId="0" fontId="0" fillId="0" borderId="13" xfId="0" applyBorder="1" applyAlignment="1">
      <alignment horizontal="left" vertical="center" indent="2"/>
    </xf>
    <xf numFmtId="0" fontId="19" fillId="0" borderId="0" xfId="0" applyFont="1">
      <alignment vertical="center"/>
    </xf>
    <xf numFmtId="38" fontId="19" fillId="0" borderId="0" xfId="1" applyFont="1" applyFill="1" applyBorder="1">
      <alignment vertical="center"/>
    </xf>
    <xf numFmtId="176" fontId="19" fillId="0" borderId="0" xfId="1" applyNumberFormat="1" applyFont="1" applyFill="1" applyBorder="1">
      <alignment vertical="center"/>
    </xf>
    <xf numFmtId="38" fontId="19" fillId="0" borderId="0" xfId="1" applyFont="1" applyBorder="1">
      <alignment vertical="center"/>
    </xf>
    <xf numFmtId="176" fontId="19" fillId="0" borderId="0" xfId="1" applyNumberFormat="1" applyFont="1" applyBorder="1">
      <alignment vertical="center"/>
    </xf>
    <xf numFmtId="0" fontId="0" fillId="0" borderId="15" xfId="0" applyBorder="1">
      <alignment vertical="center"/>
    </xf>
    <xf numFmtId="0" fontId="0" fillId="0" borderId="16" xfId="0" applyBorder="1">
      <alignment vertical="center"/>
    </xf>
    <xf numFmtId="0" fontId="0" fillId="0" borderId="17" xfId="0" applyBorder="1">
      <alignment vertical="center"/>
    </xf>
    <xf numFmtId="38" fontId="26" fillId="5" borderId="0" xfId="1" applyFont="1" applyFill="1">
      <alignment vertical="center"/>
    </xf>
    <xf numFmtId="38" fontId="26" fillId="3" borderId="0" xfId="1" applyFont="1" applyFill="1">
      <alignment vertical="center"/>
    </xf>
    <xf numFmtId="0" fontId="27" fillId="0" borderId="0" xfId="0" applyFont="1" applyAlignment="1">
      <alignment horizontal="center" vertical="center"/>
    </xf>
    <xf numFmtId="0" fontId="26" fillId="3" borderId="0" xfId="0" applyFont="1" applyFill="1">
      <alignment vertical="center"/>
    </xf>
    <xf numFmtId="9" fontId="8" fillId="0" borderId="0" xfId="2" applyFont="1">
      <alignment vertical="center"/>
    </xf>
    <xf numFmtId="0" fontId="20" fillId="4" borderId="13" xfId="0" applyFont="1" applyFill="1" applyBorder="1" applyAlignment="1">
      <alignment horizontal="centerContinuous" vertical="center"/>
    </xf>
    <xf numFmtId="0" fontId="0" fillId="4" borderId="0" xfId="0" applyFill="1" applyAlignment="1">
      <alignment horizontal="centerContinuous" vertical="center"/>
    </xf>
    <xf numFmtId="0" fontId="0" fillId="4" borderId="14" xfId="0" applyFill="1" applyBorder="1" applyAlignment="1">
      <alignment horizontal="centerContinuous" vertical="center"/>
    </xf>
    <xf numFmtId="0" fontId="29" fillId="0" borderId="0" xfId="0" applyFont="1">
      <alignment vertical="center"/>
    </xf>
    <xf numFmtId="9" fontId="17" fillId="2" borderId="0" xfId="0" applyNumberFormat="1" applyFont="1" applyFill="1" applyAlignment="1">
      <alignment vertical="center" shrinkToFit="1"/>
    </xf>
    <xf numFmtId="2" fontId="0" fillId="0" borderId="0" xfId="0" applyNumberFormat="1">
      <alignment vertical="center"/>
    </xf>
    <xf numFmtId="40" fontId="31" fillId="9" borderId="0" xfId="1" applyNumberFormat="1" applyFont="1" applyFill="1" applyBorder="1">
      <alignment vertical="center"/>
    </xf>
    <xf numFmtId="0" fontId="32" fillId="0" borderId="13" xfId="0" applyFont="1" applyBorder="1" applyAlignment="1">
      <alignment horizontal="left" vertical="center" indent="2"/>
    </xf>
    <xf numFmtId="0" fontId="33" fillId="2" borderId="0" xfId="0" applyFont="1" applyFill="1">
      <alignment vertical="center"/>
    </xf>
    <xf numFmtId="38" fontId="33" fillId="2" borderId="0" xfId="1" applyFont="1" applyFill="1" applyBorder="1">
      <alignment vertical="center"/>
    </xf>
    <xf numFmtId="40" fontId="33" fillId="2" borderId="0" xfId="1" applyNumberFormat="1" applyFont="1" applyFill="1" applyBorder="1">
      <alignment vertical="center"/>
    </xf>
    <xf numFmtId="0" fontId="0" fillId="14" borderId="0" xfId="0" applyFill="1">
      <alignment vertical="center"/>
    </xf>
    <xf numFmtId="0" fontId="35" fillId="14" borderId="0" xfId="0" applyFont="1" applyFill="1">
      <alignment vertical="center"/>
    </xf>
    <xf numFmtId="0" fontId="36" fillId="14" borderId="0" xfId="0" applyFont="1" applyFill="1">
      <alignment vertical="center"/>
    </xf>
    <xf numFmtId="38" fontId="37" fillId="0" borderId="0" xfId="1" applyFont="1" applyFill="1" applyBorder="1">
      <alignment vertical="center"/>
    </xf>
    <xf numFmtId="38" fontId="38" fillId="0" borderId="0" xfId="1" applyFont="1" applyFill="1" applyBorder="1">
      <alignment vertical="center"/>
    </xf>
    <xf numFmtId="180" fontId="17" fillId="2" borderId="0" xfId="0" applyNumberFormat="1" applyFont="1" applyFill="1">
      <alignment vertical="center"/>
    </xf>
    <xf numFmtId="0" fontId="41" fillId="0" borderId="0" xfId="0" applyFont="1">
      <alignment vertical="center"/>
    </xf>
    <xf numFmtId="182" fontId="19" fillId="0" borderId="0" xfId="1" applyNumberFormat="1" applyFont="1" applyBorder="1">
      <alignment vertical="center"/>
    </xf>
    <xf numFmtId="0" fontId="33" fillId="2" borderId="0" xfId="1" applyNumberFormat="1" applyFont="1" applyFill="1" applyBorder="1">
      <alignment vertical="center"/>
    </xf>
    <xf numFmtId="0" fontId="6" fillId="16" borderId="18" xfId="0" applyFont="1" applyFill="1" applyBorder="1">
      <alignment vertical="center"/>
    </xf>
    <xf numFmtId="0" fontId="0" fillId="16" borderId="19" xfId="0" applyFill="1" applyBorder="1">
      <alignment vertical="center"/>
    </xf>
    <xf numFmtId="0" fontId="0" fillId="16" borderId="19" xfId="0" applyFill="1" applyBorder="1" applyAlignment="1">
      <alignment horizontal="right" vertical="center"/>
    </xf>
    <xf numFmtId="0" fontId="0" fillId="0" borderId="20" xfId="0" applyBorder="1">
      <alignment vertical="center"/>
    </xf>
    <xf numFmtId="0" fontId="0" fillId="0" borderId="21" xfId="0" applyBorder="1">
      <alignment vertical="center"/>
    </xf>
    <xf numFmtId="0" fontId="0" fillId="5" borderId="20" xfId="0" applyFill="1" applyBorder="1">
      <alignment vertical="center"/>
    </xf>
    <xf numFmtId="0" fontId="0" fillId="0" borderId="20" xfId="0" applyBorder="1" applyAlignment="1">
      <alignment horizontal="left" vertical="center" indent="1"/>
    </xf>
    <xf numFmtId="0" fontId="40" fillId="2" borderId="0" xfId="0" applyFont="1" applyFill="1">
      <alignment vertical="center"/>
    </xf>
    <xf numFmtId="0" fontId="0" fillId="0" borderId="0" xfId="0" applyAlignment="1">
      <alignment horizontal="right" vertical="center" indent="1"/>
    </xf>
    <xf numFmtId="0" fontId="42" fillId="2" borderId="0" xfId="0" applyFont="1" applyFill="1">
      <alignment vertical="center"/>
    </xf>
    <xf numFmtId="0" fontId="44" fillId="0" borderId="0" xfId="0" applyFont="1">
      <alignment vertical="center"/>
    </xf>
    <xf numFmtId="0" fontId="6" fillId="0" borderId="20" xfId="0" applyFont="1" applyBorder="1">
      <alignment vertical="center"/>
    </xf>
    <xf numFmtId="0" fontId="19" fillId="0" borderId="0" xfId="0" applyFont="1" applyAlignment="1">
      <alignment horizontal="center" vertical="center"/>
    </xf>
    <xf numFmtId="0" fontId="32" fillId="5" borderId="0" xfId="0" applyFont="1" applyFill="1" applyAlignment="1">
      <alignment horizontal="center" vertical="center"/>
    </xf>
    <xf numFmtId="0" fontId="19" fillId="0" borderId="20" xfId="0" applyFont="1" applyBorder="1">
      <alignment vertical="center"/>
    </xf>
    <xf numFmtId="181" fontId="19" fillId="0" borderId="0" xfId="0" applyNumberFormat="1" applyFont="1">
      <alignment vertical="center"/>
    </xf>
    <xf numFmtId="0" fontId="43" fillId="0" borderId="0" xfId="0" applyFont="1">
      <alignment vertical="center"/>
    </xf>
    <xf numFmtId="0" fontId="31" fillId="9" borderId="20" xfId="0" applyFont="1" applyFill="1" applyBorder="1">
      <alignment vertical="center"/>
    </xf>
    <xf numFmtId="0" fontId="19" fillId="9" borderId="0" xfId="0" applyFont="1" applyFill="1">
      <alignment vertical="center"/>
    </xf>
    <xf numFmtId="0" fontId="32" fillId="9" borderId="0" xfId="0" applyFont="1" applyFill="1">
      <alignment vertical="center"/>
    </xf>
    <xf numFmtId="181" fontId="19" fillId="15" borderId="0" xfId="0" applyNumberFormat="1" applyFont="1" applyFill="1">
      <alignment vertical="center"/>
    </xf>
    <xf numFmtId="0" fontId="0" fillId="0" borderId="22" xfId="0" applyBorder="1">
      <alignment vertical="center"/>
    </xf>
    <xf numFmtId="0" fontId="0" fillId="0" borderId="23" xfId="0" applyBorder="1">
      <alignment vertical="center"/>
    </xf>
    <xf numFmtId="0" fontId="0" fillId="0" borderId="24" xfId="0" applyBorder="1">
      <alignment vertical="center"/>
    </xf>
    <xf numFmtId="0" fontId="0" fillId="17" borderId="0" xfId="0" applyFill="1">
      <alignment vertical="center"/>
    </xf>
    <xf numFmtId="181" fontId="19" fillId="17" borderId="0" xfId="0" applyNumberFormat="1" applyFont="1" applyFill="1">
      <alignment vertical="center"/>
    </xf>
    <xf numFmtId="0" fontId="18" fillId="17" borderId="0" xfId="0" applyFont="1" applyFill="1">
      <alignment vertical="center"/>
    </xf>
    <xf numFmtId="181" fontId="19" fillId="0" borderId="0" xfId="1" applyNumberFormat="1" applyFont="1" applyBorder="1">
      <alignment vertical="center"/>
    </xf>
  </cellXfs>
  <cellStyles count="3">
    <cellStyle name="Comma [0]" xfId="1" builtinId="6"/>
    <cellStyle name="Normal" xfId="0" builtinId="0" customBuiltin="1"/>
    <cellStyle name="Percent" xfId="2" builtinId="5"/>
  </cellStyles>
  <dxfs count="20">
    <dxf>
      <fill>
        <patternFill patternType="gray125">
          <fgColor rgb="FFFFC000"/>
        </patternFill>
      </fill>
    </dxf>
    <dxf>
      <fill>
        <patternFill patternType="gray125">
          <fgColor rgb="FFFFC000"/>
        </patternFill>
      </fill>
    </dxf>
    <dxf>
      <fill>
        <patternFill patternType="gray125">
          <fgColor rgb="FFFFC000"/>
        </patternFill>
      </fill>
    </dxf>
    <dxf>
      <fill>
        <patternFill patternType="gray125">
          <fgColor rgb="FFFFC000"/>
        </patternFill>
      </fill>
    </dxf>
    <dxf>
      <fill>
        <patternFill patternType="gray125">
          <fgColor rgb="FFFFC000"/>
        </patternFill>
      </fill>
    </dxf>
    <dxf>
      <fill>
        <patternFill patternType="gray125">
          <fgColor rgb="FFFFC000"/>
        </patternFill>
      </fill>
    </dxf>
    <dxf>
      <fill>
        <patternFill patternType="gray125">
          <fgColor rgb="FFFFC000"/>
        </patternFill>
      </fill>
    </dxf>
    <dxf>
      <fill>
        <patternFill patternType="gray125">
          <fgColor rgb="FFFFC000"/>
        </patternFill>
      </fill>
    </dxf>
    <dxf>
      <fill>
        <patternFill patternType="gray125">
          <fgColor rgb="FFFFC000"/>
        </patternFill>
      </fill>
    </dxf>
    <dxf>
      <fill>
        <patternFill patternType="gray125">
          <fgColor rgb="FFFFC000"/>
        </patternFill>
      </fill>
    </dxf>
    <dxf>
      <fill>
        <patternFill patternType="gray125">
          <fgColor rgb="FFFFC000"/>
        </patternFill>
      </fill>
    </dxf>
    <dxf>
      <fill>
        <patternFill patternType="gray125">
          <fgColor rgb="FFFFC000"/>
        </patternFill>
      </fill>
    </dxf>
    <dxf>
      <fill>
        <patternFill patternType="gray125">
          <fgColor rgb="FFFFC000"/>
        </patternFill>
      </fill>
    </dxf>
    <dxf>
      <fill>
        <patternFill patternType="gray125">
          <fgColor rgb="FFFFC000"/>
        </patternFill>
      </fill>
    </dxf>
    <dxf>
      <fill>
        <patternFill patternType="gray125">
          <fgColor rgb="FFFFC000"/>
        </patternFill>
      </fill>
    </dxf>
    <dxf>
      <fill>
        <patternFill patternType="gray125">
          <fgColor rgb="FFFFC000"/>
        </patternFill>
      </fill>
    </dxf>
    <dxf>
      <fill>
        <patternFill patternType="gray125">
          <fgColor rgb="FFFFC000"/>
        </patternFill>
      </fill>
    </dxf>
    <dxf>
      <fill>
        <patternFill patternType="gray125">
          <fgColor rgb="FFFFC000"/>
        </patternFill>
      </fill>
    </dxf>
    <dxf>
      <fill>
        <patternFill patternType="gray125">
          <fgColor rgb="FFFFC000"/>
        </patternFill>
      </fill>
    </dxf>
    <dxf>
      <fill>
        <patternFill patternType="gray125">
          <fgColor rgb="FFFFC000"/>
        </patternFill>
      </fill>
    </dxf>
  </dxfs>
  <tableStyles count="0" defaultTableStyle="TableStyleMedium9" defaultPivotStyle="PivotStyleLight16"/>
  <colors>
    <mruColors>
      <color rgb="FFFFCCFF"/>
      <color rgb="FFFFFF99"/>
      <color rgb="FF0000FF"/>
      <color rgb="FF33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latin typeface="Meiryo UI" panose="020B0604030504040204" pitchFamily="50" charset="-128"/>
                <a:ea typeface="Meiryo UI" panose="020B0604030504040204" pitchFamily="50" charset="-128"/>
                <a:cs typeface="Meiryo UI" panose="020B0604030504040204" pitchFamily="50" charset="-128"/>
              </a:rPr>
              <a:t>速度－ブレーキ力・速度－電流曲線</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16"/>
          <c:order val="3"/>
          <c:tx>
            <c:strRef>
              <c:f>性能入力!$K$38</c:f>
              <c:strCache>
                <c:ptCount val="1"/>
                <c:pt idx="0">
                  <c:v>空車</c:v>
                </c:pt>
              </c:strCache>
            </c:strRef>
          </c:tx>
          <c:spPr>
            <a:ln w="31750" cap="rnd">
              <a:solidFill>
                <a:schemeClr val="tx2"/>
              </a:solidFill>
              <a:round/>
            </a:ln>
            <a:effectLst/>
          </c:spPr>
          <c:marker>
            <c:symbol val="none"/>
          </c:marker>
          <c:cat>
            <c:numRef>
              <c:f>性能入力!$C$40:$C$190</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cat>
          <c:val>
            <c:numRef>
              <c:f>性能入力!$K$40:$K$190</c:f>
              <c:numCache>
                <c:formatCode>#,##0_);[Red]\(#,##0\)</c:formatCode>
                <c:ptCount val="151"/>
                <c:pt idx="0">
                  <c:v>1</c:v>
                </c:pt>
                <c:pt idx="1">
                  <c:v>2681.1333333333328</c:v>
                </c:pt>
                <c:pt idx="2">
                  <c:v>5362.2666666666655</c:v>
                </c:pt>
                <c:pt idx="3">
                  <c:v>8043.3999999999978</c:v>
                </c:pt>
                <c:pt idx="4">
                  <c:v>10724.533333333335</c:v>
                </c:pt>
                <c:pt idx="5">
                  <c:v>13405.666666666668</c:v>
                </c:pt>
                <c:pt idx="6">
                  <c:v>16086.800000000001</c:v>
                </c:pt>
                <c:pt idx="7">
                  <c:v>18767.933333333334</c:v>
                </c:pt>
                <c:pt idx="8">
                  <c:v>21449.066666666666</c:v>
                </c:pt>
                <c:pt idx="9">
                  <c:v>24130.2</c:v>
                </c:pt>
                <c:pt idx="10">
                  <c:v>26811.333333333336</c:v>
                </c:pt>
                <c:pt idx="11">
                  <c:v>29492.466666666671</c:v>
                </c:pt>
                <c:pt idx="12">
                  <c:v>32173.600000000002</c:v>
                </c:pt>
                <c:pt idx="13">
                  <c:v>34854.733333333337</c:v>
                </c:pt>
                <c:pt idx="14">
                  <c:v>37535.866666666669</c:v>
                </c:pt>
                <c:pt idx="15">
                  <c:v>40217</c:v>
                </c:pt>
                <c:pt idx="16">
                  <c:v>40217</c:v>
                </c:pt>
                <c:pt idx="17">
                  <c:v>40217</c:v>
                </c:pt>
                <c:pt idx="18">
                  <c:v>40217</c:v>
                </c:pt>
                <c:pt idx="19">
                  <c:v>40217</c:v>
                </c:pt>
                <c:pt idx="20">
                  <c:v>40217</c:v>
                </c:pt>
                <c:pt idx="21">
                  <c:v>40217</c:v>
                </c:pt>
                <c:pt idx="22">
                  <c:v>40217</c:v>
                </c:pt>
                <c:pt idx="23">
                  <c:v>40217</c:v>
                </c:pt>
                <c:pt idx="24">
                  <c:v>40217</c:v>
                </c:pt>
                <c:pt idx="25">
                  <c:v>40217</c:v>
                </c:pt>
                <c:pt idx="26">
                  <c:v>40217</c:v>
                </c:pt>
                <c:pt idx="27">
                  <c:v>40217</c:v>
                </c:pt>
                <c:pt idx="28">
                  <c:v>40217</c:v>
                </c:pt>
                <c:pt idx="29">
                  <c:v>40217</c:v>
                </c:pt>
                <c:pt idx="30">
                  <c:v>40217</c:v>
                </c:pt>
                <c:pt idx="31">
                  <c:v>40217</c:v>
                </c:pt>
                <c:pt idx="32">
                  <c:v>40217</c:v>
                </c:pt>
                <c:pt idx="33">
                  <c:v>40217</c:v>
                </c:pt>
                <c:pt idx="34">
                  <c:v>40217</c:v>
                </c:pt>
                <c:pt idx="35">
                  <c:v>40217</c:v>
                </c:pt>
                <c:pt idx="36">
                  <c:v>40217</c:v>
                </c:pt>
                <c:pt idx="37">
                  <c:v>40217</c:v>
                </c:pt>
                <c:pt idx="38">
                  <c:v>40217</c:v>
                </c:pt>
                <c:pt idx="39">
                  <c:v>40217</c:v>
                </c:pt>
                <c:pt idx="40">
                  <c:v>40217</c:v>
                </c:pt>
                <c:pt idx="41">
                  <c:v>40217</c:v>
                </c:pt>
                <c:pt idx="42">
                  <c:v>40217</c:v>
                </c:pt>
                <c:pt idx="43">
                  <c:v>40217</c:v>
                </c:pt>
                <c:pt idx="44">
                  <c:v>40217</c:v>
                </c:pt>
                <c:pt idx="45">
                  <c:v>40217</c:v>
                </c:pt>
                <c:pt idx="46">
                  <c:v>40217</c:v>
                </c:pt>
                <c:pt idx="47">
                  <c:v>40217</c:v>
                </c:pt>
                <c:pt idx="48">
                  <c:v>40217</c:v>
                </c:pt>
                <c:pt idx="49">
                  <c:v>40217</c:v>
                </c:pt>
                <c:pt idx="50">
                  <c:v>40217</c:v>
                </c:pt>
                <c:pt idx="51">
                  <c:v>40217</c:v>
                </c:pt>
                <c:pt idx="52">
                  <c:v>40217</c:v>
                </c:pt>
                <c:pt idx="53">
                  <c:v>40217</c:v>
                </c:pt>
                <c:pt idx="54">
                  <c:v>40217</c:v>
                </c:pt>
                <c:pt idx="55">
                  <c:v>40217</c:v>
                </c:pt>
                <c:pt idx="56">
                  <c:v>40217</c:v>
                </c:pt>
                <c:pt idx="57">
                  <c:v>40217</c:v>
                </c:pt>
                <c:pt idx="58">
                  <c:v>40217</c:v>
                </c:pt>
                <c:pt idx="59">
                  <c:v>40217</c:v>
                </c:pt>
                <c:pt idx="60">
                  <c:v>40217</c:v>
                </c:pt>
                <c:pt idx="61">
                  <c:v>40217</c:v>
                </c:pt>
                <c:pt idx="62">
                  <c:v>40217</c:v>
                </c:pt>
                <c:pt idx="63">
                  <c:v>40217</c:v>
                </c:pt>
                <c:pt idx="64">
                  <c:v>40217</c:v>
                </c:pt>
                <c:pt idx="65">
                  <c:v>40217</c:v>
                </c:pt>
                <c:pt idx="66">
                  <c:v>40217</c:v>
                </c:pt>
                <c:pt idx="67">
                  <c:v>40217</c:v>
                </c:pt>
                <c:pt idx="68">
                  <c:v>40217</c:v>
                </c:pt>
                <c:pt idx="69">
                  <c:v>40217</c:v>
                </c:pt>
                <c:pt idx="70">
                  <c:v>40217</c:v>
                </c:pt>
                <c:pt idx="71">
                  <c:v>40217</c:v>
                </c:pt>
                <c:pt idx="72">
                  <c:v>40217</c:v>
                </c:pt>
                <c:pt idx="73">
                  <c:v>40217</c:v>
                </c:pt>
                <c:pt idx="74">
                  <c:v>40217</c:v>
                </c:pt>
                <c:pt idx="75">
                  <c:v>40217</c:v>
                </c:pt>
                <c:pt idx="76">
                  <c:v>40217</c:v>
                </c:pt>
                <c:pt idx="77">
                  <c:v>40217</c:v>
                </c:pt>
                <c:pt idx="78">
                  <c:v>40217</c:v>
                </c:pt>
                <c:pt idx="79">
                  <c:v>40217</c:v>
                </c:pt>
                <c:pt idx="80">
                  <c:v>40217</c:v>
                </c:pt>
                <c:pt idx="81">
                  <c:v>40217</c:v>
                </c:pt>
                <c:pt idx="82">
                  <c:v>40217</c:v>
                </c:pt>
                <c:pt idx="83">
                  <c:v>39942.697687254768</c:v>
                </c:pt>
                <c:pt idx="84">
                  <c:v>38950.665882757567</c:v>
                </c:pt>
                <c:pt idx="85">
                  <c:v>37994.579580993035</c:v>
                </c:pt>
                <c:pt idx="86">
                  <c:v>37072.736099812551</c:v>
                </c:pt>
                <c:pt idx="87">
                  <c:v>36183.531934981431</c:v>
                </c:pt>
                <c:pt idx="88">
                  <c:v>35325.455928635107</c:v>
                </c:pt>
                <c:pt idx="89">
                  <c:v>34497.082979323306</c:v>
                </c:pt>
                <c:pt idx="90">
                  <c:v>33697.068245201575</c:v>
                </c:pt>
                <c:pt idx="91">
                  <c:v>32924.141796743163</c:v>
                </c:pt>
                <c:pt idx="92">
                  <c:v>32177.103679631928</c:v>
                </c:pt>
                <c:pt idx="93">
                  <c:v>31454.819352325787</c:v>
                </c:pt>
                <c:pt idx="94">
                  <c:v>30756.215466195135</c:v>
                </c:pt>
                <c:pt idx="95">
                  <c:v>30080.27595919868</c:v>
                </c:pt>
                <c:pt idx="96">
                  <c:v>29426.038436795061</c:v>
                </c:pt>
                <c:pt idx="97">
                  <c:v>28792.590816241791</c:v>
                </c:pt>
                <c:pt idx="98">
                  <c:v>28179.068212635368</c:v>
                </c:pt>
                <c:pt idx="99">
                  <c:v>27584.65004702477</c:v>
                </c:pt>
                <c:pt idx="100">
                  <c:v>27008.557358709975</c:v>
                </c:pt>
                <c:pt idx="101">
                  <c:v>26450.050305441087</c:v>
                </c:pt>
                <c:pt idx="102">
                  <c:v>25908.425836676677</c:v>
                </c:pt>
                <c:pt idx="103">
                  <c:v>25383.015526366311</c:v>
                </c:pt>
                <c:pt idx="104">
                  <c:v>24873.183552898634</c:v>
                </c:pt>
                <c:pt idx="105">
                  <c:v>24378.324814922027</c:v>
                </c:pt>
                <c:pt idx="106">
                  <c:v>23897.863172710004</c:v>
                </c:pt>
                <c:pt idx="107">
                  <c:v>23431.249805616524</c:v>
                </c:pt>
                <c:pt idx="108">
                  <c:v>22977.961676959265</c:v>
                </c:pt>
                <c:pt idx="109">
                  <c:v>22537.500098388427</c:v>
                </c:pt>
                <c:pt idx="110">
                  <c:v>22109.389386452058</c:v>
                </c:pt>
                <c:pt idx="111">
                  <c:v>21693.175604664018</c:v>
                </c:pt>
                <c:pt idx="112">
                  <c:v>21288.425384921171</c:v>
                </c:pt>
                <c:pt idx="113">
                  <c:v>20894.724822610173</c:v>
                </c:pt>
                <c:pt idx="114">
                  <c:v>20511.678440193373</c:v>
                </c:pt>
                <c:pt idx="115">
                  <c:v>20138.908214473802</c:v>
                </c:pt>
                <c:pt idx="116">
                  <c:v>19776.052663113842</c:v>
                </c:pt>
                <c:pt idx="117">
                  <c:v>19422.765986325103</c:v>
                </c:pt>
                <c:pt idx="118">
                  <c:v>19078.717259959925</c:v>
                </c:pt>
                <c:pt idx="119">
                  <c:v>18743.589676522115</c:v>
                </c:pt>
                <c:pt idx="120">
                  <c:v>18417.079830877199</c:v>
                </c:pt>
                <c:pt idx="121">
                  <c:v>18098.897047683957</c:v>
                </c:pt>
                <c:pt idx="122">
                  <c:v>17788.762747789424</c:v>
                </c:pt>
                <c:pt idx="123">
                  <c:v>17486.409851033222</c:v>
                </c:pt>
                <c:pt idx="124">
                  <c:v>17191.582213093498</c:v>
                </c:pt>
                <c:pt idx="125">
                  <c:v>16904.034094178391</c:v>
                </c:pt>
                <c:pt idx="126">
                  <c:v>16623.529657524734</c:v>
                </c:pt>
                <c:pt idx="127">
                  <c:v>16349.842495811128</c:v>
                </c:pt>
                <c:pt idx="128">
                  <c:v>16082.755183726926</c:v>
                </c:pt>
                <c:pt idx="129">
                  <c:v>15822.058855061385</c:v>
                </c:pt>
                <c:pt idx="130">
                  <c:v>15567.552802792065</c:v>
                </c:pt>
                <c:pt idx="131">
                  <c:v>15319.044100756131</c:v>
                </c:pt>
                <c:pt idx="132">
                  <c:v>15076.347245585926</c:v>
                </c:pt>
                <c:pt idx="133">
                  <c:v>14839.283817679681</c:v>
                </c:pt>
                <c:pt idx="134">
                  <c:v>14607.682160061584</c:v>
                </c:pt>
                <c:pt idx="135">
                  <c:v>14381.377074062126</c:v>
                </c:pt>
                <c:pt idx="136">
                  <c:v>14160.209530821176</c:v>
                </c:pt>
                <c:pt idx="137">
                  <c:v>13944.02639768187</c:v>
                </c:pt>
                <c:pt idx="138">
                  <c:v>13732.680178604973</c:v>
                </c:pt>
                <c:pt idx="139">
                  <c:v>13526.028767789885</c:v>
                </c:pt>
                <c:pt idx="140">
                  <c:v>13323.935215741134</c:v>
                </c:pt>
                <c:pt idx="141">
                  <c:v>13126.267507068336</c:v>
                </c:pt>
                <c:pt idx="142">
                  <c:v>12932.898349352921</c:v>
                </c:pt>
                <c:pt idx="143">
                  <c:v>12743.704972457012</c:v>
                </c:pt>
                <c:pt idx="144">
                  <c:v>12558.568937689608</c:v>
                </c:pt>
                <c:pt idx="145">
                  <c:v>12377.375956281394</c:v>
                </c:pt>
                <c:pt idx="146">
                  <c:v>12200.015716653576</c:v>
                </c:pt>
                <c:pt idx="147">
                  <c:v>12026.381719998299</c:v>
                </c:pt>
                <c:pt idx="148">
                  <c:v>11856.371123717181</c:v>
                </c:pt>
                <c:pt idx="149">
                  <c:v>11689.884592292454</c:v>
                </c:pt>
                <c:pt idx="150">
                  <c:v>11526.826155190958</c:v>
                </c:pt>
              </c:numCache>
            </c:numRef>
          </c:val>
          <c:smooth val="0"/>
          <c:extLst>
            <c:ext xmlns:c16="http://schemas.microsoft.com/office/drawing/2014/chart" uri="{C3380CC4-5D6E-409C-BE32-E72D297353CC}">
              <c16:uniqueId val="{00000000-3041-4B6E-A68B-B06307862E0E}"/>
            </c:ext>
          </c:extLst>
        </c:ser>
        <c:ser>
          <c:idx val="17"/>
          <c:order val="4"/>
          <c:tx>
            <c:strRef>
              <c:f>性能入力!$L$38</c:f>
              <c:strCache>
                <c:ptCount val="1"/>
                <c:pt idx="0">
                  <c:v>積車</c:v>
                </c:pt>
              </c:strCache>
            </c:strRef>
          </c:tx>
          <c:spPr>
            <a:ln w="19050" cap="rnd">
              <a:solidFill>
                <a:srgbClr val="00B050"/>
              </a:solidFill>
              <a:round/>
            </a:ln>
            <a:effectLst/>
          </c:spPr>
          <c:marker>
            <c:symbol val="none"/>
          </c:marker>
          <c:cat>
            <c:numRef>
              <c:f>性能入力!$C$40:$C$190</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cat>
          <c:val>
            <c:numRef>
              <c:f>性能入力!$L$40:$L$190</c:f>
              <c:numCache>
                <c:formatCode>#,##0_);[Red]\(#,##0\)</c:formatCode>
                <c:ptCount val="151"/>
                <c:pt idx="0">
                  <c:v>1</c:v>
                </c:pt>
                <c:pt idx="1">
                  <c:v>4743.1999999999989</c:v>
                </c:pt>
                <c:pt idx="2">
                  <c:v>9486.3999999999978</c:v>
                </c:pt>
                <c:pt idx="3">
                  <c:v>14229.599999999997</c:v>
                </c:pt>
                <c:pt idx="4">
                  <c:v>18972.800000000003</c:v>
                </c:pt>
                <c:pt idx="5">
                  <c:v>23716.000000000004</c:v>
                </c:pt>
                <c:pt idx="6">
                  <c:v>28459.200000000001</c:v>
                </c:pt>
                <c:pt idx="7">
                  <c:v>33202.400000000001</c:v>
                </c:pt>
                <c:pt idx="8">
                  <c:v>37945.599999999999</c:v>
                </c:pt>
                <c:pt idx="9">
                  <c:v>42688.799999999996</c:v>
                </c:pt>
                <c:pt idx="10">
                  <c:v>47432.000000000007</c:v>
                </c:pt>
                <c:pt idx="11">
                  <c:v>52175.200000000004</c:v>
                </c:pt>
                <c:pt idx="12">
                  <c:v>56918.400000000001</c:v>
                </c:pt>
                <c:pt idx="13">
                  <c:v>61661.599999999999</c:v>
                </c:pt>
                <c:pt idx="14">
                  <c:v>66404.800000000003</c:v>
                </c:pt>
                <c:pt idx="15">
                  <c:v>71148</c:v>
                </c:pt>
                <c:pt idx="16">
                  <c:v>71148</c:v>
                </c:pt>
                <c:pt idx="17">
                  <c:v>71148</c:v>
                </c:pt>
                <c:pt idx="18">
                  <c:v>71148</c:v>
                </c:pt>
                <c:pt idx="19">
                  <c:v>71148</c:v>
                </c:pt>
                <c:pt idx="20">
                  <c:v>71148</c:v>
                </c:pt>
                <c:pt idx="21">
                  <c:v>71148</c:v>
                </c:pt>
                <c:pt idx="22">
                  <c:v>71148</c:v>
                </c:pt>
                <c:pt idx="23">
                  <c:v>71148</c:v>
                </c:pt>
                <c:pt idx="24">
                  <c:v>71148</c:v>
                </c:pt>
                <c:pt idx="25">
                  <c:v>71148</c:v>
                </c:pt>
                <c:pt idx="26">
                  <c:v>71148</c:v>
                </c:pt>
                <c:pt idx="27">
                  <c:v>71148</c:v>
                </c:pt>
                <c:pt idx="28">
                  <c:v>71148</c:v>
                </c:pt>
                <c:pt idx="29">
                  <c:v>71148</c:v>
                </c:pt>
                <c:pt idx="30">
                  <c:v>71148</c:v>
                </c:pt>
                <c:pt idx="31">
                  <c:v>71148</c:v>
                </c:pt>
                <c:pt idx="32">
                  <c:v>71148</c:v>
                </c:pt>
                <c:pt idx="33">
                  <c:v>71148</c:v>
                </c:pt>
                <c:pt idx="34">
                  <c:v>71148</c:v>
                </c:pt>
                <c:pt idx="35">
                  <c:v>71148</c:v>
                </c:pt>
                <c:pt idx="36">
                  <c:v>71148</c:v>
                </c:pt>
                <c:pt idx="37">
                  <c:v>71148</c:v>
                </c:pt>
                <c:pt idx="38">
                  <c:v>71148</c:v>
                </c:pt>
                <c:pt idx="39">
                  <c:v>71148</c:v>
                </c:pt>
                <c:pt idx="40">
                  <c:v>71148</c:v>
                </c:pt>
                <c:pt idx="41">
                  <c:v>71148</c:v>
                </c:pt>
                <c:pt idx="42">
                  <c:v>71148</c:v>
                </c:pt>
                <c:pt idx="43">
                  <c:v>71148</c:v>
                </c:pt>
                <c:pt idx="44">
                  <c:v>71148</c:v>
                </c:pt>
                <c:pt idx="45">
                  <c:v>71148</c:v>
                </c:pt>
                <c:pt idx="46">
                  <c:v>71148</c:v>
                </c:pt>
                <c:pt idx="47">
                  <c:v>71148</c:v>
                </c:pt>
                <c:pt idx="48">
                  <c:v>71148</c:v>
                </c:pt>
                <c:pt idx="49">
                  <c:v>71148</c:v>
                </c:pt>
                <c:pt idx="50">
                  <c:v>71148</c:v>
                </c:pt>
                <c:pt idx="51">
                  <c:v>71148</c:v>
                </c:pt>
                <c:pt idx="52">
                  <c:v>71148</c:v>
                </c:pt>
                <c:pt idx="53">
                  <c:v>71148</c:v>
                </c:pt>
                <c:pt idx="54">
                  <c:v>71148</c:v>
                </c:pt>
                <c:pt idx="55">
                  <c:v>71148</c:v>
                </c:pt>
                <c:pt idx="56">
                  <c:v>71148</c:v>
                </c:pt>
                <c:pt idx="57">
                  <c:v>71148</c:v>
                </c:pt>
                <c:pt idx="58">
                  <c:v>71148</c:v>
                </c:pt>
                <c:pt idx="59">
                  <c:v>71148</c:v>
                </c:pt>
                <c:pt idx="60">
                  <c:v>71148</c:v>
                </c:pt>
                <c:pt idx="61">
                  <c:v>71148</c:v>
                </c:pt>
                <c:pt idx="62">
                  <c:v>71148</c:v>
                </c:pt>
                <c:pt idx="63">
                  <c:v>71148</c:v>
                </c:pt>
                <c:pt idx="64">
                  <c:v>71148</c:v>
                </c:pt>
                <c:pt idx="65">
                  <c:v>71148</c:v>
                </c:pt>
                <c:pt idx="66">
                  <c:v>68903.055439552816</c:v>
                </c:pt>
                <c:pt idx="67">
                  <c:v>66761.127037106329</c:v>
                </c:pt>
                <c:pt idx="68">
                  <c:v>64716.053991361681</c:v>
                </c:pt>
                <c:pt idx="69">
                  <c:v>62762.127209367849</c:v>
                </c:pt>
                <c:pt idx="70">
                  <c:v>60894.05025557577</c:v>
                </c:pt>
                <c:pt idx="71">
                  <c:v>59106.904175377596</c:v>
                </c:pt>
                <c:pt idx="72">
                  <c:v>57396.115760627879</c:v>
                </c:pt>
                <c:pt idx="73">
                  <c:v>55757.4288781465</c:v>
                </c:pt>
                <c:pt idx="74">
                  <c:v>54186.878528456691</c:v>
                </c:pt>
                <c:pt idx="75">
                  <c:v>52680.767342085928</c:v>
                </c:pt>
                <c:pt idx="76">
                  <c:v>51235.644255539941</c:v>
                </c:pt>
                <c:pt idx="77">
                  <c:v>49848.285139321873</c:v>
                </c:pt>
                <c:pt idx="78">
                  <c:v>48515.675176729848</c:v>
                </c:pt>
                <c:pt idx="79">
                  <c:v>47234.992815189828</c:v>
                </c:pt>
                <c:pt idx="80">
                  <c:v>46003.595132013397</c:v>
                </c:pt>
                <c:pt idx="81">
                  <c:v>44819.004474109126</c:v>
                </c:pt>
                <c:pt idx="82">
                  <c:v>43678.896246662276</c:v>
                </c:pt>
                <c:pt idx="83">
                  <c:v>42581.087739404669</c:v>
                </c:pt>
                <c:pt idx="84">
                  <c:v>41523.527891085905</c:v>
                </c:pt>
                <c:pt idx="85">
                  <c:v>40504.287903325421</c:v>
                </c:pt>
                <c:pt idx="86">
                  <c:v>39521.552624364282</c:v>
                </c:pt>
                <c:pt idx="87">
                  <c:v>38573.612631492957</c:v>
                </c:pt>
                <c:pt idx="88">
                  <c:v>37658.856948254026</c:v>
                </c:pt>
                <c:pt idx="89">
                  <c:v>36775.766339007307</c:v>
                </c:pt>
                <c:pt idx="90">
                  <c:v>35922.907129216794</c:v>
                </c:pt>
                <c:pt idx="91">
                  <c:v>35098.92550495069</c:v>
                </c:pt>
                <c:pt idx="92">
                  <c:v>34302.542249656864</c:v>
                </c:pt>
                <c:pt idx="93">
                  <c:v>33532.547880357321</c:v>
                </c:pt>
                <c:pt idx="94">
                  <c:v>32787.798149046357</c:v>
                </c:pt>
                <c:pt idx="95">
                  <c:v>32067.209878336482</c:v>
                </c:pt>
                <c:pt idx="96">
                  <c:v>31369.757103313525</c:v>
                </c:pt>
                <c:pt idx="97">
                  <c:v>30694.467494176715</c:v>
                </c:pt>
                <c:pt idx="98">
                  <c:v>30040.419036588206</c:v>
                </c:pt>
                <c:pt idx="99">
                  <c:v>29406.736948764745</c:v>
                </c:pt>
                <c:pt idx="100">
                  <c:v>28792.590816241776</c:v>
                </c:pt>
                <c:pt idx="101">
                  <c:v>28197.191926949745</c:v>
                </c:pt>
                <c:pt idx="102">
                  <c:v>27619.790790780993</c:v>
                </c:pt>
                <c:pt idx="103">
                  <c:v>27059.674829218075</c:v>
                </c:pt>
                <c:pt idx="104">
                  <c:v>26516.166221848569</c:v>
                </c:pt>
                <c:pt idx="105">
                  <c:v>25988.619897727436</c:v>
                </c:pt>
                <c:pt idx="106">
                  <c:v>25476.421660576903</c:v>
                </c:pt>
                <c:pt idx="107">
                  <c:v>24978.986437744512</c:v>
                </c:pt>
                <c:pt idx="108">
                  <c:v>24495.756643685203</c:v>
                </c:pt>
                <c:pt idx="109">
                  <c:v>24026.200649500406</c:v>
                </c:pt>
                <c:pt idx="110">
                  <c:v>23569.811350763626</c:v>
                </c:pt>
                <c:pt idx="111">
                  <c:v>23126.104826496459</c:v>
                </c:pt>
                <c:pt idx="112">
                  <c:v>22694.619082735269</c:v>
                </c:pt>
                <c:pt idx="113">
                  <c:v>22274.912874654918</c:v>
                </c:pt>
                <c:pt idx="114">
                  <c:v>21866.564601694983</c:v>
                </c:pt>
                <c:pt idx="115">
                  <c:v>21469.17127057134</c:v>
                </c:pt>
                <c:pt idx="116">
                  <c:v>21082.347521455406</c:v>
                </c:pt>
                <c:pt idx="117">
                  <c:v>20705.724712968826</c:v>
                </c:pt>
                <c:pt idx="118">
                  <c:v>20338.950061975222</c:v>
                </c:pt>
                <c:pt idx="119">
                  <c:v>19981.685834456264</c:v>
                </c:pt>
                <c:pt idx="120">
                  <c:v>19633.608584040063</c:v>
                </c:pt>
                <c:pt idx="121">
                  <c:v>19294.408435006491</c:v>
                </c:pt>
                <c:pt idx="122">
                  <c:v>18963.788406829939</c:v>
                </c:pt>
                <c:pt idx="123">
                  <c:v>18641.463777536126</c:v>
                </c:pt>
                <c:pt idx="124">
                  <c:v>18327.161483349355</c:v>
                </c:pt>
                <c:pt idx="125">
                  <c:v>18020.619552288652</c:v>
                </c:pt>
                <c:pt idx="126">
                  <c:v>17721.586569540148</c:v>
                </c:pt>
                <c:pt idx="127">
                  <c:v>17429.821172587643</c:v>
                </c:pt>
                <c:pt idx="128">
                  <c:v>17145.091574226837</c:v>
                </c:pt>
                <c:pt idx="129">
                  <c:v>16867.175111719345</c:v>
                </c:pt>
                <c:pt idx="130">
                  <c:v>16595.857820465193</c:v>
                </c:pt>
                <c:pt idx="131">
                  <c:v>16330.934030683862</c:v>
                </c:pt>
                <c:pt idx="132">
                  <c:v>16072.205985698112</c:v>
                </c:pt>
                <c:pt idx="133">
                  <c:v>15819.483480510364</c:v>
                </c:pt>
                <c:pt idx="134">
                  <c:v>15572.583519450038</c:v>
                </c:pt>
                <c:pt idx="135">
                  <c:v>15331.329991752249</c:v>
                </c:pt>
                <c:pt idx="136">
                  <c:v>15095.553364004432</c:v>
                </c:pt>
                <c:pt idx="137">
                  <c:v>14865.090388467315</c:v>
                </c:pt>
                <c:pt idx="138">
                  <c:v>14639.783826342535</c:v>
                </c:pt>
                <c:pt idx="139">
                  <c:v>14419.482185119219</c:v>
                </c:pt>
                <c:pt idx="140">
                  <c:v>14204.039469188148</c:v>
                </c:pt>
                <c:pt idx="141">
                  <c:v>13993.314942964442</c:v>
                </c:pt>
                <c:pt idx="142">
                  <c:v>13787.172905807993</c:v>
                </c:pt>
                <c:pt idx="143">
                  <c:v>13585.48247807583</c:v>
                </c:pt>
                <c:pt idx="144">
                  <c:v>13388.11739768288</c:v>
                </c:pt>
                <c:pt idx="145">
                  <c:v>13194.95582658626</c:v>
                </c:pt>
                <c:pt idx="146">
                  <c:v>13005.880166644451</c:v>
                </c:pt>
                <c:pt idx="147">
                  <c:v>12820.77688433708</c:v>
                </c:pt>
                <c:pt idx="148">
                  <c:v>12639.536343861897</c:v>
                </c:pt>
                <c:pt idx="149">
                  <c:v>12462.052648155299</c:v>
                </c:pt>
                <c:pt idx="150">
                  <c:v>12288.223487410243</c:v>
                </c:pt>
              </c:numCache>
            </c:numRef>
          </c:val>
          <c:smooth val="0"/>
          <c:extLst>
            <c:ext xmlns:c16="http://schemas.microsoft.com/office/drawing/2014/chart" uri="{C3380CC4-5D6E-409C-BE32-E72D297353CC}">
              <c16:uniqueId val="{00000001-3041-4B6E-A68B-B06307862E0E}"/>
            </c:ext>
          </c:extLst>
        </c:ser>
        <c:dLbls>
          <c:showLegendKey val="0"/>
          <c:showVal val="0"/>
          <c:showCatName val="0"/>
          <c:showSerName val="0"/>
          <c:showPercent val="0"/>
          <c:showBubbleSize val="0"/>
        </c:dLbls>
        <c:marker val="1"/>
        <c:smooth val="0"/>
        <c:axId val="201997696"/>
        <c:axId val="202003584"/>
      </c:lineChart>
      <c:lineChart>
        <c:grouping val="standard"/>
        <c:varyColors val="0"/>
        <c:ser>
          <c:idx val="11"/>
          <c:order val="0"/>
          <c:tx>
            <c:strRef>
              <c:f>性能入力!$G$38</c:f>
              <c:strCache>
                <c:ptCount val="1"/>
                <c:pt idx="0">
                  <c:v>空車</c:v>
                </c:pt>
              </c:strCache>
            </c:strRef>
          </c:tx>
          <c:spPr>
            <a:ln w="28575" cap="rnd">
              <a:solidFill>
                <a:schemeClr val="tx2">
                  <a:lumMod val="40000"/>
                  <a:lumOff val="60000"/>
                </a:schemeClr>
              </a:solidFill>
              <a:prstDash val="sysDash"/>
              <a:round/>
            </a:ln>
            <a:effectLst/>
          </c:spPr>
          <c:marker>
            <c:symbol val="none"/>
          </c:marker>
          <c:cat>
            <c:numRef>
              <c:f>性能入力!$C$40:$C$190</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cat>
          <c:val>
            <c:numRef>
              <c:f>性能入力!$G$40:$G$190</c:f>
              <c:numCache>
                <c:formatCode>#,##0_);[Red]\(#,##0\)</c:formatCode>
                <c:ptCount val="151"/>
                <c:pt idx="0">
                  <c:v>1</c:v>
                </c:pt>
                <c:pt idx="1">
                  <c:v>5.9491722655541892</c:v>
                </c:pt>
                <c:pt idx="2">
                  <c:v>11.898344531108378</c:v>
                </c:pt>
                <c:pt idx="3">
                  <c:v>17.847516796662568</c:v>
                </c:pt>
                <c:pt idx="4">
                  <c:v>23.796689062216764</c:v>
                </c:pt>
                <c:pt idx="5">
                  <c:v>29.74586132777096</c:v>
                </c:pt>
                <c:pt idx="6">
                  <c:v>35.695033593325142</c:v>
                </c:pt>
                <c:pt idx="7">
                  <c:v>41.644205858879332</c:v>
                </c:pt>
                <c:pt idx="8">
                  <c:v>47.593378124433528</c:v>
                </c:pt>
                <c:pt idx="9">
                  <c:v>53.54255038998771</c:v>
                </c:pt>
                <c:pt idx="10">
                  <c:v>59.491722655541921</c:v>
                </c:pt>
                <c:pt idx="11">
                  <c:v>65.440894921096103</c:v>
                </c:pt>
                <c:pt idx="12">
                  <c:v>71.390067186650285</c:v>
                </c:pt>
                <c:pt idx="13">
                  <c:v>77.339239452204481</c:v>
                </c:pt>
                <c:pt idx="14">
                  <c:v>83.288411717758663</c:v>
                </c:pt>
                <c:pt idx="15">
                  <c:v>89.237583983312859</c:v>
                </c:pt>
                <c:pt idx="16">
                  <c:v>89.237583983312859</c:v>
                </c:pt>
                <c:pt idx="17">
                  <c:v>89.237583983312859</c:v>
                </c:pt>
                <c:pt idx="18">
                  <c:v>89.237583983312859</c:v>
                </c:pt>
                <c:pt idx="19">
                  <c:v>89.237583983312859</c:v>
                </c:pt>
                <c:pt idx="20">
                  <c:v>89.237583983312859</c:v>
                </c:pt>
                <c:pt idx="21">
                  <c:v>89.237583983312859</c:v>
                </c:pt>
                <c:pt idx="22">
                  <c:v>89.237583983312859</c:v>
                </c:pt>
                <c:pt idx="23">
                  <c:v>89.237583983312859</c:v>
                </c:pt>
                <c:pt idx="24">
                  <c:v>89.237583983312859</c:v>
                </c:pt>
                <c:pt idx="25">
                  <c:v>89.237583983312859</c:v>
                </c:pt>
                <c:pt idx="26">
                  <c:v>89.237583983312859</c:v>
                </c:pt>
                <c:pt idx="27">
                  <c:v>89.237583983312859</c:v>
                </c:pt>
                <c:pt idx="28">
                  <c:v>89.237583983312859</c:v>
                </c:pt>
                <c:pt idx="29">
                  <c:v>89.237583983312859</c:v>
                </c:pt>
                <c:pt idx="30">
                  <c:v>89.237583983312859</c:v>
                </c:pt>
                <c:pt idx="31">
                  <c:v>89.237583983312859</c:v>
                </c:pt>
                <c:pt idx="32">
                  <c:v>89.237583983312859</c:v>
                </c:pt>
                <c:pt idx="33">
                  <c:v>89.237583983312859</c:v>
                </c:pt>
                <c:pt idx="34">
                  <c:v>89.237583983312859</c:v>
                </c:pt>
                <c:pt idx="35">
                  <c:v>89.237583983312859</c:v>
                </c:pt>
                <c:pt idx="36">
                  <c:v>89.237583983312859</c:v>
                </c:pt>
                <c:pt idx="37">
                  <c:v>89.237583983312859</c:v>
                </c:pt>
                <c:pt idx="38">
                  <c:v>89.237583983312859</c:v>
                </c:pt>
                <c:pt idx="39">
                  <c:v>89.237583983312859</c:v>
                </c:pt>
                <c:pt idx="40">
                  <c:v>89.237583983312859</c:v>
                </c:pt>
                <c:pt idx="41">
                  <c:v>89.237583983312859</c:v>
                </c:pt>
                <c:pt idx="42">
                  <c:v>89.237583983312859</c:v>
                </c:pt>
                <c:pt idx="43">
                  <c:v>89.237583983312859</c:v>
                </c:pt>
                <c:pt idx="44">
                  <c:v>89.237583983312859</c:v>
                </c:pt>
                <c:pt idx="45">
                  <c:v>89.237583983312859</c:v>
                </c:pt>
                <c:pt idx="46">
                  <c:v>89.237583983312859</c:v>
                </c:pt>
                <c:pt idx="47">
                  <c:v>89.237583983312859</c:v>
                </c:pt>
                <c:pt idx="48">
                  <c:v>89.237583983312859</c:v>
                </c:pt>
                <c:pt idx="49">
                  <c:v>89.237583983312859</c:v>
                </c:pt>
                <c:pt idx="50">
                  <c:v>89.237583983312859</c:v>
                </c:pt>
                <c:pt idx="51">
                  <c:v>89.237583983312859</c:v>
                </c:pt>
                <c:pt idx="52">
                  <c:v>89.237583983312859</c:v>
                </c:pt>
                <c:pt idx="53">
                  <c:v>89.237583983312859</c:v>
                </c:pt>
                <c:pt idx="54">
                  <c:v>89.237583983312859</c:v>
                </c:pt>
                <c:pt idx="55">
                  <c:v>89.237583983312859</c:v>
                </c:pt>
                <c:pt idx="56">
                  <c:v>89.237583983312859</c:v>
                </c:pt>
                <c:pt idx="57">
                  <c:v>89.237583983312859</c:v>
                </c:pt>
                <c:pt idx="58">
                  <c:v>89.237583983312859</c:v>
                </c:pt>
                <c:pt idx="59">
                  <c:v>89.237583983312859</c:v>
                </c:pt>
                <c:pt idx="60">
                  <c:v>89.237583983312859</c:v>
                </c:pt>
                <c:pt idx="61">
                  <c:v>89.237583983312859</c:v>
                </c:pt>
                <c:pt idx="62">
                  <c:v>89.922385480665611</c:v>
                </c:pt>
                <c:pt idx="63">
                  <c:v>90.736172167953512</c:v>
                </c:pt>
                <c:pt idx="64">
                  <c:v>91.549958855241414</c:v>
                </c:pt>
                <c:pt idx="65">
                  <c:v>92.363745542529301</c:v>
                </c:pt>
                <c:pt idx="66">
                  <c:v>92.579538125744222</c:v>
                </c:pt>
                <c:pt idx="67">
                  <c:v>92.81318127922998</c:v>
                </c:pt>
                <c:pt idx="68">
                  <c:v>93.063887477827535</c:v>
                </c:pt>
                <c:pt idx="69">
                  <c:v>93.330914850010345</c:v>
                </c:pt>
                <c:pt idx="70">
                  <c:v>93.613563916910451</c:v>
                </c:pt>
                <c:pt idx="71">
                  <c:v>93.911174606920056</c:v>
                </c:pt>
                <c:pt idx="72">
                  <c:v>94.223123519076296</c:v>
                </c:pt>
                <c:pt idx="73">
                  <c:v>94.548821411373112</c:v>
                </c:pt>
                <c:pt idx="74">
                  <c:v>94.88771089272376</c:v>
                </c:pt>
                <c:pt idx="75">
                  <c:v>95.239264299566045</c:v>
                </c:pt>
                <c:pt idx="76">
                  <c:v>95.602981740104269</c:v>
                </c:pt>
                <c:pt idx="77">
                  <c:v>95.978389290947689</c:v>
                </c:pt>
                <c:pt idx="78">
                  <c:v>96.365037332469186</c:v>
                </c:pt>
                <c:pt idx="79">
                  <c:v>96.762499010592336</c:v>
                </c:pt>
                <c:pt idx="80">
                  <c:v>97.17036881394462</c:v>
                </c:pt>
                <c:pt idx="81">
                  <c:v>97.588261256406426</c:v>
                </c:pt>
                <c:pt idx="82">
                  <c:v>98.015809656059105</c:v>
                </c:pt>
                <c:pt idx="83">
                  <c:v>98.013841517366288</c:v>
                </c:pt>
                <c:pt idx="84">
                  <c:v>96.847010070730974</c:v>
                </c:pt>
                <c:pt idx="85">
                  <c:v>95.707633481663549</c:v>
                </c:pt>
                <c:pt idx="86">
                  <c:v>94.594754022574435</c:v>
                </c:pt>
                <c:pt idx="87">
                  <c:v>93.507457999326462</c:v>
                </c:pt>
                <c:pt idx="88">
                  <c:v>92.444873249334108</c:v>
                </c:pt>
                <c:pt idx="89">
                  <c:v>91.406166808330354</c:v>
                </c:pt>
                <c:pt idx="90">
                  <c:v>90.390542732682235</c:v>
                </c:pt>
                <c:pt idx="91">
                  <c:v>89.397240065290134</c:v>
                </c:pt>
                <c:pt idx="92">
                  <c:v>88.425530934145669</c:v>
                </c:pt>
                <c:pt idx="93">
                  <c:v>87.474718773563467</c:v>
                </c:pt>
                <c:pt idx="94">
                  <c:v>86.544136658951089</c:v>
                </c:pt>
                <c:pt idx="95">
                  <c:v>85.633145746751595</c:v>
                </c:pt>
                <c:pt idx="96">
                  <c:v>84.741133811889597</c:v>
                </c:pt>
                <c:pt idx="97">
                  <c:v>83.867513875684551</c:v>
                </c:pt>
                <c:pt idx="98">
                  <c:v>83.011722917769404</c:v>
                </c:pt>
                <c:pt idx="99">
                  <c:v>82.173220666074769</c:v>
                </c:pt>
                <c:pt idx="100">
                  <c:v>81.351488459414014</c:v>
                </c:pt>
                <c:pt idx="101">
                  <c:v>80.546028177637638</c:v>
                </c:pt>
                <c:pt idx="102">
                  <c:v>79.756361234719634</c:v>
                </c:pt>
                <c:pt idx="103">
                  <c:v>78.982027630499047</c:v>
                </c:pt>
                <c:pt idx="104">
                  <c:v>78.222585057128867</c:v>
                </c:pt>
                <c:pt idx="105">
                  <c:v>77.477608056584771</c:v>
                </c:pt>
                <c:pt idx="106">
                  <c:v>76.746687225862274</c:v>
                </c:pt>
                <c:pt idx="107">
                  <c:v>76.029428466742075</c:v>
                </c:pt>
                <c:pt idx="108">
                  <c:v>75.3254522772352</c:v>
                </c:pt>
                <c:pt idx="109">
                  <c:v>74.63439308203121</c:v>
                </c:pt>
                <c:pt idx="110">
                  <c:v>73.95589859946729</c:v>
                </c:pt>
                <c:pt idx="111">
                  <c:v>73.289629242715336</c:v>
                </c:pt>
                <c:pt idx="112">
                  <c:v>72.635257553048234</c:v>
                </c:pt>
                <c:pt idx="113">
                  <c:v>71.992467663198241</c:v>
                </c:pt>
                <c:pt idx="114">
                  <c:v>71.360954788959674</c:v>
                </c:pt>
                <c:pt idx="115">
                  <c:v>70.740424747316538</c:v>
                </c:pt>
                <c:pt idx="116">
                  <c:v>70.13059349949485</c:v>
                </c:pt>
                <c:pt idx="117">
                  <c:v>69.531186717447881</c:v>
                </c:pt>
                <c:pt idx="118">
                  <c:v>68.941939372384766</c:v>
                </c:pt>
                <c:pt idx="119">
                  <c:v>68.362595344045388</c:v>
                </c:pt>
                <c:pt idx="120">
                  <c:v>67.792907049511683</c:v>
                </c:pt>
                <c:pt idx="121">
                  <c:v>67.232635090424807</c:v>
                </c:pt>
                <c:pt idx="122">
                  <c:v>66.681547917552479</c:v>
                </c:pt>
                <c:pt idx="123">
                  <c:v>66.139421511718709</c:v>
                </c:pt>
                <c:pt idx="124">
                  <c:v>65.606039080172593</c:v>
                </c:pt>
                <c:pt idx="125">
                  <c:v>65.081190767531211</c:v>
                </c:pt>
                <c:pt idx="126">
                  <c:v>64.564673380487321</c:v>
                </c:pt>
                <c:pt idx="127">
                  <c:v>64.05629012552285</c:v>
                </c:pt>
                <c:pt idx="128">
                  <c:v>63.555850358917198</c:v>
                </c:pt>
                <c:pt idx="129">
                  <c:v>63.063169348382957</c:v>
                </c:pt>
                <c:pt idx="130">
                  <c:v>62.578068045703091</c:v>
                </c:pt>
                <c:pt idx="131">
                  <c:v>62.100372869781694</c:v>
                </c:pt>
                <c:pt idx="132">
                  <c:v>61.629915499556077</c:v>
                </c:pt>
                <c:pt idx="133">
                  <c:v>61.166532676251137</c:v>
                </c:pt>
                <c:pt idx="134">
                  <c:v>60.710066014488078</c:v>
                </c:pt>
                <c:pt idx="135">
                  <c:v>60.260361821788166</c:v>
                </c:pt>
                <c:pt idx="136">
                  <c:v>59.817270926039711</c:v>
                </c:pt>
                <c:pt idx="137">
                  <c:v>59.380648510521183</c:v>
                </c:pt>
                <c:pt idx="138">
                  <c:v>58.950353956097111</c:v>
                </c:pt>
                <c:pt idx="139">
                  <c:v>58.526250690225908</c:v>
                </c:pt>
                <c:pt idx="140">
                  <c:v>58.108206042438582</c:v>
                </c:pt>
                <c:pt idx="141">
                  <c:v>57.69609110596739</c:v>
                </c:pt>
                <c:pt idx="142">
                  <c:v>57.289780605221139</c:v>
                </c:pt>
                <c:pt idx="143">
                  <c:v>56.889152768820992</c:v>
                </c:pt>
                <c:pt idx="144">
                  <c:v>56.4940892079264</c:v>
                </c:pt>
                <c:pt idx="145">
                  <c:v>56.10447479959587</c:v>
                </c:pt>
                <c:pt idx="146">
                  <c:v>55.720197574941103</c:v>
                </c:pt>
                <c:pt idx="147">
                  <c:v>55.341148611846272</c:v>
                </c:pt>
                <c:pt idx="148">
                  <c:v>54.967221932036502</c:v>
                </c:pt>
                <c:pt idx="149">
                  <c:v>54.598314402291287</c:v>
                </c:pt>
                <c:pt idx="150">
                  <c:v>54.234325639609352</c:v>
                </c:pt>
              </c:numCache>
            </c:numRef>
          </c:val>
          <c:smooth val="0"/>
          <c:extLst>
            <c:ext xmlns:c16="http://schemas.microsoft.com/office/drawing/2014/chart" uri="{C3380CC4-5D6E-409C-BE32-E72D297353CC}">
              <c16:uniqueId val="{00000002-3041-4B6E-A68B-B06307862E0E}"/>
            </c:ext>
          </c:extLst>
        </c:ser>
        <c:ser>
          <c:idx val="12"/>
          <c:order val="1"/>
          <c:tx>
            <c:strRef>
              <c:f>性能入力!$H$38</c:f>
              <c:strCache>
                <c:ptCount val="1"/>
                <c:pt idx="0">
                  <c:v>積車</c:v>
                </c:pt>
              </c:strCache>
            </c:strRef>
          </c:tx>
          <c:spPr>
            <a:ln w="19050" cap="rnd">
              <a:solidFill>
                <a:schemeClr val="accent3">
                  <a:lumMod val="40000"/>
                  <a:lumOff val="60000"/>
                </a:schemeClr>
              </a:solidFill>
              <a:prstDash val="sysDash"/>
              <a:round/>
            </a:ln>
            <a:effectLst/>
          </c:spPr>
          <c:marker>
            <c:symbol val="none"/>
          </c:marker>
          <c:cat>
            <c:numRef>
              <c:f>性能入力!$C$40:$C$190</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cat>
          <c:val>
            <c:numRef>
              <c:f>性能入力!$H$40:$H$190</c:f>
              <c:numCache>
                <c:formatCode>#,##0_);[Red]\(#,##0\)</c:formatCode>
                <c:ptCount val="151"/>
                <c:pt idx="0">
                  <c:v>1</c:v>
                </c:pt>
                <c:pt idx="1">
                  <c:v>10.524696231684349</c:v>
                </c:pt>
                <c:pt idx="2">
                  <c:v>21.049392463368697</c:v>
                </c:pt>
                <c:pt idx="3">
                  <c:v>31.574088695053049</c:v>
                </c:pt>
                <c:pt idx="4">
                  <c:v>42.098784926737409</c:v>
                </c:pt>
                <c:pt idx="5">
                  <c:v>52.623481158421761</c:v>
                </c:pt>
                <c:pt idx="6">
                  <c:v>63.148177390106106</c:v>
                </c:pt>
                <c:pt idx="7">
                  <c:v>73.672873621790458</c:v>
                </c:pt>
                <c:pt idx="8">
                  <c:v>84.197569853474803</c:v>
                </c:pt>
                <c:pt idx="9">
                  <c:v>94.722266085159163</c:v>
                </c:pt>
                <c:pt idx="10">
                  <c:v>105.24696231684352</c:v>
                </c:pt>
                <c:pt idx="11">
                  <c:v>115.77165854852787</c:v>
                </c:pt>
                <c:pt idx="12">
                  <c:v>126.29635478021221</c:v>
                </c:pt>
                <c:pt idx="13">
                  <c:v>136.82105101189657</c:v>
                </c:pt>
                <c:pt idx="14">
                  <c:v>147.34574724358092</c:v>
                </c:pt>
                <c:pt idx="15">
                  <c:v>157.87044347526526</c:v>
                </c:pt>
                <c:pt idx="16">
                  <c:v>157.87044347526526</c:v>
                </c:pt>
                <c:pt idx="17">
                  <c:v>157.87044347526526</c:v>
                </c:pt>
                <c:pt idx="18">
                  <c:v>157.87044347526526</c:v>
                </c:pt>
                <c:pt idx="19">
                  <c:v>157.87044347526526</c:v>
                </c:pt>
                <c:pt idx="20">
                  <c:v>157.87044347526526</c:v>
                </c:pt>
                <c:pt idx="21">
                  <c:v>157.87044347526526</c:v>
                </c:pt>
                <c:pt idx="22">
                  <c:v>157.87044347526526</c:v>
                </c:pt>
                <c:pt idx="23">
                  <c:v>157.87044347526526</c:v>
                </c:pt>
                <c:pt idx="24">
                  <c:v>157.87044347526526</c:v>
                </c:pt>
                <c:pt idx="25">
                  <c:v>157.87044347526526</c:v>
                </c:pt>
                <c:pt idx="26">
                  <c:v>157.87044347526526</c:v>
                </c:pt>
                <c:pt idx="27">
                  <c:v>157.87044347526526</c:v>
                </c:pt>
                <c:pt idx="28">
                  <c:v>157.87044347526526</c:v>
                </c:pt>
                <c:pt idx="29">
                  <c:v>157.87044347526526</c:v>
                </c:pt>
                <c:pt idx="30">
                  <c:v>157.87044347526526</c:v>
                </c:pt>
                <c:pt idx="31">
                  <c:v>157.87044347526526</c:v>
                </c:pt>
                <c:pt idx="32">
                  <c:v>157.87044347526526</c:v>
                </c:pt>
                <c:pt idx="33">
                  <c:v>157.87044347526526</c:v>
                </c:pt>
                <c:pt idx="34">
                  <c:v>157.87044347526526</c:v>
                </c:pt>
                <c:pt idx="35">
                  <c:v>157.87044347526526</c:v>
                </c:pt>
                <c:pt idx="36">
                  <c:v>157.87044347526526</c:v>
                </c:pt>
                <c:pt idx="37">
                  <c:v>157.87044347526526</c:v>
                </c:pt>
                <c:pt idx="38">
                  <c:v>157.87044347526526</c:v>
                </c:pt>
                <c:pt idx="39">
                  <c:v>157.87044347526526</c:v>
                </c:pt>
                <c:pt idx="40">
                  <c:v>157.87044347526526</c:v>
                </c:pt>
                <c:pt idx="41">
                  <c:v>157.87044347526526</c:v>
                </c:pt>
                <c:pt idx="42">
                  <c:v>157.87044347526526</c:v>
                </c:pt>
                <c:pt idx="43">
                  <c:v>157.87044347526526</c:v>
                </c:pt>
                <c:pt idx="44">
                  <c:v>157.87044347526526</c:v>
                </c:pt>
                <c:pt idx="45">
                  <c:v>157.87044347526526</c:v>
                </c:pt>
                <c:pt idx="46">
                  <c:v>157.87044347526526</c:v>
                </c:pt>
                <c:pt idx="47">
                  <c:v>157.87044347526526</c:v>
                </c:pt>
                <c:pt idx="48">
                  <c:v>157.87044347526526</c:v>
                </c:pt>
                <c:pt idx="49">
                  <c:v>157.87044347526526</c:v>
                </c:pt>
                <c:pt idx="50">
                  <c:v>157.87044347526526</c:v>
                </c:pt>
                <c:pt idx="51">
                  <c:v>160.23850012739425</c:v>
                </c:pt>
                <c:pt idx="52">
                  <c:v>162.60655677952323</c:v>
                </c:pt>
                <c:pt idx="53">
                  <c:v>164.97461343165222</c:v>
                </c:pt>
                <c:pt idx="54">
                  <c:v>167.3426700837812</c:v>
                </c:pt>
                <c:pt idx="55">
                  <c:v>169.71072673591016</c:v>
                </c:pt>
                <c:pt idx="56">
                  <c:v>172.07878338803911</c:v>
                </c:pt>
                <c:pt idx="57">
                  <c:v>174.4468400401681</c:v>
                </c:pt>
                <c:pt idx="58">
                  <c:v>176.81489669229708</c:v>
                </c:pt>
                <c:pt idx="59">
                  <c:v>179.18295334442607</c:v>
                </c:pt>
                <c:pt idx="60">
                  <c:v>181.55100999655505</c:v>
                </c:pt>
                <c:pt idx="61">
                  <c:v>183.91906664868404</c:v>
                </c:pt>
                <c:pt idx="62">
                  <c:v>186.28712330081302</c:v>
                </c:pt>
                <c:pt idx="63">
                  <c:v>188.65517995294198</c:v>
                </c:pt>
                <c:pt idx="64">
                  <c:v>191.02323660507096</c:v>
                </c:pt>
                <c:pt idx="65">
                  <c:v>193.39129325719995</c:v>
                </c:pt>
                <c:pt idx="66">
                  <c:v>190.46112214724238</c:v>
                </c:pt>
                <c:pt idx="67">
                  <c:v>187.6184188316119</c:v>
                </c:pt>
                <c:pt idx="68">
                  <c:v>184.85932443702936</c:v>
                </c:pt>
                <c:pt idx="69">
                  <c:v>182.18020379301444</c:v>
                </c:pt>
                <c:pt idx="70">
                  <c:v>179.57762945311424</c:v>
                </c:pt>
                <c:pt idx="71">
                  <c:v>177.04836706645065</c:v>
                </c:pt>
                <c:pt idx="72">
                  <c:v>174.58936196830552</c:v>
                </c:pt>
                <c:pt idx="73">
                  <c:v>172.19772687284927</c:v>
                </c:pt>
                <c:pt idx="74">
                  <c:v>169.87073056375669</c:v>
                </c:pt>
                <c:pt idx="75">
                  <c:v>167.60578748957329</c:v>
                </c:pt>
                <c:pt idx="76">
                  <c:v>165.40044818049998</c:v>
                </c:pt>
                <c:pt idx="77">
                  <c:v>163.25239041192202</c:v>
                </c:pt>
                <c:pt idx="78">
                  <c:v>161.15941104766665</c:v>
                </c:pt>
                <c:pt idx="79">
                  <c:v>159.11941850275946</c:v>
                </c:pt>
                <c:pt idx="80">
                  <c:v>157.13042577147496</c:v>
                </c:pt>
                <c:pt idx="81">
                  <c:v>155.19054397182714</c:v>
                </c:pt>
                <c:pt idx="82">
                  <c:v>153.2979763624146</c:v>
                </c:pt>
                <c:pt idx="83">
                  <c:v>151.45101279178311</c:v>
                </c:pt>
                <c:pt idx="84">
                  <c:v>149.64802454426186</c:v>
                </c:pt>
                <c:pt idx="85">
                  <c:v>147.88745954962351</c:v>
                </c:pt>
                <c:pt idx="86">
                  <c:v>146.16783792695344</c:v>
                </c:pt>
                <c:pt idx="87">
                  <c:v>144.48774783583906</c:v>
                </c:pt>
                <c:pt idx="88">
                  <c:v>142.84584161043179</c:v>
                </c:pt>
                <c:pt idx="89">
                  <c:v>141.24083215413481</c:v>
                </c:pt>
                <c:pt idx="90">
                  <c:v>139.67148957464443</c:v>
                </c:pt>
                <c:pt idx="91">
                  <c:v>138.13663804085712</c:v>
                </c:pt>
                <c:pt idx="92">
                  <c:v>136.63515284476085</c:v>
                </c:pt>
                <c:pt idx="93">
                  <c:v>135.1659576528817</c:v>
                </c:pt>
                <c:pt idx="94">
                  <c:v>133.72802193317017</c:v>
                </c:pt>
                <c:pt idx="95">
                  <c:v>132.32035854439997</c:v>
                </c:pt>
                <c:pt idx="96">
                  <c:v>130.94202147622914</c:v>
                </c:pt>
                <c:pt idx="97">
                  <c:v>129.59210372905153</c:v>
                </c:pt>
                <c:pt idx="98">
                  <c:v>128.26973532365304</c:v>
                </c:pt>
                <c:pt idx="99">
                  <c:v>126.97408143149492</c:v>
                </c:pt>
                <c:pt idx="100">
                  <c:v>125.70434061717997</c:v>
                </c:pt>
                <c:pt idx="101">
                  <c:v>124.4597431853267</c:v>
                </c:pt>
                <c:pt idx="102">
                  <c:v>123.23954962468625</c:v>
                </c:pt>
                <c:pt idx="103">
                  <c:v>122.04304914289318</c:v>
                </c:pt>
                <c:pt idx="104">
                  <c:v>120.86955828574997</c:v>
                </c:pt>
                <c:pt idx="105">
                  <c:v>119.71841963540949</c:v>
                </c:pt>
                <c:pt idx="106">
                  <c:v>118.58900058224526</c:v>
                </c:pt>
                <c:pt idx="107">
                  <c:v>117.48069216558876</c:v>
                </c:pt>
                <c:pt idx="108">
                  <c:v>116.39290797887035</c:v>
                </c:pt>
                <c:pt idx="109">
                  <c:v>115.3250831350275</c:v>
                </c:pt>
                <c:pt idx="110">
                  <c:v>114.27667328834542</c:v>
                </c:pt>
                <c:pt idx="111">
                  <c:v>113.24715370917114</c:v>
                </c:pt>
                <c:pt idx="112">
                  <c:v>112.2360184081964</c:v>
                </c:pt>
                <c:pt idx="113">
                  <c:v>111.24277930723892</c:v>
                </c:pt>
                <c:pt idx="114">
                  <c:v>110.26696545366664</c:v>
                </c:pt>
                <c:pt idx="115">
                  <c:v>109.30812227580867</c:v>
                </c:pt>
                <c:pt idx="116">
                  <c:v>108.36581087687929</c:v>
                </c:pt>
                <c:pt idx="117">
                  <c:v>107.43960736511109</c:v>
                </c:pt>
                <c:pt idx="118">
                  <c:v>106.52910221794913</c:v>
                </c:pt>
                <c:pt idx="119">
                  <c:v>105.6338996783025</c:v>
                </c:pt>
                <c:pt idx="120">
                  <c:v>104.75361718098331</c:v>
                </c:pt>
                <c:pt idx="121">
                  <c:v>103.88788480758674</c:v>
                </c:pt>
                <c:pt idx="122">
                  <c:v>103.03634476818031</c:v>
                </c:pt>
                <c:pt idx="123">
                  <c:v>102.19865090827641</c:v>
                </c:pt>
                <c:pt idx="124">
                  <c:v>101.37446823966127</c:v>
                </c:pt>
                <c:pt idx="125">
                  <c:v>100.56347249374399</c:v>
                </c:pt>
                <c:pt idx="126">
                  <c:v>99.765349696174582</c:v>
                </c:pt>
                <c:pt idx="127">
                  <c:v>98.979795761559032</c:v>
                </c:pt>
                <c:pt idx="128">
                  <c:v>98.206516107171851</c:v>
                </c:pt>
                <c:pt idx="129">
                  <c:v>97.44522528463564</c:v>
                </c:pt>
                <c:pt idx="130">
                  <c:v>96.695646628599974</c:v>
                </c:pt>
                <c:pt idx="131">
                  <c:v>95.957511921511426</c:v>
                </c:pt>
                <c:pt idx="132">
                  <c:v>95.230561073621189</c:v>
                </c:pt>
                <c:pt idx="133">
                  <c:v>94.514541817428551</c:v>
                </c:pt>
                <c:pt idx="134">
                  <c:v>93.809209415805952</c:v>
                </c:pt>
                <c:pt idx="135">
                  <c:v>93.114326383096284</c:v>
                </c:pt>
                <c:pt idx="136">
                  <c:v>92.429662218514679</c:v>
                </c:pt>
                <c:pt idx="137">
                  <c:v>91.754993151226259</c:v>
                </c:pt>
                <c:pt idx="138">
                  <c:v>91.090101896507221</c:v>
                </c:pt>
                <c:pt idx="139">
                  <c:v>90.434777422431637</c:v>
                </c:pt>
                <c:pt idx="140">
                  <c:v>89.788814726557121</c:v>
                </c:pt>
                <c:pt idx="141">
                  <c:v>89.152014622113455</c:v>
                </c:pt>
                <c:pt idx="142">
                  <c:v>88.524183533225326</c:v>
                </c:pt>
                <c:pt idx="143">
                  <c:v>87.905133298727264</c:v>
                </c:pt>
                <c:pt idx="144">
                  <c:v>87.294680984152762</c:v>
                </c:pt>
                <c:pt idx="145">
                  <c:v>86.69264870150343</c:v>
                </c:pt>
                <c:pt idx="146">
                  <c:v>86.098863436424637</c:v>
                </c:pt>
                <c:pt idx="147">
                  <c:v>85.513156882435354</c:v>
                </c:pt>
                <c:pt idx="148">
                  <c:v>84.935365281878347</c:v>
                </c:pt>
                <c:pt idx="149">
                  <c:v>84.365329273275137</c:v>
                </c:pt>
                <c:pt idx="150">
                  <c:v>83.802893744786644</c:v>
                </c:pt>
              </c:numCache>
            </c:numRef>
          </c:val>
          <c:smooth val="0"/>
          <c:extLst>
            <c:ext xmlns:c16="http://schemas.microsoft.com/office/drawing/2014/chart" uri="{C3380CC4-5D6E-409C-BE32-E72D297353CC}">
              <c16:uniqueId val="{00000003-3041-4B6E-A68B-B06307862E0E}"/>
            </c:ext>
          </c:extLst>
        </c:ser>
        <c:ser>
          <c:idx val="13"/>
          <c:order val="2"/>
          <c:tx>
            <c:strRef>
              <c:f>性能入力!$J$38</c:f>
              <c:strCache>
                <c:ptCount val="1"/>
                <c:pt idx="0">
                  <c:v>Zero</c:v>
                </c:pt>
              </c:strCache>
            </c:strRef>
          </c:tx>
          <c:spPr>
            <a:ln w="19050" cap="rnd">
              <a:solidFill>
                <a:schemeClr val="accent6">
                  <a:lumMod val="60000"/>
                  <a:lumOff val="40000"/>
                </a:schemeClr>
              </a:solidFill>
              <a:prstDash val="sysDash"/>
              <a:round/>
            </a:ln>
            <a:effectLst/>
          </c:spPr>
          <c:marker>
            <c:symbol val="none"/>
          </c:marker>
          <c:cat>
            <c:numRef>
              <c:f>性能入力!$C$40:$C$190</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cat>
          <c:val>
            <c:numRef>
              <c:f>性能入力!$J$40:$J$190</c:f>
              <c:numCache>
                <c:formatCode>#,##0_);[Red]\(#,##0\)</c:formatCode>
                <c:ptCount val="151"/>
                <c:pt idx="0">
                  <c:v>1</c:v>
                </c:pt>
                <c:pt idx="1">
                  <c:v>2.6311740579210872</c:v>
                </c:pt>
                <c:pt idx="2">
                  <c:v>5.2623481158421743</c:v>
                </c:pt>
                <c:pt idx="3">
                  <c:v>7.8935221737632615</c:v>
                </c:pt>
                <c:pt idx="4">
                  <c:v>10.524696231684352</c:v>
                </c:pt>
                <c:pt idx="5">
                  <c:v>13.15587028960544</c:v>
                </c:pt>
                <c:pt idx="6">
                  <c:v>15.787044347526527</c:v>
                </c:pt>
                <c:pt idx="7">
                  <c:v>18.418218405447615</c:v>
                </c:pt>
                <c:pt idx="8">
                  <c:v>21.049392463368701</c:v>
                </c:pt>
                <c:pt idx="9">
                  <c:v>23.680566521289787</c:v>
                </c:pt>
                <c:pt idx="10">
                  <c:v>26.31174057921088</c:v>
                </c:pt>
                <c:pt idx="11">
                  <c:v>28.942914637131967</c:v>
                </c:pt>
                <c:pt idx="12">
                  <c:v>31.574088695053053</c:v>
                </c:pt>
                <c:pt idx="13">
                  <c:v>34.205262752974143</c:v>
                </c:pt>
                <c:pt idx="14">
                  <c:v>36.836436810895229</c:v>
                </c:pt>
                <c:pt idx="15">
                  <c:v>39.467610868816315</c:v>
                </c:pt>
                <c:pt idx="16">
                  <c:v>39.467610868816315</c:v>
                </c:pt>
                <c:pt idx="17">
                  <c:v>39.467610868816315</c:v>
                </c:pt>
                <c:pt idx="18">
                  <c:v>39.467610868816315</c:v>
                </c:pt>
                <c:pt idx="19">
                  <c:v>39.467610868816315</c:v>
                </c:pt>
                <c:pt idx="20">
                  <c:v>39.467610868816315</c:v>
                </c:pt>
                <c:pt idx="21">
                  <c:v>39.467610868816315</c:v>
                </c:pt>
                <c:pt idx="22">
                  <c:v>39.467610868816315</c:v>
                </c:pt>
                <c:pt idx="23">
                  <c:v>39.467610868816315</c:v>
                </c:pt>
                <c:pt idx="24">
                  <c:v>39.467610868816315</c:v>
                </c:pt>
                <c:pt idx="25">
                  <c:v>39.467610868816315</c:v>
                </c:pt>
                <c:pt idx="26">
                  <c:v>39.467610868816315</c:v>
                </c:pt>
                <c:pt idx="27">
                  <c:v>39.467610868816315</c:v>
                </c:pt>
                <c:pt idx="28">
                  <c:v>39.467610868816315</c:v>
                </c:pt>
                <c:pt idx="29">
                  <c:v>39.467610868816315</c:v>
                </c:pt>
                <c:pt idx="30">
                  <c:v>39.467610868816315</c:v>
                </c:pt>
                <c:pt idx="31">
                  <c:v>39.467610868816315</c:v>
                </c:pt>
                <c:pt idx="32">
                  <c:v>39.467610868816315</c:v>
                </c:pt>
                <c:pt idx="33">
                  <c:v>39.467610868816315</c:v>
                </c:pt>
                <c:pt idx="34">
                  <c:v>39.467610868816315</c:v>
                </c:pt>
                <c:pt idx="35">
                  <c:v>39.467610868816315</c:v>
                </c:pt>
                <c:pt idx="36">
                  <c:v>39.467610868816315</c:v>
                </c:pt>
                <c:pt idx="37">
                  <c:v>39.467610868816315</c:v>
                </c:pt>
                <c:pt idx="38">
                  <c:v>39.467610868816315</c:v>
                </c:pt>
                <c:pt idx="39">
                  <c:v>39.467610868816315</c:v>
                </c:pt>
                <c:pt idx="40">
                  <c:v>39.467610868816315</c:v>
                </c:pt>
                <c:pt idx="41">
                  <c:v>39.467610868816315</c:v>
                </c:pt>
                <c:pt idx="42">
                  <c:v>39.467610868816315</c:v>
                </c:pt>
                <c:pt idx="43">
                  <c:v>39.467610868816315</c:v>
                </c:pt>
                <c:pt idx="44">
                  <c:v>39.467610868816315</c:v>
                </c:pt>
                <c:pt idx="45">
                  <c:v>39.467610868816315</c:v>
                </c:pt>
                <c:pt idx="46">
                  <c:v>39.467610868816315</c:v>
                </c:pt>
                <c:pt idx="47">
                  <c:v>39.467610868816315</c:v>
                </c:pt>
                <c:pt idx="48">
                  <c:v>39.467610868816315</c:v>
                </c:pt>
                <c:pt idx="49">
                  <c:v>39.467610868816315</c:v>
                </c:pt>
                <c:pt idx="50">
                  <c:v>39.467610868816315</c:v>
                </c:pt>
                <c:pt idx="51">
                  <c:v>39.467610868816315</c:v>
                </c:pt>
                <c:pt idx="52">
                  <c:v>39.467610868816315</c:v>
                </c:pt>
                <c:pt idx="53">
                  <c:v>39.467610868816315</c:v>
                </c:pt>
                <c:pt idx="54">
                  <c:v>39.467610868816315</c:v>
                </c:pt>
                <c:pt idx="55">
                  <c:v>39.467610868816315</c:v>
                </c:pt>
                <c:pt idx="56">
                  <c:v>39.467610868816315</c:v>
                </c:pt>
                <c:pt idx="57">
                  <c:v>39.467610868816315</c:v>
                </c:pt>
                <c:pt idx="58">
                  <c:v>39.467610868816315</c:v>
                </c:pt>
                <c:pt idx="59">
                  <c:v>39.467610868816315</c:v>
                </c:pt>
                <c:pt idx="60">
                  <c:v>39.467610868816315</c:v>
                </c:pt>
                <c:pt idx="61">
                  <c:v>39.467610868816315</c:v>
                </c:pt>
                <c:pt idx="62">
                  <c:v>39.467610868816315</c:v>
                </c:pt>
                <c:pt idx="63">
                  <c:v>39.467610868816315</c:v>
                </c:pt>
                <c:pt idx="64">
                  <c:v>39.467610868816315</c:v>
                </c:pt>
                <c:pt idx="65">
                  <c:v>39.467610868816315</c:v>
                </c:pt>
                <c:pt idx="66">
                  <c:v>38.869616764743341</c:v>
                </c:pt>
                <c:pt idx="67">
                  <c:v>38.289473230941205</c:v>
                </c:pt>
                <c:pt idx="68">
                  <c:v>37.726392742250887</c:v>
                </c:pt>
                <c:pt idx="69">
                  <c:v>37.179633427145802</c:v>
                </c:pt>
                <c:pt idx="70">
                  <c:v>36.648495806758007</c:v>
                </c:pt>
                <c:pt idx="71">
                  <c:v>36.132319809479725</c:v>
                </c:pt>
                <c:pt idx="72">
                  <c:v>35.630482034348063</c:v>
                </c:pt>
                <c:pt idx="73">
                  <c:v>35.142393239356991</c:v>
                </c:pt>
                <c:pt idx="74">
                  <c:v>34.667496033419738</c:v>
                </c:pt>
                <c:pt idx="75">
                  <c:v>34.205262752974143</c:v>
                </c:pt>
                <c:pt idx="76">
                  <c:v>33.755193506224479</c:v>
                </c:pt>
                <c:pt idx="77">
                  <c:v>33.316814369780005</c:v>
                </c:pt>
                <c:pt idx="78">
                  <c:v>32.8896757240136</c:v>
                </c:pt>
                <c:pt idx="79">
                  <c:v>32.47335071484887</c:v>
                </c:pt>
                <c:pt idx="80">
                  <c:v>32.067433830913259</c:v>
                </c:pt>
                <c:pt idx="81">
                  <c:v>31.671539586087167</c:v>
                </c:pt>
                <c:pt idx="82">
                  <c:v>31.285301298451959</c:v>
                </c:pt>
                <c:pt idx="83">
                  <c:v>30.908369957506753</c:v>
                </c:pt>
                <c:pt idx="84">
                  <c:v>30.54041317229834</c:v>
                </c:pt>
                <c:pt idx="85">
                  <c:v>30.181114193800713</c:v>
                </c:pt>
                <c:pt idx="86">
                  <c:v>29.830171005500702</c:v>
                </c:pt>
                <c:pt idx="87">
                  <c:v>29.487295476701846</c:v>
                </c:pt>
                <c:pt idx="88">
                  <c:v>29.152212573557506</c:v>
                </c:pt>
                <c:pt idx="89">
                  <c:v>28.824659623292813</c:v>
                </c:pt>
                <c:pt idx="90">
                  <c:v>28.504385627478449</c:v>
                </c:pt>
                <c:pt idx="91">
                  <c:v>28.191150620583084</c:v>
                </c:pt>
                <c:pt idx="92">
                  <c:v>27.884725070359355</c:v>
                </c:pt>
                <c:pt idx="93">
                  <c:v>27.58488931691463</c:v>
                </c:pt>
                <c:pt idx="94">
                  <c:v>27.291433047585752</c:v>
                </c:pt>
                <c:pt idx="95">
                  <c:v>27.004154804979585</c:v>
                </c:pt>
                <c:pt idx="96">
                  <c:v>26.722861525761047</c:v>
                </c:pt>
                <c:pt idx="97">
                  <c:v>26.447368107969695</c:v>
                </c:pt>
                <c:pt idx="98">
                  <c:v>26.177497004827149</c:v>
                </c:pt>
                <c:pt idx="99">
                  <c:v>25.913077843162228</c:v>
                </c:pt>
                <c:pt idx="100">
                  <c:v>25.653947064730605</c:v>
                </c:pt>
                <c:pt idx="101">
                  <c:v>25.399947588842185</c:v>
                </c:pt>
                <c:pt idx="102">
                  <c:v>25.150928494833927</c:v>
                </c:pt>
                <c:pt idx="103">
                  <c:v>24.906744723039424</c:v>
                </c:pt>
                <c:pt idx="104">
                  <c:v>24.667256793010196</c:v>
                </c:pt>
                <c:pt idx="105">
                  <c:v>24.43233053783867</c:v>
                </c:pt>
                <c:pt idx="106">
                  <c:v>24.201836853519438</c:v>
                </c:pt>
                <c:pt idx="107">
                  <c:v>23.97565146236505</c:v>
                </c:pt>
                <c:pt idx="108">
                  <c:v>23.753654689565376</c:v>
                </c:pt>
                <c:pt idx="109">
                  <c:v>23.535731252046428</c:v>
                </c:pt>
                <c:pt idx="110">
                  <c:v>23.321770058846006</c:v>
                </c:pt>
                <c:pt idx="111">
                  <c:v>23.111664022279825</c:v>
                </c:pt>
                <c:pt idx="112">
                  <c:v>22.905309879223754</c:v>
                </c:pt>
                <c:pt idx="113">
                  <c:v>22.702608021885492</c:v>
                </c:pt>
                <c:pt idx="114">
                  <c:v>22.503462337482986</c:v>
                </c:pt>
                <c:pt idx="115">
                  <c:v>22.307780056287484</c:v>
                </c:pt>
                <c:pt idx="116">
                  <c:v>22.115471607526384</c:v>
                </c:pt>
                <c:pt idx="117">
                  <c:v>21.92645048267573</c:v>
                </c:pt>
                <c:pt idx="118">
                  <c:v>21.740633105703903</c:v>
                </c:pt>
                <c:pt idx="119">
                  <c:v>21.557938709857652</c:v>
                </c:pt>
                <c:pt idx="120">
                  <c:v>21.378289220608838</c:v>
                </c:pt>
                <c:pt idx="121">
                  <c:v>21.20160914440546</c:v>
                </c:pt>
                <c:pt idx="122">
                  <c:v>21.02782546289394</c:v>
                </c:pt>
                <c:pt idx="123">
                  <c:v>20.856867532301305</c:v>
                </c:pt>
                <c:pt idx="124">
                  <c:v>20.688666987685973</c:v>
                </c:pt>
                <c:pt idx="125">
                  <c:v>20.523157651784484</c:v>
                </c:pt>
                <c:pt idx="126">
                  <c:v>20.360275448198895</c:v>
                </c:pt>
                <c:pt idx="127">
                  <c:v>20.199958318685518</c:v>
                </c:pt>
                <c:pt idx="128">
                  <c:v>20.042146144320785</c:v>
                </c:pt>
                <c:pt idx="129">
                  <c:v>19.886780670333803</c:v>
                </c:pt>
                <c:pt idx="130">
                  <c:v>19.733805434408158</c:v>
                </c:pt>
                <c:pt idx="131">
                  <c:v>19.583165698267639</c:v>
                </c:pt>
                <c:pt idx="132">
                  <c:v>19.434808382371671</c:v>
                </c:pt>
                <c:pt idx="133">
                  <c:v>19.288682003556847</c:v>
                </c:pt>
                <c:pt idx="134">
                  <c:v>19.144736615470602</c:v>
                </c:pt>
                <c:pt idx="135">
                  <c:v>19.0029237516523</c:v>
                </c:pt>
                <c:pt idx="136">
                  <c:v>18.863196371125444</c:v>
                </c:pt>
                <c:pt idx="137">
                  <c:v>18.725508806372705</c:v>
                </c:pt>
                <c:pt idx="138">
                  <c:v>18.589816713572901</c:v>
                </c:pt>
                <c:pt idx="139">
                  <c:v>18.456077024986048</c:v>
                </c:pt>
                <c:pt idx="140">
                  <c:v>18.324247903379003</c:v>
                </c:pt>
                <c:pt idx="141">
                  <c:v>18.194288698390501</c:v>
                </c:pt>
                <c:pt idx="142">
                  <c:v>18.066159904739862</c:v>
                </c:pt>
                <c:pt idx="143">
                  <c:v>17.939823122189235</c:v>
                </c:pt>
                <c:pt idx="144">
                  <c:v>17.815241017174031</c:v>
                </c:pt>
                <c:pt idx="145">
                  <c:v>17.692377286021106</c:v>
                </c:pt>
                <c:pt idx="146">
                  <c:v>17.571196619678496</c:v>
                </c:pt>
                <c:pt idx="147">
                  <c:v>17.451664669884764</c:v>
                </c:pt>
                <c:pt idx="148">
                  <c:v>17.333748016709869</c:v>
                </c:pt>
                <c:pt idx="149">
                  <c:v>17.21741413740309</c:v>
                </c:pt>
                <c:pt idx="150">
                  <c:v>17.102631376487071</c:v>
                </c:pt>
              </c:numCache>
            </c:numRef>
          </c:val>
          <c:smooth val="0"/>
          <c:extLst>
            <c:ext xmlns:c16="http://schemas.microsoft.com/office/drawing/2014/chart" uri="{C3380CC4-5D6E-409C-BE32-E72D297353CC}">
              <c16:uniqueId val="{00000004-3041-4B6E-A68B-B06307862E0E}"/>
            </c:ext>
          </c:extLst>
        </c:ser>
        <c:dLbls>
          <c:showLegendKey val="0"/>
          <c:showVal val="0"/>
          <c:showCatName val="0"/>
          <c:showSerName val="0"/>
          <c:showPercent val="0"/>
          <c:showBubbleSize val="0"/>
        </c:dLbls>
        <c:marker val="1"/>
        <c:smooth val="0"/>
        <c:axId val="202011008"/>
        <c:axId val="202005120"/>
      </c:lineChart>
      <c:catAx>
        <c:axId val="2019976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02003584"/>
        <c:crossesAt val="0"/>
        <c:auto val="1"/>
        <c:lblAlgn val="ctr"/>
        <c:lblOffset val="125"/>
        <c:tickLblSkip val="50"/>
        <c:tickMarkSkip val="10"/>
        <c:noMultiLvlLbl val="0"/>
      </c:catAx>
      <c:valAx>
        <c:axId val="20200358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_);[Red]\(#,##0\)" sourceLinked="0"/>
        <c:majorTickMark val="none"/>
        <c:minorTickMark val="none"/>
        <c:tickLblPos val="nextTo"/>
        <c:spPr>
          <a:noFill/>
          <a:ln>
            <a:noFill/>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01997696"/>
        <c:crosses val="autoZero"/>
        <c:crossBetween val="between"/>
      </c:valAx>
      <c:valAx>
        <c:axId val="202005120"/>
        <c:scaling>
          <c:orientation val="minMax"/>
          <c:min val="0"/>
        </c:scaling>
        <c:delete val="0"/>
        <c:axPos val="r"/>
        <c:majorGridlines>
          <c:spPr>
            <a:ln w="19050" cap="flat" cmpd="sng" algn="ctr">
              <a:solidFill>
                <a:schemeClr val="tx1">
                  <a:lumMod val="15000"/>
                  <a:lumOff val="85000"/>
                </a:schemeClr>
              </a:solidFill>
              <a:prstDash val="sysDot"/>
              <a:round/>
            </a:ln>
            <a:effectLst/>
          </c:spPr>
        </c:majorGridlines>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02011008"/>
        <c:crosses val="max"/>
        <c:crossBetween val="between"/>
        <c:majorUnit val="100"/>
      </c:valAx>
      <c:catAx>
        <c:axId val="202011008"/>
        <c:scaling>
          <c:orientation val="minMax"/>
        </c:scaling>
        <c:delete val="1"/>
        <c:axPos val="b"/>
        <c:numFmt formatCode="General" sourceLinked="1"/>
        <c:majorTickMark val="out"/>
        <c:minorTickMark val="none"/>
        <c:tickLblPos val="nextTo"/>
        <c:crossAx val="202005120"/>
        <c:crossesAt val="0"/>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95250</xdr:colOff>
      <xdr:row>13</xdr:row>
      <xdr:rowOff>133350</xdr:rowOff>
    </xdr:from>
    <xdr:to>
      <xdr:col>4</xdr:col>
      <xdr:colOff>295275</xdr:colOff>
      <xdr:row>14</xdr:row>
      <xdr:rowOff>171450</xdr:rowOff>
    </xdr:to>
    <xdr:sp macro="" textlink="">
      <xdr:nvSpPr>
        <xdr:cNvPr id="2" name="下矢印 1">
          <a:extLst>
            <a:ext uri="{FF2B5EF4-FFF2-40B4-BE49-F238E27FC236}">
              <a16:creationId xmlns:a16="http://schemas.microsoft.com/office/drawing/2014/main" id="{00000000-0008-0000-0100-000002000000}"/>
            </a:ext>
          </a:extLst>
        </xdr:cNvPr>
        <xdr:cNvSpPr/>
      </xdr:nvSpPr>
      <xdr:spPr>
        <a:xfrm>
          <a:off x="1247775" y="2486025"/>
          <a:ext cx="771525" cy="219075"/>
        </a:xfrm>
        <a:prstGeom prst="downArrow">
          <a:avLst/>
        </a:prstGeom>
        <a:solidFill>
          <a:schemeClr val="accent6">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219075</xdr:colOff>
      <xdr:row>24</xdr:row>
      <xdr:rowOff>171450</xdr:rowOff>
    </xdr:from>
    <xdr:to>
      <xdr:col>7</xdr:col>
      <xdr:colOff>438150</xdr:colOff>
      <xdr:row>29</xdr:row>
      <xdr:rowOff>38100</xdr:rowOff>
    </xdr:to>
    <xdr:sp macro="" textlink="">
      <xdr:nvSpPr>
        <xdr:cNvPr id="3" name="下矢印 2">
          <a:extLst>
            <a:ext uri="{FF2B5EF4-FFF2-40B4-BE49-F238E27FC236}">
              <a16:creationId xmlns:a16="http://schemas.microsoft.com/office/drawing/2014/main" id="{00000000-0008-0000-0100-000003000000}"/>
            </a:ext>
          </a:extLst>
        </xdr:cNvPr>
        <xdr:cNvSpPr/>
      </xdr:nvSpPr>
      <xdr:spPr>
        <a:xfrm rot="16200000">
          <a:off x="3457575" y="4791075"/>
          <a:ext cx="771525" cy="219075"/>
        </a:xfrm>
        <a:prstGeom prst="downArrow">
          <a:avLst/>
        </a:prstGeom>
        <a:solidFill>
          <a:schemeClr val="accent6">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257175</xdr:colOff>
      <xdr:row>13</xdr:row>
      <xdr:rowOff>47625</xdr:rowOff>
    </xdr:from>
    <xdr:to>
      <xdr:col>9</xdr:col>
      <xdr:colOff>476250</xdr:colOff>
      <xdr:row>17</xdr:row>
      <xdr:rowOff>95250</xdr:rowOff>
    </xdr:to>
    <xdr:sp macro="" textlink="">
      <xdr:nvSpPr>
        <xdr:cNvPr id="4" name="下矢印 3">
          <a:extLst>
            <a:ext uri="{FF2B5EF4-FFF2-40B4-BE49-F238E27FC236}">
              <a16:creationId xmlns:a16="http://schemas.microsoft.com/office/drawing/2014/main" id="{00000000-0008-0000-0100-000004000000}"/>
            </a:ext>
          </a:extLst>
        </xdr:cNvPr>
        <xdr:cNvSpPr/>
      </xdr:nvSpPr>
      <xdr:spPr>
        <a:xfrm rot="13634601">
          <a:off x="4629150" y="2676525"/>
          <a:ext cx="771525" cy="219075"/>
        </a:xfrm>
        <a:prstGeom prst="downArrow">
          <a:avLst/>
        </a:prstGeom>
        <a:solidFill>
          <a:schemeClr val="accent6">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514350</xdr:colOff>
      <xdr:row>8</xdr:row>
      <xdr:rowOff>47625</xdr:rowOff>
    </xdr:from>
    <xdr:to>
      <xdr:col>9</xdr:col>
      <xdr:colOff>152400</xdr:colOff>
      <xdr:row>12</xdr:row>
      <xdr:rowOff>95250</xdr:rowOff>
    </xdr:to>
    <xdr:sp macro="" textlink="">
      <xdr:nvSpPr>
        <xdr:cNvPr id="5" name="下矢印 4">
          <a:extLst>
            <a:ext uri="{FF2B5EF4-FFF2-40B4-BE49-F238E27FC236}">
              <a16:creationId xmlns:a16="http://schemas.microsoft.com/office/drawing/2014/main" id="{00000000-0008-0000-0100-000005000000}"/>
            </a:ext>
          </a:extLst>
        </xdr:cNvPr>
        <xdr:cNvSpPr/>
      </xdr:nvSpPr>
      <xdr:spPr>
        <a:xfrm rot="16200000">
          <a:off x="4305300" y="1771650"/>
          <a:ext cx="771525" cy="219075"/>
        </a:xfrm>
        <a:prstGeom prst="downArrow">
          <a:avLst/>
        </a:prstGeom>
        <a:solidFill>
          <a:schemeClr val="accent6">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28575</xdr:colOff>
      <xdr:row>5</xdr:row>
      <xdr:rowOff>0</xdr:rowOff>
    </xdr:from>
    <xdr:to>
      <xdr:col>16</xdr:col>
      <xdr:colOff>0</xdr:colOff>
      <xdr:row>33</xdr:row>
      <xdr:rowOff>38099</xdr:rowOff>
    </xdr:to>
    <xdr:graphicFrame macro="">
      <xdr:nvGraphicFramePr>
        <xdr:cNvPr id="2" name="グラフ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0</xdr:colOff>
      <xdr:row>3</xdr:row>
      <xdr:rowOff>133350</xdr:rowOff>
    </xdr:from>
    <xdr:to>
      <xdr:col>26</xdr:col>
      <xdr:colOff>476250</xdr:colOff>
      <xdr:row>33</xdr:row>
      <xdr:rowOff>161925</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8420100" y="323850"/>
          <a:ext cx="5353050" cy="5172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0" u="sng">
              <a:latin typeface="Meiryo UI" panose="020B0604030504040204" pitchFamily="50" charset="-128"/>
              <a:ea typeface="Meiryo UI" panose="020B0604030504040204" pitchFamily="50" charset="-128"/>
              <a:cs typeface="Meiryo UI" panose="020B0604030504040204" pitchFamily="50" charset="-128"/>
            </a:rPr>
            <a:t>減速度について</a:t>
          </a:r>
          <a:endParaRPr kumimoji="1" lang="en-US" altLang="ja-JP" sz="1100" b="0" u="sng">
            <a:latin typeface="Meiryo UI" panose="020B0604030504040204" pitchFamily="50" charset="-128"/>
            <a:ea typeface="Meiryo UI" panose="020B0604030504040204" pitchFamily="50" charset="-128"/>
            <a:cs typeface="Meiryo UI" panose="020B0604030504040204" pitchFamily="50" charset="-128"/>
          </a:endParaRPr>
        </a:p>
        <a:p>
          <a:endParaRPr kumimoji="1" lang="en-US" altLang="ja-JP" sz="1100" b="1" u="sng">
            <a:latin typeface="Meiryo UI" panose="020B0604030504040204" pitchFamily="50" charset="-128"/>
            <a:ea typeface="Meiryo UI" panose="020B0604030504040204" pitchFamily="50" charset="-128"/>
            <a:cs typeface="Meiryo UI" panose="020B0604030504040204" pitchFamily="50" charset="-128"/>
          </a:endParaRPr>
        </a:p>
        <a:p>
          <a:r>
            <a:rPr kumimoji="1" lang="ja-JP" altLang="en-US" sz="1000" b="0" u="none">
              <a:latin typeface="Meiryo UI" panose="020B0604030504040204" pitchFamily="50" charset="-128"/>
              <a:ea typeface="Meiryo UI" panose="020B0604030504040204" pitchFamily="50" charset="-128"/>
              <a:cs typeface="Meiryo UI" panose="020B0604030504040204" pitchFamily="50" charset="-128"/>
            </a:rPr>
            <a:t>このシートで設定する減速度は、列車の減速度のうち電気ブレーキが負担できる上限です。</a:t>
          </a:r>
          <a:endParaRPr kumimoji="1" lang="en-US" altLang="ja-JP" sz="1000" b="0" u="none">
            <a:latin typeface="Meiryo UI" panose="020B0604030504040204" pitchFamily="50" charset="-128"/>
            <a:ea typeface="Meiryo UI" panose="020B0604030504040204" pitchFamily="50" charset="-128"/>
            <a:cs typeface="Meiryo UI" panose="020B0604030504040204" pitchFamily="50" charset="-128"/>
          </a:endParaRPr>
        </a:p>
        <a:p>
          <a:r>
            <a:rPr kumimoji="1" lang="ja-JP" altLang="en-US" sz="1000" b="0" u="none">
              <a:latin typeface="Meiryo UI" panose="020B0604030504040204" pitchFamily="50" charset="-128"/>
              <a:ea typeface="Meiryo UI" panose="020B0604030504040204" pitchFamily="50" charset="-128"/>
              <a:cs typeface="Meiryo UI" panose="020B0604030504040204" pitchFamily="50" charset="-128"/>
            </a:rPr>
            <a:t>次のような調整は</a:t>
          </a:r>
          <a:r>
            <a:rPr kumimoji="1" lang="ja-JP" altLang="en-US" sz="1000" b="1" u="none">
              <a:latin typeface="Meiryo UI" panose="020B0604030504040204" pitchFamily="50" charset="-128"/>
              <a:ea typeface="Meiryo UI" panose="020B0604030504040204" pitchFamily="50" charset="-128"/>
              <a:cs typeface="Meiryo UI" panose="020B0604030504040204" pitchFamily="50" charset="-128"/>
            </a:rPr>
            <a:t>車両パラメーターファイル</a:t>
          </a:r>
          <a:r>
            <a:rPr kumimoji="1" lang="ja-JP" altLang="en-US" sz="1000" b="0" u="none">
              <a:latin typeface="Meiryo UI" panose="020B0604030504040204" pitchFamily="50" charset="-128"/>
              <a:ea typeface="Meiryo UI" panose="020B0604030504040204" pitchFamily="50" charset="-128"/>
              <a:cs typeface="Meiryo UI" panose="020B0604030504040204" pitchFamily="50" charset="-128"/>
            </a:rPr>
            <a:t>で行ってください。</a:t>
          </a:r>
          <a:endParaRPr kumimoji="1" lang="en-US" altLang="ja-JP" sz="1000" b="0" u="none">
            <a:latin typeface="Meiryo UI" panose="020B0604030504040204" pitchFamily="50" charset="-128"/>
            <a:ea typeface="Meiryo UI" panose="020B0604030504040204" pitchFamily="50" charset="-128"/>
            <a:cs typeface="Meiryo UI" panose="020B0604030504040204" pitchFamily="50" charset="-128"/>
          </a:endParaRPr>
        </a:p>
        <a:p>
          <a:endParaRPr kumimoji="1" lang="en-US" altLang="ja-JP" sz="1000" b="0" u="none">
            <a:latin typeface="Meiryo UI" panose="020B0604030504040204" pitchFamily="50" charset="-128"/>
            <a:ea typeface="Meiryo UI" panose="020B0604030504040204" pitchFamily="50" charset="-128"/>
            <a:cs typeface="Meiryo UI" panose="020B0604030504040204" pitchFamily="50" charset="-128"/>
          </a:endParaRPr>
        </a:p>
        <a:p>
          <a:r>
            <a:rPr kumimoji="1" lang="ja-JP" altLang="en-US" sz="1000" b="0" u="none">
              <a:latin typeface="Meiryo UI" panose="020B0604030504040204" pitchFamily="50" charset="-128"/>
              <a:ea typeface="Meiryo UI" panose="020B0604030504040204" pitchFamily="50" charset="-128"/>
              <a:cs typeface="Meiryo UI" panose="020B0604030504040204" pitchFamily="50" charset="-128"/>
            </a:rPr>
            <a:t>①</a:t>
          </a:r>
          <a:r>
            <a:rPr kumimoji="1" lang="en-US" altLang="ja-JP" sz="1000" b="0" u="none">
              <a:latin typeface="Meiryo UI" panose="020B0604030504040204" pitchFamily="50" charset="-128"/>
              <a:ea typeface="Meiryo UI" panose="020B0604030504040204" pitchFamily="50" charset="-128"/>
              <a:cs typeface="Meiryo UI" panose="020B0604030504040204" pitchFamily="50" charset="-128"/>
            </a:rPr>
            <a:t> </a:t>
          </a:r>
          <a:r>
            <a:rPr kumimoji="1" lang="ja-JP" altLang="en-US" sz="1000" b="0" u="none">
              <a:latin typeface="Meiryo UI" panose="020B0604030504040204" pitchFamily="50" charset="-128"/>
              <a:ea typeface="Meiryo UI" panose="020B0604030504040204" pitchFamily="50" charset="-128"/>
              <a:cs typeface="Meiryo UI" panose="020B0604030504040204" pitchFamily="50" charset="-128"/>
            </a:rPr>
            <a:t>列車の減速度そのものは　</a:t>
          </a:r>
          <a:r>
            <a:rPr kumimoji="1" lang="en-US" altLang="ja-JP" sz="1000" b="0" u="none">
              <a:solidFill>
                <a:srgbClr val="FF0000"/>
              </a:solidFill>
              <a:latin typeface="Meiryo UI" panose="020B0604030504040204" pitchFamily="50" charset="-128"/>
              <a:ea typeface="Meiryo UI" panose="020B0604030504040204" pitchFamily="50" charset="-128"/>
              <a:cs typeface="Meiryo UI" panose="020B0604030504040204" pitchFamily="50" charset="-128"/>
            </a:rPr>
            <a:t>PistonArea </a:t>
          </a:r>
          <a:r>
            <a:rPr kumimoji="1" lang="ja-JP" altLang="en-US" sz="1000" b="0" u="none">
              <a:latin typeface="Meiryo UI" panose="020B0604030504040204" pitchFamily="50" charset="-128"/>
              <a:ea typeface="Meiryo UI" panose="020B0604030504040204" pitchFamily="50" charset="-128"/>
              <a:cs typeface="Meiryo UI" panose="020B0604030504040204" pitchFamily="50" charset="-128"/>
            </a:rPr>
            <a:t>の値を大きくする→ブレーキが強くなる</a:t>
          </a:r>
          <a:endParaRPr kumimoji="1" lang="en-US" altLang="ja-JP" sz="1000" b="0" u="none">
            <a:latin typeface="Meiryo UI" panose="020B0604030504040204" pitchFamily="50" charset="-128"/>
            <a:ea typeface="Meiryo UI" panose="020B0604030504040204" pitchFamily="50" charset="-128"/>
            <a:cs typeface="Meiryo UI" panose="020B0604030504040204" pitchFamily="50" charset="-128"/>
          </a:endParaRPr>
        </a:p>
        <a:p>
          <a:endParaRPr kumimoji="1" lang="en-US" altLang="ja-JP" sz="1000" b="0" u="none">
            <a:latin typeface="Meiryo UI" panose="020B0604030504040204" pitchFamily="50" charset="-128"/>
            <a:ea typeface="Meiryo UI" panose="020B0604030504040204" pitchFamily="50" charset="-128"/>
            <a:cs typeface="Meiryo UI" panose="020B0604030504040204" pitchFamily="50" charset="-128"/>
          </a:endParaRPr>
        </a:p>
        <a:p>
          <a:r>
            <a:rPr kumimoji="1" lang="ja-JP" altLang="en-US" sz="1000" b="0" u="none">
              <a:latin typeface="Meiryo UI" panose="020B0604030504040204" pitchFamily="50" charset="-128"/>
              <a:ea typeface="Meiryo UI" panose="020B0604030504040204" pitchFamily="50" charset="-128"/>
              <a:cs typeface="Meiryo UI" panose="020B0604030504040204" pitchFamily="50" charset="-128"/>
            </a:rPr>
            <a:t>② 電制負担率</a:t>
          </a:r>
          <a:r>
            <a:rPr kumimoji="1" lang="en-US" altLang="ja-JP" sz="1000" b="0" u="none">
              <a:latin typeface="Meiryo UI" panose="020B0604030504040204" pitchFamily="50" charset="-128"/>
              <a:ea typeface="Meiryo UI" panose="020B0604030504040204" pitchFamily="50" charset="-128"/>
              <a:cs typeface="Meiryo UI" panose="020B0604030504040204" pitchFamily="50" charset="-128"/>
            </a:rPr>
            <a:t>(BC</a:t>
          </a:r>
          <a:r>
            <a:rPr kumimoji="1" lang="ja-JP" altLang="en-US" sz="1000" b="0" u="none">
              <a:latin typeface="Meiryo UI" panose="020B0604030504040204" pitchFamily="50" charset="-128"/>
              <a:ea typeface="Meiryo UI" panose="020B0604030504040204" pitchFamily="50" charset="-128"/>
              <a:cs typeface="Meiryo UI" panose="020B0604030504040204" pitchFamily="50" charset="-128"/>
            </a:rPr>
            <a:t>圧</a:t>
          </a:r>
          <a:r>
            <a:rPr kumimoji="1" lang="ja-JP" altLang="en-US" sz="1000" b="0" u="none" baseline="0">
              <a:latin typeface="Meiryo UI" panose="020B0604030504040204" pitchFamily="50" charset="-128"/>
              <a:ea typeface="Meiryo UI" panose="020B0604030504040204" pitchFamily="50" charset="-128"/>
              <a:cs typeface="Meiryo UI" panose="020B0604030504040204" pitchFamily="50" charset="-128"/>
            </a:rPr>
            <a:t> </a:t>
          </a:r>
          <a:r>
            <a:rPr kumimoji="1" lang="en-US" altLang="ja-JP" sz="1000" b="0" u="none" baseline="0">
              <a:latin typeface="Meiryo UI" panose="020B0604030504040204" pitchFamily="50" charset="-128"/>
              <a:ea typeface="Meiryo UI" panose="020B0604030504040204" pitchFamily="50" charset="-128"/>
              <a:cs typeface="Meiryo UI" panose="020B0604030504040204" pitchFamily="50" charset="-128"/>
            </a:rPr>
            <a:t>vs. </a:t>
          </a:r>
          <a:r>
            <a:rPr kumimoji="1" lang="ja-JP" altLang="en-US" sz="1000" b="0" u="none">
              <a:latin typeface="Meiryo UI" panose="020B0604030504040204" pitchFamily="50" charset="-128"/>
              <a:ea typeface="Meiryo UI" panose="020B0604030504040204" pitchFamily="50" charset="-128"/>
              <a:cs typeface="Meiryo UI" panose="020B0604030504040204" pitchFamily="50" charset="-128"/>
            </a:rPr>
            <a:t>電流</a:t>
          </a:r>
          <a:r>
            <a:rPr kumimoji="1" lang="en-US" altLang="ja-JP" sz="1000" b="0" u="none">
              <a:latin typeface="Meiryo UI" panose="020B0604030504040204" pitchFamily="50" charset="-128"/>
              <a:ea typeface="Meiryo UI" panose="020B0604030504040204" pitchFamily="50" charset="-128"/>
              <a:cs typeface="Meiryo UI" panose="020B0604030504040204" pitchFamily="50" charset="-128"/>
            </a:rPr>
            <a:t>) </a:t>
          </a:r>
          <a:r>
            <a:rPr kumimoji="1" lang="ja-JP" altLang="en-US" sz="1000" b="0" u="none">
              <a:latin typeface="Meiryo UI" panose="020B0604030504040204" pitchFamily="50" charset="-128"/>
              <a:ea typeface="Meiryo UI" panose="020B0604030504040204" pitchFamily="50" charset="-128"/>
              <a:cs typeface="Meiryo UI" panose="020B0604030504040204" pitchFamily="50" charset="-128"/>
            </a:rPr>
            <a:t>は</a:t>
          </a:r>
          <a:r>
            <a:rPr kumimoji="1" lang="en-US" altLang="ja-JP" sz="1100" b="0">
              <a:solidFill>
                <a:srgbClr val="7030A0"/>
              </a:solidFill>
              <a:effectLst/>
              <a:latin typeface="+mn-lt"/>
              <a:ea typeface="+mn-ea"/>
              <a:cs typeface="+mn-cs"/>
            </a:rPr>
            <a:t>MaximumPressure </a:t>
          </a:r>
        </a:p>
        <a:p>
          <a:endParaRPr kumimoji="1" lang="en-US" altLang="ja-JP" sz="1000" b="0" u="none">
            <a:latin typeface="Meiryo UI" panose="020B0604030504040204" pitchFamily="50" charset="-128"/>
            <a:ea typeface="Meiryo UI" panose="020B0604030504040204" pitchFamily="50" charset="-128"/>
            <a:cs typeface="Meiryo UI" panose="020B0604030504040204" pitchFamily="50" charset="-128"/>
          </a:endParaRPr>
        </a:p>
        <a:p>
          <a:r>
            <a:rPr kumimoji="1" lang="ja-JP" altLang="en-US" sz="1000" b="0" u="none">
              <a:latin typeface="Meiryo UI" panose="020B0604030504040204" pitchFamily="50" charset="-128"/>
              <a:ea typeface="Meiryo UI" panose="020B0604030504040204" pitchFamily="50" charset="-128"/>
              <a:cs typeface="Meiryo UI" panose="020B0604030504040204" pitchFamily="50" charset="-128"/>
            </a:rPr>
            <a:t>③ 空気ブレーキ単独時 </a:t>
          </a:r>
          <a:r>
            <a:rPr kumimoji="1" lang="en-US" altLang="ja-JP" sz="1000" b="0" u="none">
              <a:latin typeface="Meiryo UI" panose="020B0604030504040204" pitchFamily="50" charset="-128"/>
              <a:ea typeface="Meiryo UI" panose="020B0604030504040204" pitchFamily="50" charset="-128"/>
              <a:cs typeface="Meiryo UI" panose="020B0604030504040204" pitchFamily="50" charset="-128"/>
            </a:rPr>
            <a:t>vs. </a:t>
          </a:r>
          <a:r>
            <a:rPr kumimoji="1" lang="ja-JP" altLang="en-US" sz="1000" b="0" u="none">
              <a:latin typeface="Meiryo UI" panose="020B0604030504040204" pitchFamily="50" charset="-128"/>
              <a:ea typeface="Meiryo UI" panose="020B0604030504040204" pitchFamily="50" charset="-128"/>
              <a:cs typeface="Meiryo UI" panose="020B0604030504040204" pitchFamily="50" charset="-128"/>
            </a:rPr>
            <a:t>電制併用時のブレーキ力の違いは </a:t>
          </a:r>
          <a:r>
            <a:rPr kumimoji="1" lang="en-US" altLang="ja-JP" sz="1100" b="1">
              <a:solidFill>
                <a:schemeClr val="accent6">
                  <a:lumMod val="50000"/>
                </a:schemeClr>
              </a:solidFill>
              <a:effectLst/>
              <a:latin typeface="+mn-lt"/>
              <a:ea typeface="+mn-ea"/>
              <a:cs typeface="+mn-cs"/>
            </a:rPr>
            <a:t>ShoeFriction </a:t>
          </a:r>
          <a:endParaRPr kumimoji="1" lang="en-US" altLang="ja-JP" sz="1000" b="0" u="none">
            <a:solidFill>
              <a:schemeClr val="accent6">
                <a:lumMod val="50000"/>
              </a:schemeClr>
            </a:solidFill>
            <a:effectLst/>
            <a:latin typeface="Meiryo UI" panose="020B0604030504040204" pitchFamily="50" charset="-128"/>
            <a:ea typeface="Meiryo UI" panose="020B0604030504040204" pitchFamily="50" charset="-128"/>
            <a:cs typeface="Meiryo UI" panose="020B0604030504040204" pitchFamily="50" charset="-128"/>
          </a:endParaRPr>
        </a:p>
        <a:p>
          <a:r>
            <a:rPr kumimoji="1" lang="ja-JP" altLang="en-US" sz="1000" b="0" baseline="0">
              <a:solidFill>
                <a:schemeClr val="dk1"/>
              </a:solidFill>
              <a:effectLst/>
              <a:latin typeface="+mn-lt"/>
              <a:ea typeface="Meiryo UI" panose="020B0604030504040204" pitchFamily="50" charset="-128"/>
              <a:cs typeface="Meiryo UI" panose="020B0604030504040204" pitchFamily="50" charset="-128"/>
            </a:rPr>
            <a:t>　　電制</a:t>
          </a:r>
          <a:r>
            <a:rPr kumimoji="1" lang="ja-JP" altLang="en-US" sz="1000" b="0">
              <a:solidFill>
                <a:schemeClr val="dk1"/>
              </a:solidFill>
              <a:effectLst/>
              <a:latin typeface="+mn-lt"/>
              <a:ea typeface="Meiryo UI" panose="020B0604030504040204" pitchFamily="50" charset="-128"/>
              <a:cs typeface="Meiryo UI" panose="020B0604030504040204" pitchFamily="50" charset="-128"/>
            </a:rPr>
            <a:t>併用時にブレーキが強すぎるときは</a:t>
          </a:r>
          <a:r>
            <a:rPr kumimoji="1" lang="ja-JP" altLang="en-US" sz="1000" b="1">
              <a:solidFill>
                <a:schemeClr val="dk1"/>
              </a:solidFill>
              <a:effectLst/>
              <a:latin typeface="+mn-lt"/>
              <a:ea typeface="Meiryo UI" panose="020B0604030504040204" pitchFamily="50" charset="-128"/>
              <a:cs typeface="Meiryo UI" panose="020B0604030504040204" pitchFamily="50" charset="-128"/>
            </a:rPr>
            <a:t>　</a:t>
          </a:r>
          <a:r>
            <a:rPr kumimoji="1" lang="en-US" altLang="ja-JP" sz="1000" b="0">
              <a:solidFill>
                <a:schemeClr val="dk1"/>
              </a:solidFill>
              <a:effectLst/>
              <a:latin typeface="+mn-lt"/>
              <a:ea typeface="Meiryo UI" panose="020B0604030504040204" pitchFamily="50" charset="-128"/>
              <a:cs typeface="Meiryo UI" panose="020B0604030504040204" pitchFamily="50" charset="-128"/>
            </a:rPr>
            <a:t>[</a:t>
          </a:r>
          <a:r>
            <a:rPr kumimoji="1" lang="en-US" altLang="ja-JP" sz="1050" b="0">
              <a:solidFill>
                <a:schemeClr val="dk1"/>
              </a:solidFill>
              <a:effectLst/>
              <a:latin typeface="+mn-lt"/>
              <a:ea typeface="Meiryo UI" panose="020B0604030504040204" pitchFamily="50" charset="-128"/>
              <a:cs typeface="Meiryo UI" panose="020B0604030504040204" pitchFamily="50" charset="-128"/>
            </a:rPr>
            <a:t>AirSupplement</a:t>
          </a:r>
          <a:r>
            <a:rPr kumimoji="1" lang="en-US" altLang="ja-JP" sz="1000" b="0">
              <a:solidFill>
                <a:schemeClr val="dk1"/>
              </a:solidFill>
              <a:effectLst/>
              <a:latin typeface="+mn-lt"/>
              <a:ea typeface="Meiryo UI" panose="020B0604030504040204" pitchFamily="50" charset="-128"/>
              <a:cs typeface="Meiryo UI" panose="020B0604030504040204" pitchFamily="50" charset="-128"/>
            </a:rPr>
            <a:t>]</a:t>
          </a:r>
          <a:r>
            <a:rPr kumimoji="0" lang="en-US" altLang="ja-JP" sz="1000" b="0" baseline="0">
              <a:solidFill>
                <a:schemeClr val="dk1"/>
              </a:solidFill>
              <a:effectLst/>
              <a:latin typeface="+mn-lt"/>
              <a:ea typeface="Meiryo UI" panose="020B0604030504040204" pitchFamily="50" charset="-128"/>
              <a:cs typeface="Meiryo UI" panose="020B0604030504040204" pitchFamily="50" charset="-128"/>
            </a:rPr>
            <a:t> </a:t>
          </a:r>
          <a:r>
            <a:rPr kumimoji="0" lang="ja-JP" altLang="en-US" sz="1000" b="0" baseline="0">
              <a:solidFill>
                <a:schemeClr val="dk1"/>
              </a:solidFill>
              <a:effectLst/>
              <a:latin typeface="+mn-lt"/>
              <a:ea typeface="Meiryo UI" panose="020B0604030504040204" pitchFamily="50" charset="-128"/>
              <a:cs typeface="Meiryo UI" panose="020B0604030504040204" pitchFamily="50" charset="-128"/>
            </a:rPr>
            <a:t>側の想定摩擦係数を下げる</a:t>
          </a:r>
          <a:endParaRPr kumimoji="0" lang="en-US" altLang="ja-JP" sz="1000" b="0" baseline="0">
            <a:solidFill>
              <a:schemeClr val="dk1"/>
            </a:solidFill>
            <a:effectLst/>
            <a:latin typeface="+mn-lt"/>
            <a:ea typeface="Meiryo UI" panose="020B0604030504040204" pitchFamily="50" charset="-128"/>
            <a:cs typeface="Meiryo UI" panose="020B0604030504040204" pitchFamily="50" charset="-128"/>
          </a:endParaRPr>
        </a:p>
        <a:p>
          <a:endParaRPr kumimoji="0" lang="en-US" altLang="ja-JP" sz="1000" b="0" baseline="0">
            <a:solidFill>
              <a:schemeClr val="dk1"/>
            </a:solidFill>
            <a:effectLst/>
            <a:latin typeface="+mn-lt"/>
            <a:ea typeface="Meiryo UI" panose="020B0604030504040204" pitchFamily="50" charset="-128"/>
            <a:cs typeface="Meiryo UI" panose="020B0604030504040204" pitchFamily="50" charset="-128"/>
          </a:endParaRPr>
        </a:p>
        <a:p>
          <a:r>
            <a:rPr kumimoji="0" lang="ja-JP" altLang="en-US" sz="1000" b="0" u="none" baseline="0">
              <a:solidFill>
                <a:schemeClr val="dk1"/>
              </a:solidFill>
              <a:effectLst/>
              <a:latin typeface="+mn-lt"/>
              <a:ea typeface="Meiryo UI" panose="020B0604030504040204" pitchFamily="50" charset="-128"/>
              <a:cs typeface="Meiryo UI" panose="020B0604030504040204" pitchFamily="50" charset="-128"/>
            </a:rPr>
            <a:t>　　これは空制は摩擦ブレーキであるため低速になるほど減速度が強くなるのに対し、</a:t>
          </a:r>
          <a:endParaRPr kumimoji="0" lang="en-US" altLang="ja-JP" sz="1000" b="0" u="none" baseline="0">
            <a:solidFill>
              <a:schemeClr val="dk1"/>
            </a:solidFill>
            <a:effectLst/>
            <a:latin typeface="+mn-lt"/>
            <a:ea typeface="Meiryo UI" panose="020B0604030504040204" pitchFamily="50" charset="-128"/>
            <a:cs typeface="Meiryo UI" panose="020B0604030504040204" pitchFamily="50" charset="-128"/>
          </a:endParaRPr>
        </a:p>
        <a:p>
          <a:r>
            <a:rPr kumimoji="0" lang="ja-JP" altLang="en-US" sz="1000" b="0" u="none" baseline="0">
              <a:solidFill>
                <a:schemeClr val="dk1"/>
              </a:solidFill>
              <a:effectLst/>
              <a:latin typeface="+mn-lt"/>
              <a:ea typeface="Meiryo UI" panose="020B0604030504040204" pitchFamily="50" charset="-128"/>
              <a:cs typeface="Meiryo UI" panose="020B0604030504040204" pitchFamily="50" charset="-128"/>
            </a:rPr>
            <a:t>　　電制は減速度が一定になるような制御が行われるため。</a:t>
          </a:r>
          <a:endParaRPr kumimoji="0" lang="en-US" altLang="ja-JP" sz="1000" b="0" u="none" baseline="0">
            <a:solidFill>
              <a:schemeClr val="dk1"/>
            </a:solidFill>
            <a:effectLst/>
            <a:latin typeface="+mn-lt"/>
            <a:ea typeface="Meiryo UI" panose="020B0604030504040204" pitchFamily="50" charset="-128"/>
            <a:cs typeface="Meiryo UI" panose="020B0604030504040204" pitchFamily="50" charset="-128"/>
          </a:endParaRPr>
        </a:p>
        <a:p>
          <a:endParaRPr kumimoji="1" lang="en-US" altLang="ja-JP" sz="1000" b="0" u="none">
            <a:latin typeface="Meiryo UI" panose="020B0604030504040204" pitchFamily="50" charset="-128"/>
            <a:ea typeface="Meiryo UI" panose="020B0604030504040204" pitchFamily="50" charset="-128"/>
            <a:cs typeface="Meiryo UI" panose="020B0604030504040204" pitchFamily="50" charset="-128"/>
          </a:endParaRPr>
        </a:p>
        <a:p>
          <a:r>
            <a:rPr kumimoji="1" lang="en-US" altLang="ja-JP" sz="1050" b="0" u="none">
              <a:solidFill>
                <a:srgbClr val="7030A0"/>
              </a:solidFill>
              <a:latin typeface="+mn-lt"/>
              <a:ea typeface="Meiryo UI" panose="020B0604030504040204" pitchFamily="50" charset="-128"/>
              <a:cs typeface="Meiryo UI" panose="020B0604030504040204" pitchFamily="50" charset="-128"/>
            </a:rPr>
            <a:t>[ECB]</a:t>
          </a:r>
        </a:p>
        <a:p>
          <a:r>
            <a:rPr kumimoji="1" lang="en-US" altLang="ja-JP" sz="1050" b="0" u="none">
              <a:solidFill>
                <a:srgbClr val="7030A0"/>
              </a:solidFill>
              <a:latin typeface="+mn-lt"/>
              <a:ea typeface="Meiryo UI" panose="020B0604030504040204" pitchFamily="50" charset="-128"/>
              <a:cs typeface="Meiryo UI" panose="020B0604030504040204" pitchFamily="50" charset="-128"/>
            </a:rPr>
            <a:t>MaximumPressure = </a:t>
          </a:r>
          <a:r>
            <a:rPr kumimoji="1" lang="en-US" altLang="ja-JP" sz="1050" b="1" u="none">
              <a:solidFill>
                <a:srgbClr val="7030A0"/>
              </a:solidFill>
              <a:latin typeface="+mn-lt"/>
              <a:ea typeface="Meiryo UI" panose="020B0604030504040204" pitchFamily="50" charset="-128"/>
              <a:cs typeface="Meiryo UI" panose="020B0604030504040204" pitchFamily="50" charset="-128"/>
            </a:rPr>
            <a:t>300000</a:t>
          </a:r>
          <a:r>
            <a:rPr kumimoji="1" lang="ja-JP" altLang="en-US" sz="1050" b="1" u="none">
              <a:solidFill>
                <a:srgbClr val="7030A0"/>
              </a:solidFill>
              <a:latin typeface="+mn-lt"/>
              <a:ea typeface="Meiryo UI" panose="020B0604030504040204" pitchFamily="50" charset="-128"/>
              <a:cs typeface="Meiryo UI" panose="020B0604030504040204" pitchFamily="50" charset="-128"/>
            </a:rPr>
            <a:t>　←空車時のブレーキシリンダ圧力</a:t>
          </a:r>
          <a:endParaRPr kumimoji="1" lang="en-US" altLang="ja-JP" sz="1050" b="1" u="none">
            <a:solidFill>
              <a:srgbClr val="7030A0"/>
            </a:solidFill>
            <a:latin typeface="+mn-lt"/>
            <a:ea typeface="Meiryo UI" panose="020B0604030504040204" pitchFamily="50" charset="-128"/>
            <a:cs typeface="Meiryo UI" panose="020B0604030504040204" pitchFamily="50" charset="-128"/>
          </a:endParaRPr>
        </a:p>
        <a:p>
          <a:endParaRPr kumimoji="1" lang="en-US" altLang="ja-JP" sz="1050" b="0" u="none">
            <a:latin typeface="+mn-lt"/>
            <a:ea typeface="Meiryo UI" panose="020B0604030504040204" pitchFamily="50" charset="-128"/>
            <a:cs typeface="Meiryo UI" panose="020B0604030504040204" pitchFamily="50" charset="-128"/>
          </a:endParaRPr>
        </a:p>
        <a:p>
          <a:r>
            <a:rPr kumimoji="1" lang="en-US" altLang="ja-JP" sz="1050" b="0" u="none">
              <a:latin typeface="+mn-lt"/>
              <a:ea typeface="Meiryo UI" panose="020B0604030504040204" pitchFamily="50" charset="-128"/>
              <a:cs typeface="Meiryo UI" panose="020B0604030504040204" pitchFamily="50" charset="-128"/>
            </a:rPr>
            <a:t>[Brake]</a:t>
          </a:r>
        </a:p>
        <a:p>
          <a:r>
            <a:rPr kumimoji="1" lang="en-US" altLang="ja-JP" sz="1050" b="1" u="none">
              <a:solidFill>
                <a:srgbClr val="FF0000"/>
              </a:solidFill>
              <a:latin typeface="+mn-lt"/>
              <a:ea typeface="Meiryo UI" panose="020B0604030504040204" pitchFamily="50" charset="-128"/>
              <a:cs typeface="Meiryo UI" panose="020B0604030504040204" pitchFamily="50" charset="-128"/>
            </a:rPr>
            <a:t>PistonArea = 0.4</a:t>
          </a:r>
        </a:p>
        <a:p>
          <a:r>
            <a:rPr kumimoji="1" lang="en-US" altLang="ja-JP" sz="1050" b="1" u="none">
              <a:solidFill>
                <a:schemeClr val="accent6">
                  <a:lumMod val="50000"/>
                </a:schemeClr>
              </a:solidFill>
              <a:latin typeface="+mn-lt"/>
              <a:ea typeface="Meiryo UI" panose="020B0604030504040204" pitchFamily="50" charset="-128"/>
              <a:cs typeface="Meiryo UI" panose="020B0604030504040204" pitchFamily="50" charset="-128"/>
            </a:rPr>
            <a:t>ShoeFriction = 0.26, 0.01, 0.025</a:t>
          </a:r>
        </a:p>
        <a:p>
          <a:endParaRPr kumimoji="1" lang="en-US" altLang="ja-JP" sz="1050" b="0" u="none">
            <a:latin typeface="+mn-lt"/>
            <a:ea typeface="Meiryo UI" panose="020B0604030504040204" pitchFamily="50" charset="-128"/>
            <a:cs typeface="Meiryo UI" panose="020B0604030504040204" pitchFamily="50" charset="-128"/>
          </a:endParaRPr>
        </a:p>
        <a:p>
          <a:r>
            <a:rPr kumimoji="1" lang="en-US" altLang="ja-JP" sz="1050" b="0" u="none">
              <a:latin typeface="+mn-lt"/>
              <a:ea typeface="Meiryo UI" panose="020B0604030504040204" pitchFamily="50" charset="-128"/>
              <a:cs typeface="Meiryo UI" panose="020B0604030504040204" pitchFamily="50" charset="-128"/>
            </a:rPr>
            <a:t>[AirSupplement]</a:t>
          </a:r>
        </a:p>
        <a:p>
          <a:r>
            <a:rPr kumimoji="1" lang="en-US" altLang="ja-JP" sz="1050" b="0" u="none">
              <a:solidFill>
                <a:srgbClr val="7030A0"/>
              </a:solidFill>
              <a:latin typeface="+mn-lt"/>
              <a:ea typeface="Meiryo UI" panose="020B0604030504040204" pitchFamily="50" charset="-128"/>
              <a:cs typeface="Meiryo UI" panose="020B0604030504040204" pitchFamily="50" charset="-128"/>
            </a:rPr>
            <a:t>MaximumPressure = </a:t>
          </a:r>
          <a:r>
            <a:rPr kumimoji="1" lang="en-US" altLang="ja-JP" sz="1050" b="1" u="none">
              <a:solidFill>
                <a:srgbClr val="7030A0"/>
              </a:solidFill>
              <a:latin typeface="+mn-lt"/>
              <a:ea typeface="Meiryo UI" panose="020B0604030504040204" pitchFamily="50" charset="-128"/>
              <a:cs typeface="Meiryo UI" panose="020B0604030504040204" pitchFamily="50" charset="-128"/>
            </a:rPr>
            <a:t>210000</a:t>
          </a:r>
          <a:r>
            <a:rPr kumimoji="1" lang="ja-JP" altLang="en-US" sz="1050" b="1" u="none">
              <a:solidFill>
                <a:srgbClr val="7030A0"/>
              </a:solidFill>
              <a:latin typeface="+mn-lt"/>
              <a:ea typeface="Meiryo UI" panose="020B0604030504040204" pitchFamily="50" charset="-128"/>
              <a:cs typeface="Meiryo UI" panose="020B0604030504040204" pitchFamily="50" charset="-128"/>
            </a:rPr>
            <a:t>　←空車時のブレーキシリンダ圧力</a:t>
          </a:r>
          <a:r>
            <a:rPr kumimoji="1" lang="en-US" altLang="ja-JP" sz="1050" b="1" u="none">
              <a:solidFill>
                <a:srgbClr val="7030A0"/>
              </a:solidFill>
              <a:latin typeface="+mn-lt"/>
              <a:ea typeface="Meiryo UI" panose="020B0604030504040204" pitchFamily="50" charset="-128"/>
              <a:cs typeface="Meiryo UI" panose="020B0604030504040204" pitchFamily="50" charset="-128"/>
            </a:rPr>
            <a:t>×</a:t>
          </a:r>
          <a:r>
            <a:rPr kumimoji="1" lang="ja-JP" altLang="en-US" sz="1050" b="1" u="none">
              <a:solidFill>
                <a:srgbClr val="7030A0"/>
              </a:solidFill>
              <a:latin typeface="+mn-lt"/>
              <a:ea typeface="Meiryo UI" panose="020B0604030504040204" pitchFamily="50" charset="-128"/>
              <a:cs typeface="Meiryo UI" panose="020B0604030504040204" pitchFamily="50" charset="-128"/>
            </a:rPr>
            <a:t>電制負担率</a:t>
          </a:r>
          <a:r>
            <a:rPr kumimoji="1" lang="en-US" altLang="ja-JP" sz="1050" b="1" u="none">
              <a:solidFill>
                <a:srgbClr val="7030A0"/>
              </a:solidFill>
              <a:latin typeface="+mn-lt"/>
              <a:ea typeface="Meiryo UI" panose="020B0604030504040204" pitchFamily="50" charset="-128"/>
              <a:cs typeface="Meiryo UI" panose="020B0604030504040204" pitchFamily="50" charset="-128"/>
            </a:rPr>
            <a:t>(</a:t>
          </a:r>
          <a:r>
            <a:rPr kumimoji="1" lang="ja-JP" altLang="en-US" sz="1050" b="1" u="none">
              <a:solidFill>
                <a:srgbClr val="7030A0"/>
              </a:solidFill>
              <a:latin typeface="+mn-lt"/>
              <a:ea typeface="Meiryo UI" panose="020B0604030504040204" pitchFamily="50" charset="-128"/>
              <a:cs typeface="Meiryo UI" panose="020B0604030504040204" pitchFamily="50" charset="-128"/>
            </a:rPr>
            <a:t>例</a:t>
          </a:r>
          <a:r>
            <a:rPr kumimoji="1" lang="en-US" altLang="ja-JP" sz="1050" b="1" u="none">
              <a:solidFill>
                <a:srgbClr val="7030A0"/>
              </a:solidFill>
              <a:latin typeface="+mn-lt"/>
              <a:ea typeface="Meiryo UI" panose="020B0604030504040204" pitchFamily="50" charset="-128"/>
              <a:cs typeface="Meiryo UI" panose="020B0604030504040204" pitchFamily="50" charset="-128"/>
            </a:rPr>
            <a:t>:70%)</a:t>
          </a:r>
        </a:p>
        <a:p>
          <a:r>
            <a:rPr kumimoji="1" lang="en-US" altLang="ja-JP" sz="1050" b="1" u="none">
              <a:solidFill>
                <a:schemeClr val="accent6">
                  <a:lumMod val="50000"/>
                </a:schemeClr>
              </a:solidFill>
              <a:latin typeface="+mn-lt"/>
              <a:ea typeface="Meiryo UI" panose="020B0604030504040204" pitchFamily="50" charset="-128"/>
              <a:cs typeface="Meiryo UI" panose="020B0604030504040204" pitchFamily="50" charset="-128"/>
            </a:rPr>
            <a:t>ShoeFriction = 0.18</a:t>
          </a:r>
        </a:p>
        <a:p>
          <a:endParaRPr kumimoji="1" lang="ja-JP" altLang="en-US" sz="1000" b="0" u="none">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mc:AlternateContent xmlns:mc="http://schemas.openxmlformats.org/markup-compatibility/2006">
    <mc:Choice xmlns:a14="http://schemas.microsoft.com/office/drawing/2010/main" Requires="a14">
      <xdr:twoCellAnchor>
        <xdr:from>
          <xdr:col>2</xdr:col>
          <xdr:colOff>83820</xdr:colOff>
          <xdr:row>1</xdr:row>
          <xdr:rowOff>30480</xdr:rowOff>
        </xdr:from>
        <xdr:to>
          <xdr:col>3</xdr:col>
          <xdr:colOff>297180</xdr:colOff>
          <xdr:row>1</xdr:row>
          <xdr:rowOff>182880</xdr:rowOff>
        </xdr:to>
        <xdr:sp macro="" textlink="">
          <xdr:nvSpPr>
            <xdr:cNvPr id="8489" name="Button 297" hidden="1">
              <a:extLst>
                <a:ext uri="{63B3BB69-23CF-44E3-9099-C40C66FF867C}">
                  <a14:compatExt spid="_x0000_s8489"/>
                </a:ext>
                <a:ext uri="{FF2B5EF4-FFF2-40B4-BE49-F238E27FC236}">
                  <a16:creationId xmlns:a16="http://schemas.microsoft.com/office/drawing/2014/main" id="{00000000-0008-0000-0200-0000292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Meiryo UI"/>
                  <a:ea typeface="Meiryo UI"/>
                </a:rPr>
                <a:t>CSV出力</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pageSetUpPr fitToPage="1"/>
  </sheetPr>
  <dimension ref="A2:Z60"/>
  <sheetViews>
    <sheetView showGridLines="0" zoomScaleNormal="100" workbookViewId="0">
      <selection activeCell="M18" sqref="M18"/>
    </sheetView>
  </sheetViews>
  <sheetFormatPr defaultColWidth="0" defaultRowHeight="15" x14ac:dyDescent="0.25"/>
  <cols>
    <col min="1" max="1" width="2.75" style="13" customWidth="1"/>
    <col min="2" max="25" width="5.75" customWidth="1"/>
    <col min="26" max="26" width="2.75" customWidth="1"/>
    <col min="27" max="16384" width="9.125" hidden="1"/>
  </cols>
  <sheetData>
    <row r="2" spans="2:25" x14ac:dyDescent="0.25">
      <c r="B2" s="37" t="s">
        <v>54</v>
      </c>
      <c r="C2" s="36"/>
      <c r="D2" s="36"/>
      <c r="E2" s="36"/>
      <c r="F2" s="36"/>
      <c r="G2" s="36"/>
      <c r="H2" s="36"/>
      <c r="I2" s="36"/>
      <c r="J2" s="36"/>
      <c r="K2" s="36"/>
      <c r="L2" s="36"/>
      <c r="M2" s="36"/>
      <c r="N2" s="36"/>
      <c r="O2" s="36"/>
      <c r="P2" s="36"/>
      <c r="Q2" s="36"/>
      <c r="R2" s="36"/>
      <c r="S2" s="36"/>
      <c r="T2" s="36"/>
      <c r="U2" s="36"/>
      <c r="V2" s="36"/>
      <c r="W2" s="36"/>
      <c r="X2" s="36"/>
      <c r="Y2" s="35"/>
    </row>
    <row r="3" spans="2:25" x14ac:dyDescent="0.25">
      <c r="B3" s="33"/>
      <c r="Y3" s="31"/>
    </row>
    <row r="4" spans="2:25" x14ac:dyDescent="0.25">
      <c r="B4" s="33"/>
      <c r="C4" t="s">
        <v>53</v>
      </c>
      <c r="Y4" s="31"/>
    </row>
    <row r="5" spans="2:25" x14ac:dyDescent="0.25">
      <c r="B5" s="33"/>
      <c r="Y5" s="31"/>
    </row>
    <row r="6" spans="2:25" x14ac:dyDescent="0.25">
      <c r="B6" s="33"/>
      <c r="C6" s="38" t="s">
        <v>52</v>
      </c>
      <c r="E6" s="49">
        <v>1</v>
      </c>
      <c r="F6" s="49">
        <v>2</v>
      </c>
      <c r="G6" s="49">
        <v>3</v>
      </c>
      <c r="H6" s="49">
        <v>4</v>
      </c>
      <c r="I6" s="49">
        <v>5</v>
      </c>
      <c r="J6" s="49">
        <v>6</v>
      </c>
      <c r="K6" s="49">
        <v>7</v>
      </c>
      <c r="L6" s="49">
        <v>8</v>
      </c>
      <c r="M6" s="49">
        <v>9</v>
      </c>
      <c r="N6" s="49">
        <v>10</v>
      </c>
      <c r="O6" s="49">
        <v>11</v>
      </c>
      <c r="P6" s="49">
        <v>12</v>
      </c>
      <c r="Q6" s="49">
        <v>13</v>
      </c>
      <c r="R6" s="49">
        <v>14</v>
      </c>
      <c r="S6" s="49">
        <v>15</v>
      </c>
      <c r="U6" s="38" t="s">
        <v>51</v>
      </c>
      <c r="W6" s="38" t="s">
        <v>49</v>
      </c>
      <c r="X6" s="38" t="s">
        <v>48</v>
      </c>
      <c r="Y6" s="31"/>
    </row>
    <row r="7" spans="2:25" x14ac:dyDescent="0.25">
      <c r="B7" s="33"/>
      <c r="Y7" s="31"/>
    </row>
    <row r="8" spans="2:25" x14ac:dyDescent="0.25">
      <c r="B8" s="33"/>
      <c r="C8" s="38" t="s">
        <v>50</v>
      </c>
      <c r="E8" s="42" t="s">
        <v>125</v>
      </c>
      <c r="F8" s="42" t="s">
        <v>129</v>
      </c>
      <c r="G8" s="42" t="s">
        <v>126</v>
      </c>
      <c r="H8" s="42" t="s">
        <v>130</v>
      </c>
      <c r="I8" s="42"/>
      <c r="J8" s="42"/>
      <c r="K8" s="42"/>
      <c r="L8" s="42"/>
      <c r="M8" s="42"/>
      <c r="N8" s="42"/>
      <c r="O8" s="42"/>
      <c r="P8" s="42"/>
      <c r="Q8" s="42"/>
      <c r="R8" s="42"/>
      <c r="S8" s="42"/>
      <c r="U8" s="48">
        <f>COUNTA(E8:S8)</f>
        <v>4</v>
      </c>
      <c r="W8" s="47">
        <f>COUNTIF($E$8:$S$8,W6)</f>
        <v>2</v>
      </c>
      <c r="X8" s="47">
        <f>COUNTIF($E$8:$S$8,X6)</f>
        <v>2</v>
      </c>
      <c r="Y8" s="31"/>
    </row>
    <row r="9" spans="2:25" x14ac:dyDescent="0.25">
      <c r="B9" s="33"/>
      <c r="E9" s="46"/>
      <c r="Y9" s="31"/>
    </row>
    <row r="10" spans="2:25" x14ac:dyDescent="0.25">
      <c r="B10" s="33"/>
      <c r="C10" s="38" t="s">
        <v>47</v>
      </c>
      <c r="D10" t="s">
        <v>46</v>
      </c>
      <c r="E10" s="45">
        <v>26</v>
      </c>
      <c r="F10" s="45">
        <v>29</v>
      </c>
      <c r="G10" s="45">
        <v>29</v>
      </c>
      <c r="H10" s="45">
        <v>26</v>
      </c>
      <c r="I10" s="45"/>
      <c r="J10" s="45"/>
      <c r="K10" s="45"/>
      <c r="L10" s="45"/>
      <c r="M10" s="45"/>
      <c r="N10" s="45"/>
      <c r="O10" s="45"/>
      <c r="P10" s="42"/>
      <c r="Q10" s="42"/>
      <c r="R10" s="42"/>
      <c r="S10" s="42"/>
      <c r="U10" s="44">
        <f>SUM(E10:S10)</f>
        <v>110</v>
      </c>
      <c r="W10" s="43">
        <f>ROUND(SUMIF($E$8:$S$8,W$6,$E$10:$S$10)/W$8,3)</f>
        <v>29</v>
      </c>
      <c r="X10" s="43">
        <f>IF(TrailerCount=0,0,ROUND(SUMIF($E$8:$S$8,X$6,$E$10:$S$10)/X$8,3))</f>
        <v>26</v>
      </c>
      <c r="Y10" s="31"/>
    </row>
    <row r="11" spans="2:25" x14ac:dyDescent="0.25">
      <c r="B11" s="33"/>
      <c r="Y11" s="31"/>
    </row>
    <row r="12" spans="2:25" x14ac:dyDescent="0.25">
      <c r="B12" s="33"/>
      <c r="C12" s="38" t="s">
        <v>45</v>
      </c>
      <c r="D12" t="s">
        <v>44</v>
      </c>
      <c r="E12" s="42">
        <v>137</v>
      </c>
      <c r="F12" s="42">
        <v>150</v>
      </c>
      <c r="G12" s="42">
        <v>150</v>
      </c>
      <c r="H12" s="42">
        <v>137</v>
      </c>
      <c r="I12" s="42"/>
      <c r="J12" s="42"/>
      <c r="K12" s="42"/>
      <c r="L12" s="42"/>
      <c r="M12" s="42"/>
      <c r="N12" s="42"/>
      <c r="O12" s="42"/>
      <c r="P12" s="42"/>
      <c r="Q12" s="42"/>
      <c r="R12" s="42"/>
      <c r="S12" s="42"/>
      <c r="U12" s="41">
        <f>ROUND(AVERAGE(E12:S12),0)</f>
        <v>144</v>
      </c>
      <c r="Y12" s="31"/>
    </row>
    <row r="13" spans="2:25" x14ac:dyDescent="0.25">
      <c r="B13" s="33"/>
      <c r="Y13" s="31"/>
    </row>
    <row r="14" spans="2:25" x14ac:dyDescent="0.25">
      <c r="B14" s="33"/>
      <c r="C14" t="s">
        <v>43</v>
      </c>
      <c r="E14" s="83">
        <v>2.5</v>
      </c>
      <c r="J14" t="s">
        <v>91</v>
      </c>
      <c r="M14" s="95">
        <v>3.5</v>
      </c>
      <c r="Y14" s="31"/>
    </row>
    <row r="15" spans="2:25" x14ac:dyDescent="0.25">
      <c r="B15" s="33"/>
      <c r="Y15" s="31"/>
    </row>
    <row r="16" spans="2:25" x14ac:dyDescent="0.25">
      <c r="B16" s="33"/>
      <c r="C16" t="s">
        <v>42</v>
      </c>
      <c r="E16" s="40">
        <v>55</v>
      </c>
      <c r="J16" t="s">
        <v>90</v>
      </c>
      <c r="M16" s="40">
        <v>300</v>
      </c>
      <c r="Y16" s="31"/>
    </row>
    <row r="17" spans="2:25" x14ac:dyDescent="0.25">
      <c r="B17" s="33"/>
      <c r="Y17" s="31"/>
    </row>
    <row r="18" spans="2:25" x14ac:dyDescent="0.25">
      <c r="B18" s="33"/>
      <c r="C18" t="s">
        <v>41</v>
      </c>
      <c r="E18" s="39">
        <v>0.1</v>
      </c>
      <c r="J18" t="s">
        <v>94</v>
      </c>
      <c r="M18" s="98">
        <f>制輪子摩擦係数!I40</f>
        <v>0.28199999999999997</v>
      </c>
      <c r="Y18" s="31"/>
    </row>
    <row r="19" spans="2:25" x14ac:dyDescent="0.25">
      <c r="B19" s="33"/>
      <c r="Y19" s="31"/>
    </row>
    <row r="20" spans="2:25" x14ac:dyDescent="0.25">
      <c r="B20" s="33"/>
      <c r="C20" t="s">
        <v>40</v>
      </c>
      <c r="E20" s="39">
        <v>0.05</v>
      </c>
      <c r="J20" t="s">
        <v>97</v>
      </c>
      <c r="M20" s="40">
        <v>110</v>
      </c>
      <c r="Y20" s="31"/>
    </row>
    <row r="21" spans="2:25" x14ac:dyDescent="0.25">
      <c r="B21" s="33"/>
      <c r="Y21" s="31"/>
    </row>
    <row r="22" spans="2:25" x14ac:dyDescent="0.25">
      <c r="B22" s="33"/>
      <c r="E22" s="38" t="s">
        <v>39</v>
      </c>
      <c r="F22" s="38" t="s">
        <v>38</v>
      </c>
      <c r="G22" s="38" t="s">
        <v>37</v>
      </c>
      <c r="Y22" s="31"/>
    </row>
    <row r="23" spans="2:25" x14ac:dyDescent="0.25">
      <c r="B23" s="33"/>
      <c r="C23" t="s">
        <v>36</v>
      </c>
      <c r="E23">
        <f>ROUND(0.275+0.076*(MotorcarCount+TrailerCount-1),3)</f>
        <v>0.503</v>
      </c>
      <c r="F23">
        <f>ROUND(0.000242*MotorcarCount*MotorcarWeight+0.0000275*TrailerCount*TrailerWeight,2)</f>
        <v>15.47</v>
      </c>
      <c r="G23">
        <f>ROUND(0.0162*MotorcarCount*MotorcarWeight+0.00765*TrailerCount*TrailerWeight,0)</f>
        <v>1337</v>
      </c>
      <c r="J23" t="s">
        <v>93</v>
      </c>
      <c r="M23" s="97">
        <f>((1+(MotorcarInertiaFactor*MotorcarCount+TrailerInertiaFactor*TrailerCount)/TotalCars)*(TotalWeight*1000/TotalCars)*(Deceleration/3.6))/(ShoeFrictionAvg*BCPressure*1000)</f>
        <v>0.33973190832676647</v>
      </c>
      <c r="Y23" s="31"/>
    </row>
    <row r="24" spans="2:25" ht="15.6" thickBot="1" x14ac:dyDescent="0.3">
      <c r="B24" s="30"/>
      <c r="C24" s="29"/>
      <c r="D24" s="29"/>
      <c r="E24" s="29"/>
      <c r="F24" s="29"/>
      <c r="G24" s="29"/>
      <c r="H24" s="29"/>
      <c r="I24" s="29"/>
      <c r="J24" s="29"/>
      <c r="K24" s="29"/>
      <c r="L24" s="29"/>
      <c r="M24" s="29"/>
      <c r="N24" s="29"/>
      <c r="O24" s="29"/>
      <c r="P24" s="29"/>
      <c r="Q24" s="29"/>
      <c r="R24" s="29"/>
      <c r="S24" s="29"/>
      <c r="T24" s="29"/>
      <c r="U24" s="29"/>
      <c r="V24" s="29"/>
      <c r="W24" s="29"/>
      <c r="X24" s="29"/>
      <c r="Y24" s="28"/>
    </row>
    <row r="25" spans="2:25" ht="15.6" thickTop="1" x14ac:dyDescent="0.25"/>
    <row r="26" spans="2:25" x14ac:dyDescent="0.25">
      <c r="B26" s="37" t="s">
        <v>35</v>
      </c>
      <c r="C26" s="36"/>
      <c r="D26" s="36"/>
      <c r="E26" s="36"/>
      <c r="F26" s="36"/>
      <c r="G26" s="36"/>
      <c r="H26" s="36"/>
      <c r="I26" s="36"/>
      <c r="J26" s="36"/>
      <c r="K26" s="36"/>
      <c r="L26" s="36"/>
      <c r="M26" s="36"/>
      <c r="N26" s="36"/>
      <c r="O26" s="36"/>
      <c r="P26" s="36"/>
      <c r="Q26" s="36"/>
      <c r="R26" s="36"/>
      <c r="S26" s="36"/>
      <c r="T26" s="36"/>
      <c r="U26" s="36"/>
      <c r="V26" s="36"/>
      <c r="W26" s="36"/>
      <c r="X26" s="36"/>
      <c r="Y26" s="35"/>
    </row>
    <row r="27" spans="2:25" x14ac:dyDescent="0.25">
      <c r="B27" s="33"/>
      <c r="Y27" s="31"/>
    </row>
    <row r="28" spans="2:25" x14ac:dyDescent="0.25">
      <c r="B28" s="33"/>
      <c r="C28" t="s">
        <v>124</v>
      </c>
      <c r="Y28" s="31"/>
    </row>
    <row r="29" spans="2:25" x14ac:dyDescent="0.25">
      <c r="B29" s="33"/>
      <c r="C29" t="str">
        <f>"ShoeFriction = "&amp;ShoeFrictionAvg</f>
        <v>ShoeFriction = 0.282</v>
      </c>
      <c r="Y29" s="31"/>
    </row>
    <row r="30" spans="2:25" x14ac:dyDescent="0.25">
      <c r="B30" s="33"/>
      <c r="Y30" s="31"/>
    </row>
    <row r="31" spans="2:25" x14ac:dyDescent="0.25">
      <c r="B31" s="33"/>
      <c r="C31" t="s">
        <v>92</v>
      </c>
      <c r="Y31" s="31"/>
    </row>
    <row r="32" spans="2:25" x14ac:dyDescent="0.25">
      <c r="B32" s="33"/>
      <c r="C32" t="str">
        <f>"PistonArea = "&amp;ROUND(M23,3)</f>
        <v>PistonArea = 0.34</v>
      </c>
      <c r="Y32" s="31"/>
    </row>
    <row r="33" spans="2:25" x14ac:dyDescent="0.25">
      <c r="B33" s="33"/>
      <c r="C33" t="str">
        <f>CONCATENATE("ShoeFriction = ",ShoeFrictionA,", ",ShoeFrictionB,", ",ShoeFrictionC)</f>
        <v>ShoeFriction = 0.3833, 0.0149, 0.0281</v>
      </c>
      <c r="Y33" s="31"/>
    </row>
    <row r="34" spans="2:25" x14ac:dyDescent="0.25">
      <c r="B34" s="33"/>
      <c r="Y34" s="31"/>
    </row>
    <row r="35" spans="2:25" x14ac:dyDescent="0.25">
      <c r="B35" s="33"/>
      <c r="C35" t="s">
        <v>34</v>
      </c>
      <c r="Y35" s="31"/>
    </row>
    <row r="36" spans="2:25" x14ac:dyDescent="0.25">
      <c r="B36" s="33"/>
      <c r="C36" t="str">
        <f>U36&amp;" = "&amp;MotorcarWeight</f>
        <v>MotorcarWeight = 29000</v>
      </c>
      <c r="U36" s="34" t="s">
        <v>33</v>
      </c>
      <c r="Y36" s="31"/>
    </row>
    <row r="37" spans="2:25" x14ac:dyDescent="0.25">
      <c r="B37" s="33"/>
      <c r="C37" t="str">
        <f>U37&amp;" = "&amp;TrailerWeight</f>
        <v>TrailerWeight = 26000</v>
      </c>
      <c r="U37" s="34" t="s">
        <v>32</v>
      </c>
      <c r="Y37" s="31"/>
    </row>
    <row r="38" spans="2:25" x14ac:dyDescent="0.25">
      <c r="B38" s="33"/>
      <c r="C38" t="str">
        <f>U38&amp;" = "&amp;MotorcarCount</f>
        <v>MotorcarCount = 2</v>
      </c>
      <c r="U38" s="34" t="s">
        <v>31</v>
      </c>
      <c r="Y38" s="31"/>
    </row>
    <row r="39" spans="2:25" x14ac:dyDescent="0.25">
      <c r="B39" s="33"/>
      <c r="C39" t="str">
        <f>U39&amp;" = "&amp;TrailerCount</f>
        <v>TrailerCount = 2</v>
      </c>
      <c r="U39" s="34" t="s">
        <v>30</v>
      </c>
      <c r="Y39" s="31"/>
    </row>
    <row r="40" spans="2:25" x14ac:dyDescent="0.25">
      <c r="B40" s="33"/>
      <c r="C40" t="str">
        <f>U40&amp;" = "&amp;MotorcarInertiaFactor</f>
        <v>MotorcarInertiaFactor = 0.1</v>
      </c>
      <c r="U40" s="34" t="s">
        <v>29</v>
      </c>
      <c r="Y40" s="31"/>
    </row>
    <row r="41" spans="2:25" x14ac:dyDescent="0.25">
      <c r="B41" s="33"/>
      <c r="C41" t="str">
        <f>U41&amp;" = "&amp;TrailerInertiaFactor</f>
        <v>TrailerInertiaFactor = 0.05</v>
      </c>
      <c r="U41" s="34" t="s">
        <v>28</v>
      </c>
      <c r="Y41" s="31"/>
    </row>
    <row r="42" spans="2:25" x14ac:dyDescent="0.25">
      <c r="B42" s="33"/>
      <c r="D42" s="32" t="s">
        <v>24</v>
      </c>
      <c r="Y42" s="31"/>
    </row>
    <row r="43" spans="2:25" x14ac:dyDescent="0.25">
      <c r="B43" s="33"/>
      <c r="Y43" s="31"/>
    </row>
    <row r="44" spans="2:25" x14ac:dyDescent="0.25">
      <c r="B44" s="33"/>
      <c r="C44" t="s">
        <v>27</v>
      </c>
      <c r="Y44" s="31"/>
    </row>
    <row r="45" spans="2:25" x14ac:dyDescent="0.25">
      <c r="B45" s="33"/>
      <c r="C45" t="str">
        <f>U45&amp;" = "&amp;U12</f>
        <v>Capacity = 144</v>
      </c>
      <c r="U45" s="34" t="s">
        <v>26</v>
      </c>
      <c r="Y45" s="31"/>
    </row>
    <row r="46" spans="2:25" x14ac:dyDescent="0.25">
      <c r="B46" s="33"/>
      <c r="C46" t="str">
        <f>U46&amp;" = "&amp;E16</f>
        <v>BodyWeight = 55</v>
      </c>
      <c r="U46" s="34" t="s">
        <v>25</v>
      </c>
      <c r="Y46" s="31"/>
    </row>
    <row r="47" spans="2:25" x14ac:dyDescent="0.25">
      <c r="B47" s="33"/>
      <c r="D47" s="32" t="s">
        <v>24</v>
      </c>
      <c r="Y47" s="31"/>
    </row>
    <row r="48" spans="2:25" ht="15.6" thickBot="1" x14ac:dyDescent="0.3">
      <c r="B48" s="30"/>
      <c r="C48" s="29"/>
      <c r="D48" s="29"/>
      <c r="E48" s="29"/>
      <c r="F48" s="29"/>
      <c r="G48" s="29"/>
      <c r="H48" s="29"/>
      <c r="I48" s="29"/>
      <c r="J48" s="29"/>
      <c r="K48" s="29"/>
      <c r="L48" s="29"/>
      <c r="M48" s="29"/>
      <c r="N48" s="29"/>
      <c r="O48" s="29"/>
      <c r="P48" s="29"/>
      <c r="Q48" s="29"/>
      <c r="R48" s="29"/>
      <c r="S48" s="29"/>
      <c r="T48" s="29"/>
      <c r="U48" s="29"/>
      <c r="V48" s="29"/>
      <c r="W48" s="29"/>
      <c r="X48" s="29"/>
      <c r="Y48" s="28"/>
    </row>
    <row r="49" spans="2:25" ht="15.6" thickTop="1" x14ac:dyDescent="0.25"/>
    <row r="50" spans="2:25" x14ac:dyDescent="0.25">
      <c r="B50" s="27" t="s">
        <v>23</v>
      </c>
      <c r="C50" s="26"/>
      <c r="D50" s="26"/>
      <c r="E50" s="26"/>
      <c r="F50" s="26"/>
      <c r="G50" s="26"/>
      <c r="H50" s="26"/>
      <c r="I50" s="26"/>
      <c r="J50" s="26"/>
      <c r="K50" s="26"/>
      <c r="L50" s="26"/>
      <c r="M50" s="26"/>
      <c r="N50" s="26"/>
      <c r="O50" s="26"/>
      <c r="P50" s="26"/>
      <c r="Q50" s="26"/>
      <c r="R50" s="26"/>
      <c r="S50" s="26"/>
      <c r="T50" s="26"/>
      <c r="U50" s="26"/>
      <c r="V50" s="26"/>
      <c r="W50" s="26"/>
      <c r="X50" s="26"/>
      <c r="Y50" s="25"/>
    </row>
    <row r="51" spans="2:25" x14ac:dyDescent="0.25">
      <c r="B51" s="22"/>
      <c r="C51" s="21"/>
      <c r="D51" s="21"/>
      <c r="E51" s="21"/>
      <c r="F51" s="21"/>
      <c r="G51" s="21"/>
      <c r="H51" s="21"/>
      <c r="I51" s="21"/>
      <c r="J51" s="21"/>
      <c r="K51" s="21"/>
      <c r="L51" s="21"/>
      <c r="M51" s="21"/>
      <c r="N51" s="21"/>
      <c r="O51" s="21"/>
      <c r="P51" s="21"/>
      <c r="Q51" s="21"/>
      <c r="R51" s="21"/>
      <c r="S51" s="21"/>
      <c r="T51" s="21"/>
      <c r="U51" s="21"/>
      <c r="V51" s="21"/>
      <c r="W51" s="21"/>
      <c r="X51" s="21"/>
      <c r="Y51" s="17"/>
    </row>
    <row r="52" spans="2:25" x14ac:dyDescent="0.25">
      <c r="B52" s="22"/>
      <c r="C52" s="21"/>
      <c r="D52" s="21"/>
      <c r="E52" s="24" t="b">
        <f t="shared" ref="E52:S52" si="0">AND(NOT(ISBLANK(E8)),ISNUMBER(E10),ISNUMBER(E12))</f>
        <v>1</v>
      </c>
      <c r="F52" s="24" t="b">
        <f t="shared" si="0"/>
        <v>1</v>
      </c>
      <c r="G52" s="24" t="b">
        <f t="shared" si="0"/>
        <v>1</v>
      </c>
      <c r="H52" s="24" t="b">
        <f t="shared" si="0"/>
        <v>1</v>
      </c>
      <c r="I52" s="24" t="b">
        <f t="shared" si="0"/>
        <v>0</v>
      </c>
      <c r="J52" s="24" t="b">
        <f t="shared" si="0"/>
        <v>0</v>
      </c>
      <c r="K52" s="24" t="b">
        <f t="shared" si="0"/>
        <v>0</v>
      </c>
      <c r="L52" s="24" t="b">
        <f t="shared" si="0"/>
        <v>0</v>
      </c>
      <c r="M52" s="24" t="b">
        <f t="shared" si="0"/>
        <v>0</v>
      </c>
      <c r="N52" s="24" t="b">
        <f t="shared" si="0"/>
        <v>0</v>
      </c>
      <c r="O52" s="24" t="b">
        <f t="shared" si="0"/>
        <v>0</v>
      </c>
      <c r="P52" s="24" t="b">
        <f t="shared" si="0"/>
        <v>0</v>
      </c>
      <c r="Q52" s="24" t="b">
        <f t="shared" si="0"/>
        <v>0</v>
      </c>
      <c r="R52" s="24" t="b">
        <f t="shared" si="0"/>
        <v>0</v>
      </c>
      <c r="S52" s="24" t="b">
        <f t="shared" si="0"/>
        <v>0</v>
      </c>
      <c r="T52" s="21"/>
      <c r="U52" s="23" t="s">
        <v>22</v>
      </c>
      <c r="V52" s="23"/>
      <c r="W52" s="23" t="s">
        <v>21</v>
      </c>
      <c r="X52" s="21"/>
      <c r="Y52" s="17"/>
    </row>
    <row r="53" spans="2:25" x14ac:dyDescent="0.25">
      <c r="B53" s="22"/>
      <c r="C53" s="21"/>
      <c r="D53" s="21"/>
      <c r="E53" s="21"/>
      <c r="F53" s="21"/>
      <c r="G53" s="21"/>
      <c r="H53" s="21"/>
      <c r="I53" s="21"/>
      <c r="J53" s="21"/>
      <c r="K53" s="21"/>
      <c r="L53" s="21"/>
      <c r="M53" s="21"/>
      <c r="N53" s="21"/>
      <c r="O53" s="21"/>
      <c r="P53" s="21"/>
      <c r="Q53" s="21"/>
      <c r="R53" s="21"/>
      <c r="S53" s="21"/>
      <c r="T53" s="21"/>
      <c r="U53" s="21"/>
      <c r="V53" s="21"/>
      <c r="W53" s="21"/>
      <c r="X53" s="21"/>
      <c r="Y53" s="17"/>
    </row>
    <row r="54" spans="2:25" x14ac:dyDescent="0.25">
      <c r="B54" s="22"/>
      <c r="C54" s="21" t="s">
        <v>20</v>
      </c>
      <c r="D54" s="21"/>
      <c r="E54" s="20">
        <f t="shared" ref="E54:S54" si="1">IF(E$52,E10*10^3,0)</f>
        <v>26000</v>
      </c>
      <c r="F54" s="20">
        <f t="shared" si="1"/>
        <v>29000</v>
      </c>
      <c r="G54" s="20">
        <f t="shared" si="1"/>
        <v>29000</v>
      </c>
      <c r="H54" s="20">
        <f t="shared" si="1"/>
        <v>26000</v>
      </c>
      <c r="I54" s="20">
        <f t="shared" si="1"/>
        <v>0</v>
      </c>
      <c r="J54" s="20">
        <f t="shared" si="1"/>
        <v>0</v>
      </c>
      <c r="K54" s="20">
        <f t="shared" si="1"/>
        <v>0</v>
      </c>
      <c r="L54" s="20">
        <f t="shared" si="1"/>
        <v>0</v>
      </c>
      <c r="M54" s="20">
        <f t="shared" si="1"/>
        <v>0</v>
      </c>
      <c r="N54" s="20">
        <f t="shared" si="1"/>
        <v>0</v>
      </c>
      <c r="O54" s="20">
        <f t="shared" si="1"/>
        <v>0</v>
      </c>
      <c r="P54" s="20">
        <f t="shared" si="1"/>
        <v>0</v>
      </c>
      <c r="Q54" s="20">
        <f t="shared" si="1"/>
        <v>0</v>
      </c>
      <c r="R54" s="20">
        <f t="shared" si="1"/>
        <v>0</v>
      </c>
      <c r="S54" s="20">
        <f t="shared" si="1"/>
        <v>0</v>
      </c>
      <c r="T54" s="20"/>
      <c r="U54" s="19">
        <f>SUM(E54:S54)</f>
        <v>110000</v>
      </c>
      <c r="V54" s="19"/>
      <c r="W54" s="19"/>
      <c r="X54" s="21"/>
      <c r="Y54" s="17"/>
    </row>
    <row r="55" spans="2:25" x14ac:dyDescent="0.25">
      <c r="B55" s="22"/>
      <c r="C55" s="21" t="s">
        <v>19</v>
      </c>
      <c r="D55" s="21"/>
      <c r="E55" s="20">
        <f t="shared" ref="E55:S55" si="2">IF(E$52,$U$12*$E$14*$E$16,0)+E54</f>
        <v>45800</v>
      </c>
      <c r="F55" s="20">
        <f t="shared" si="2"/>
        <v>48800</v>
      </c>
      <c r="G55" s="20">
        <f t="shared" si="2"/>
        <v>48800</v>
      </c>
      <c r="H55" s="20">
        <f t="shared" si="2"/>
        <v>45800</v>
      </c>
      <c r="I55" s="20">
        <f t="shared" si="2"/>
        <v>0</v>
      </c>
      <c r="J55" s="20">
        <f t="shared" si="2"/>
        <v>0</v>
      </c>
      <c r="K55" s="20">
        <f t="shared" si="2"/>
        <v>0</v>
      </c>
      <c r="L55" s="20">
        <f t="shared" si="2"/>
        <v>0</v>
      </c>
      <c r="M55" s="20">
        <f t="shared" si="2"/>
        <v>0</v>
      </c>
      <c r="N55" s="20">
        <f t="shared" si="2"/>
        <v>0</v>
      </c>
      <c r="O55" s="20">
        <f t="shared" si="2"/>
        <v>0</v>
      </c>
      <c r="P55" s="20">
        <f t="shared" si="2"/>
        <v>0</v>
      </c>
      <c r="Q55" s="20">
        <f t="shared" si="2"/>
        <v>0</v>
      </c>
      <c r="R55" s="20">
        <f t="shared" si="2"/>
        <v>0</v>
      </c>
      <c r="S55" s="20">
        <f t="shared" si="2"/>
        <v>0</v>
      </c>
      <c r="T55" s="20"/>
      <c r="U55" s="19">
        <f>SUM(E55:S55)</f>
        <v>189200</v>
      </c>
      <c r="V55" s="19"/>
      <c r="W55" s="19"/>
      <c r="X55" s="21"/>
      <c r="Y55" s="17"/>
    </row>
    <row r="56" spans="2:25" x14ac:dyDescent="0.25">
      <c r="B56" s="22"/>
      <c r="C56" s="21"/>
      <c r="D56" s="21"/>
      <c r="E56" s="20"/>
      <c r="F56" s="20"/>
      <c r="G56" s="20"/>
      <c r="H56" s="20"/>
      <c r="I56" s="20"/>
      <c r="J56" s="20"/>
      <c r="K56" s="20"/>
      <c r="L56" s="20"/>
      <c r="M56" s="20"/>
      <c r="N56" s="20"/>
      <c r="O56" s="20"/>
      <c r="P56" s="20"/>
      <c r="Q56" s="20"/>
      <c r="R56" s="20"/>
      <c r="S56" s="20"/>
      <c r="T56" s="20"/>
      <c r="U56" s="19"/>
      <c r="V56" s="19"/>
      <c r="W56" s="19"/>
      <c r="X56" s="21"/>
      <c r="Y56" s="17"/>
    </row>
    <row r="57" spans="2:25" x14ac:dyDescent="0.25">
      <c r="B57" s="22"/>
      <c r="C57" s="21" t="s">
        <v>18</v>
      </c>
      <c r="D57" s="21"/>
      <c r="E57" s="20">
        <f t="shared" ref="E57:S57" si="3">IF(E8="M",E54*(1-MotorcarInertiaFactor),E54*(1-TrailerInertiaFactor))</f>
        <v>24700</v>
      </c>
      <c r="F57" s="20">
        <f t="shared" si="3"/>
        <v>26100</v>
      </c>
      <c r="G57" s="20">
        <f t="shared" si="3"/>
        <v>26100</v>
      </c>
      <c r="H57" s="20">
        <f t="shared" si="3"/>
        <v>24700</v>
      </c>
      <c r="I57" s="20">
        <f t="shared" si="3"/>
        <v>0</v>
      </c>
      <c r="J57" s="20">
        <f t="shared" si="3"/>
        <v>0</v>
      </c>
      <c r="K57" s="20">
        <f t="shared" si="3"/>
        <v>0</v>
      </c>
      <c r="L57" s="20">
        <f t="shared" si="3"/>
        <v>0</v>
      </c>
      <c r="M57" s="20">
        <f t="shared" si="3"/>
        <v>0</v>
      </c>
      <c r="N57" s="20">
        <f t="shared" si="3"/>
        <v>0</v>
      </c>
      <c r="O57" s="20">
        <f t="shared" si="3"/>
        <v>0</v>
      </c>
      <c r="P57" s="20">
        <f t="shared" si="3"/>
        <v>0</v>
      </c>
      <c r="Q57" s="20">
        <f t="shared" si="3"/>
        <v>0</v>
      </c>
      <c r="R57" s="20">
        <f t="shared" si="3"/>
        <v>0</v>
      </c>
      <c r="S57" s="20">
        <f t="shared" si="3"/>
        <v>0</v>
      </c>
      <c r="T57" s="20"/>
      <c r="U57" s="19">
        <f>ROUND(SUM(E57:S57),0)</f>
        <v>101600</v>
      </c>
      <c r="V57" s="19"/>
      <c r="W57" s="19">
        <f>U57/MotorcarCount</f>
        <v>50800</v>
      </c>
      <c r="X57" s="21"/>
      <c r="Y57" s="17"/>
    </row>
    <row r="58" spans="2:25" x14ac:dyDescent="0.25">
      <c r="B58" s="22"/>
      <c r="C58" s="21" t="s">
        <v>17</v>
      </c>
      <c r="D58" s="21"/>
      <c r="E58" s="20">
        <f t="shared" ref="E58:S58" si="4">IF(E9="M",E55*(1-MotorcarInertiaFactor),E55*(1-TrailerInertiaFactor))</f>
        <v>43510</v>
      </c>
      <c r="F58" s="20">
        <f t="shared" si="4"/>
        <v>46360</v>
      </c>
      <c r="G58" s="20">
        <f t="shared" si="4"/>
        <v>46360</v>
      </c>
      <c r="H58" s="20">
        <f t="shared" si="4"/>
        <v>43510</v>
      </c>
      <c r="I58" s="20">
        <f t="shared" si="4"/>
        <v>0</v>
      </c>
      <c r="J58" s="20">
        <f t="shared" si="4"/>
        <v>0</v>
      </c>
      <c r="K58" s="20">
        <f t="shared" si="4"/>
        <v>0</v>
      </c>
      <c r="L58" s="20">
        <f t="shared" si="4"/>
        <v>0</v>
      </c>
      <c r="M58" s="20">
        <f t="shared" si="4"/>
        <v>0</v>
      </c>
      <c r="N58" s="20">
        <f t="shared" si="4"/>
        <v>0</v>
      </c>
      <c r="O58" s="20">
        <f t="shared" si="4"/>
        <v>0</v>
      </c>
      <c r="P58" s="20">
        <f t="shared" si="4"/>
        <v>0</v>
      </c>
      <c r="Q58" s="20">
        <f t="shared" si="4"/>
        <v>0</v>
      </c>
      <c r="R58" s="20">
        <f t="shared" si="4"/>
        <v>0</v>
      </c>
      <c r="S58" s="20">
        <f t="shared" si="4"/>
        <v>0</v>
      </c>
      <c r="T58" s="20"/>
      <c r="U58" s="19">
        <f>ROUND(SUM(E58:S58),0)</f>
        <v>179740</v>
      </c>
      <c r="V58" s="19"/>
      <c r="W58" s="19">
        <f>U58/MotorcarCount</f>
        <v>89870</v>
      </c>
      <c r="X58" s="18">
        <f>M_full/M_empty</f>
        <v>1.7690944881889763</v>
      </c>
      <c r="Y58" s="17"/>
    </row>
    <row r="59" spans="2:25" ht="15.6" thickBot="1" x14ac:dyDescent="0.3">
      <c r="B59" s="16"/>
      <c r="C59" s="15"/>
      <c r="D59" s="15"/>
      <c r="E59" s="15"/>
      <c r="F59" s="15"/>
      <c r="G59" s="15"/>
      <c r="H59" s="15"/>
      <c r="I59" s="15"/>
      <c r="J59" s="15"/>
      <c r="K59" s="15"/>
      <c r="L59" s="15"/>
      <c r="M59" s="15"/>
      <c r="N59" s="15"/>
      <c r="O59" s="15"/>
      <c r="P59" s="15"/>
      <c r="Q59" s="15"/>
      <c r="R59" s="15"/>
      <c r="S59" s="15"/>
      <c r="T59" s="15"/>
      <c r="U59" s="15"/>
      <c r="V59" s="15"/>
      <c r="W59" s="15"/>
      <c r="X59" s="15"/>
      <c r="Y59" s="14"/>
    </row>
    <row r="60" spans="2:25" ht="15.6" thickTop="1" x14ac:dyDescent="0.25"/>
  </sheetData>
  <phoneticPr fontId="9"/>
  <dataValidations count="2">
    <dataValidation imeMode="off" allowBlank="1" showInputMessage="1" showErrorMessage="1" sqref="E18 E20 E14 E16 E12:S12 E10:S10" xr:uid="{00000000-0002-0000-0000-000000000000}"/>
    <dataValidation type="list" imeMode="off" allowBlank="1" showInputMessage="1" showErrorMessage="1" errorTitle="無効な入力です" error="MかTを指定してください" sqref="E8:S8" xr:uid="{00000000-0002-0000-0000-000001000000}">
      <formula1>$W$6:$X$6</formula1>
    </dataValidation>
  </dataValidations>
  <printOptions horizontalCentered="1" verticalCentered="1"/>
  <pageMargins left="0.31496062992125984" right="0.31496062992125984" top="0.39370078740157483" bottom="0.39370078740157483" header="0.31496062992125984" footer="0.31496062992125984"/>
  <pageSetup paperSize="8"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FF00"/>
  </sheetPr>
  <dimension ref="A1:N41"/>
  <sheetViews>
    <sheetView showGridLines="0" workbookViewId="0">
      <selection activeCell="B1" sqref="B1"/>
    </sheetView>
  </sheetViews>
  <sheetFormatPr defaultColWidth="9.125" defaultRowHeight="14.4" x14ac:dyDescent="0.25"/>
  <cols>
    <col min="1" max="1" width="2.75" style="96" customWidth="1"/>
    <col min="2" max="2" width="6" customWidth="1"/>
    <col min="3" max="12" width="8.75" customWidth="1"/>
  </cols>
  <sheetData>
    <row r="1" spans="2:14" ht="15" thickBot="1" x14ac:dyDescent="0.3"/>
    <row r="2" spans="2:14" x14ac:dyDescent="0.25">
      <c r="B2" s="99" t="s">
        <v>99</v>
      </c>
      <c r="C2" s="100"/>
      <c r="D2" s="100"/>
      <c r="E2" s="100"/>
      <c r="F2" s="100"/>
      <c r="G2" s="100"/>
      <c r="H2" s="100"/>
      <c r="I2" s="100"/>
      <c r="J2" s="100"/>
      <c r="K2" s="100"/>
      <c r="L2" s="100"/>
      <c r="M2" s="100"/>
      <c r="N2" s="101" t="s">
        <v>109</v>
      </c>
    </row>
    <row r="3" spans="2:14" x14ac:dyDescent="0.25">
      <c r="B3" s="102"/>
      <c r="N3" s="103"/>
    </row>
    <row r="4" spans="2:14" x14ac:dyDescent="0.25">
      <c r="B4" s="102" t="s">
        <v>50</v>
      </c>
      <c r="D4" s="38" t="s">
        <v>96</v>
      </c>
      <c r="E4" s="38" t="s">
        <v>96</v>
      </c>
      <c r="F4" s="38" t="s">
        <v>95</v>
      </c>
      <c r="N4" s="103"/>
    </row>
    <row r="5" spans="2:14" x14ac:dyDescent="0.25">
      <c r="B5" s="104" t="s">
        <v>108</v>
      </c>
      <c r="C5" s="6"/>
      <c r="D5" s="5" t="s">
        <v>100</v>
      </c>
      <c r="E5" s="5" t="s">
        <v>101</v>
      </c>
      <c r="F5" s="5" t="s">
        <v>102</v>
      </c>
      <c r="N5" s="103"/>
    </row>
    <row r="6" spans="2:14" x14ac:dyDescent="0.25">
      <c r="B6" s="105" t="s">
        <v>103</v>
      </c>
      <c r="D6" s="106">
        <v>12.7</v>
      </c>
      <c r="E6" s="106">
        <v>22</v>
      </c>
      <c r="F6" s="106">
        <v>16.5</v>
      </c>
      <c r="N6" s="103"/>
    </row>
    <row r="7" spans="2:14" x14ac:dyDescent="0.25">
      <c r="B7" s="105" t="s">
        <v>104</v>
      </c>
      <c r="D7" s="106">
        <v>8</v>
      </c>
      <c r="E7" s="106">
        <v>4</v>
      </c>
      <c r="F7" s="106">
        <v>8</v>
      </c>
      <c r="N7" s="103"/>
    </row>
    <row r="8" spans="2:14" x14ac:dyDescent="0.25">
      <c r="B8" s="105" t="s">
        <v>105</v>
      </c>
      <c r="D8" s="106">
        <v>1</v>
      </c>
      <c r="E8" s="106">
        <v>2.4</v>
      </c>
      <c r="F8" s="106">
        <v>3.5</v>
      </c>
      <c r="H8" s="5" t="s">
        <v>118</v>
      </c>
      <c r="K8" s="5" t="s">
        <v>121</v>
      </c>
      <c r="N8" s="103"/>
    </row>
    <row r="9" spans="2:14" x14ac:dyDescent="0.25">
      <c r="B9" s="105" t="s">
        <v>106</v>
      </c>
      <c r="D9" s="106">
        <v>0.9</v>
      </c>
      <c r="E9" s="106">
        <v>0.9</v>
      </c>
      <c r="F9" s="106">
        <v>1</v>
      </c>
      <c r="N9" s="103"/>
    </row>
    <row r="10" spans="2:14" x14ac:dyDescent="0.25">
      <c r="B10" s="105" t="s">
        <v>110</v>
      </c>
      <c r="C10" t="s">
        <v>111</v>
      </c>
      <c r="D10" s="106">
        <v>0.28000000000000003</v>
      </c>
      <c r="E10" s="106">
        <v>0.45</v>
      </c>
      <c r="F10" s="106">
        <v>0.4</v>
      </c>
      <c r="H10">
        <f>SUM(D10,E10,F10*2)/4</f>
        <v>0.38250000000000001</v>
      </c>
      <c r="J10" s="107" t="s">
        <v>111</v>
      </c>
      <c r="K10" s="108">
        <v>0.38329999999999997</v>
      </c>
      <c r="N10" s="103"/>
    </row>
    <row r="11" spans="2:14" x14ac:dyDescent="0.25">
      <c r="B11" s="105"/>
      <c r="C11" t="s">
        <v>112</v>
      </c>
      <c r="D11" s="106">
        <v>1E-3</v>
      </c>
      <c r="E11" s="106">
        <v>3.2000000000000001E-2</v>
      </c>
      <c r="F11" s="106">
        <v>1.2999999999999999E-2</v>
      </c>
      <c r="H11">
        <f>SUM(D11,E11,F11*2)/4</f>
        <v>1.4749999999999999E-2</v>
      </c>
      <c r="J11" s="107" t="s">
        <v>112</v>
      </c>
      <c r="K11" s="108">
        <v>1.49E-2</v>
      </c>
      <c r="N11" s="103"/>
    </row>
    <row r="12" spans="2:14" x14ac:dyDescent="0.25">
      <c r="B12" s="105"/>
      <c r="C12" t="s">
        <v>113</v>
      </c>
      <c r="D12" s="106">
        <v>2E-3</v>
      </c>
      <c r="E12" s="106">
        <v>5.3999999999999999E-2</v>
      </c>
      <c r="F12" s="106">
        <v>3.1E-2</v>
      </c>
      <c r="H12">
        <f>SUM(D12,E12,F12*2)/4</f>
        <v>2.9499999999999998E-2</v>
      </c>
      <c r="J12" s="107" t="s">
        <v>113</v>
      </c>
      <c r="K12" s="108">
        <v>2.81E-2</v>
      </c>
      <c r="N12" s="103"/>
    </row>
    <row r="13" spans="2:14" x14ac:dyDescent="0.25">
      <c r="B13" s="105" t="s">
        <v>107</v>
      </c>
      <c r="D13" s="106">
        <v>1</v>
      </c>
      <c r="E13" s="106">
        <v>0.62</v>
      </c>
      <c r="F13" s="106">
        <v>1</v>
      </c>
      <c r="N13" s="103"/>
    </row>
    <row r="14" spans="2:14" x14ac:dyDescent="0.25">
      <c r="B14" s="102"/>
      <c r="K14" s="109" t="s">
        <v>122</v>
      </c>
      <c r="N14" s="103"/>
    </row>
    <row r="15" spans="2:14" x14ac:dyDescent="0.25">
      <c r="B15" s="102"/>
      <c r="K15" s="125" t="s">
        <v>133</v>
      </c>
      <c r="L15" s="123"/>
      <c r="M15" s="123"/>
      <c r="N15" s="103"/>
    </row>
    <row r="16" spans="2:14" x14ac:dyDescent="0.25">
      <c r="B16" s="110" t="s">
        <v>114</v>
      </c>
      <c r="N16" s="103"/>
    </row>
    <row r="17" spans="2:14" x14ac:dyDescent="0.25">
      <c r="B17" s="102"/>
      <c r="D17" s="38" t="s">
        <v>96</v>
      </c>
      <c r="E17" s="38" t="s">
        <v>96</v>
      </c>
      <c r="F17" s="38" t="s">
        <v>95</v>
      </c>
      <c r="N17" s="103"/>
    </row>
    <row r="18" spans="2:14" x14ac:dyDescent="0.25">
      <c r="B18" s="105" t="s">
        <v>117</v>
      </c>
      <c r="D18" s="111">
        <f>TrailerCount/TotalCars/2</f>
        <v>0.25</v>
      </c>
      <c r="E18" s="111">
        <f>D18</f>
        <v>0.25</v>
      </c>
      <c r="F18" s="111">
        <f>MotorcarCount/TotalCars</f>
        <v>0.5</v>
      </c>
      <c r="N18" s="103"/>
    </row>
    <row r="19" spans="2:14" x14ac:dyDescent="0.25">
      <c r="B19" s="102"/>
      <c r="D19" s="38"/>
      <c r="E19" s="38"/>
      <c r="F19" s="38"/>
      <c r="N19" s="103"/>
    </row>
    <row r="20" spans="2:14" x14ac:dyDescent="0.25">
      <c r="B20" s="104" t="s">
        <v>98</v>
      </c>
      <c r="C20" s="6" t="s">
        <v>115</v>
      </c>
      <c r="D20" s="5" t="s">
        <v>100</v>
      </c>
      <c r="E20" s="5" t="s">
        <v>101</v>
      </c>
      <c r="F20" s="5" t="s">
        <v>102</v>
      </c>
      <c r="G20" s="112" t="s">
        <v>116</v>
      </c>
      <c r="I20" s="5" t="s">
        <v>118</v>
      </c>
      <c r="K20" s="5" t="s">
        <v>119</v>
      </c>
      <c r="L20" s="5" t="s">
        <v>120</v>
      </c>
      <c r="M20" s="5" t="s">
        <v>131</v>
      </c>
      <c r="N20" s="103"/>
    </row>
    <row r="21" spans="2:14" x14ac:dyDescent="0.25">
      <c r="B21" s="113">
        <v>0</v>
      </c>
      <c r="C21" s="66">
        <f t="shared" ref="C21:C34" si="0">(B22-B21)/2+B21</f>
        <v>5</v>
      </c>
      <c r="D21" s="114">
        <f t="shared" ref="D21:F34" si="1">D$10*(1+D$11*$C21)/(1+D$12*$C21)</f>
        <v>0.27861386138613858</v>
      </c>
      <c r="E21" s="114">
        <f t="shared" si="1"/>
        <v>0.41102362204724413</v>
      </c>
      <c r="F21" s="114">
        <f t="shared" si="1"/>
        <v>0.36883116883116879</v>
      </c>
      <c r="G21" s="115" t="b">
        <f t="shared" ref="G21:G37" si="2">B22&lt;=MaxSpeed</f>
        <v>1</v>
      </c>
      <c r="H21" s="66"/>
      <c r="I21" s="114">
        <f>IF(G21,SUMPRODUCT(($D$18:$F$18)*($D21:$F21)))</f>
        <v>0.3568249552739301</v>
      </c>
      <c r="J21" s="114"/>
      <c r="K21" s="114">
        <f t="shared" ref="K21:K37" si="3">K$10*(1+K$11*$C21)/(1+K$12*$C21)</f>
        <v>0.36111867601928971</v>
      </c>
      <c r="L21" s="126">
        <f>IF(ISNUMBER(I21),K21-I21,0)</f>
        <v>4.2937207453596082E-3</v>
      </c>
      <c r="M21" s="114">
        <f>L21^2</f>
        <v>1.843603783913147E-5</v>
      </c>
      <c r="N21" s="103"/>
    </row>
    <row r="22" spans="2:14" x14ac:dyDescent="0.25">
      <c r="B22" s="113">
        <v>10</v>
      </c>
      <c r="C22" s="66">
        <f t="shared" si="0"/>
        <v>15</v>
      </c>
      <c r="D22" s="114">
        <f t="shared" si="1"/>
        <v>0.27592233009708739</v>
      </c>
      <c r="E22" s="114">
        <f t="shared" si="1"/>
        <v>0.36795580110497239</v>
      </c>
      <c r="F22" s="114">
        <f t="shared" si="1"/>
        <v>0.32627986348122873</v>
      </c>
      <c r="G22" s="115" t="b">
        <f t="shared" si="2"/>
        <v>1</v>
      </c>
      <c r="H22" s="66"/>
      <c r="I22" s="114">
        <f t="shared" ref="I22:I37" si="4">IF(G22,SUMPRODUCT(($D$18:$F$18)*($D22:$F22)))</f>
        <v>0.32410946454112932</v>
      </c>
      <c r="J22" s="114"/>
      <c r="K22" s="114">
        <f t="shared" si="3"/>
        <v>0.32991034118888496</v>
      </c>
      <c r="L22" s="126">
        <f t="shared" ref="L22:L37" si="5">IF(ISNUMBER(I22),K22-I22,0)</f>
        <v>5.8008766477556373E-3</v>
      </c>
      <c r="M22" s="114">
        <f t="shared" ref="M22:M37" si="6">L22^2</f>
        <v>3.3650169882476682E-5</v>
      </c>
      <c r="N22" s="103"/>
    </row>
    <row r="23" spans="2:14" x14ac:dyDescent="0.25">
      <c r="B23" s="113">
        <v>20</v>
      </c>
      <c r="C23" s="66">
        <f t="shared" si="0"/>
        <v>25</v>
      </c>
      <c r="D23" s="114">
        <f t="shared" si="1"/>
        <v>0.27333333333333332</v>
      </c>
      <c r="E23" s="114">
        <f t="shared" si="1"/>
        <v>0.34468085106382979</v>
      </c>
      <c r="F23" s="114">
        <f t="shared" si="1"/>
        <v>0.29859154929577469</v>
      </c>
      <c r="G23" s="115" t="b">
        <f t="shared" si="2"/>
        <v>1</v>
      </c>
      <c r="H23" s="66"/>
      <c r="I23" s="114">
        <f t="shared" si="4"/>
        <v>0.30379932074717814</v>
      </c>
      <c r="J23" s="114"/>
      <c r="K23" s="114">
        <f t="shared" si="3"/>
        <v>0.30900396475770925</v>
      </c>
      <c r="L23" s="126">
        <f t="shared" si="5"/>
        <v>5.204644010531112E-3</v>
      </c>
      <c r="M23" s="114">
        <f t="shared" si="6"/>
        <v>2.7088319276357379E-5</v>
      </c>
      <c r="N23" s="103"/>
    </row>
    <row r="24" spans="2:14" x14ac:dyDescent="0.25">
      <c r="B24" s="113">
        <v>30</v>
      </c>
      <c r="C24" s="66">
        <f t="shared" si="0"/>
        <v>35</v>
      </c>
      <c r="D24" s="114">
        <f t="shared" si="1"/>
        <v>0.27084112149532708</v>
      </c>
      <c r="E24" s="114">
        <f t="shared" si="1"/>
        <v>0.33010380622837376</v>
      </c>
      <c r="F24" s="114">
        <f t="shared" si="1"/>
        <v>0.27913669064748203</v>
      </c>
      <c r="G24" s="115" t="b">
        <f t="shared" si="2"/>
        <v>1</v>
      </c>
      <c r="H24" s="66"/>
      <c r="I24" s="114">
        <f t="shared" si="4"/>
        <v>0.28980457725466624</v>
      </c>
      <c r="J24" s="114"/>
      <c r="K24" s="114">
        <f t="shared" si="3"/>
        <v>0.29402114948323671</v>
      </c>
      <c r="L24" s="126">
        <f t="shared" si="5"/>
        <v>4.2165722285704699E-3</v>
      </c>
      <c r="M24" s="114">
        <f t="shared" si="6"/>
        <v>1.7779481358751738E-5</v>
      </c>
      <c r="N24" s="103"/>
    </row>
    <row r="25" spans="2:14" x14ac:dyDescent="0.25">
      <c r="B25" s="113">
        <v>40</v>
      </c>
      <c r="C25" s="66">
        <f t="shared" si="0"/>
        <v>45</v>
      </c>
      <c r="D25" s="114">
        <f t="shared" si="1"/>
        <v>0.26844036697247708</v>
      </c>
      <c r="E25" s="114">
        <f t="shared" si="1"/>
        <v>0.32011661807580177</v>
      </c>
      <c r="F25" s="114">
        <f t="shared" si="1"/>
        <v>0.26471816283924843</v>
      </c>
      <c r="G25" s="115" t="b">
        <f t="shared" si="2"/>
        <v>1</v>
      </c>
      <c r="H25" s="66"/>
      <c r="I25" s="114">
        <f t="shared" si="4"/>
        <v>0.27949832768169391</v>
      </c>
      <c r="J25" s="114"/>
      <c r="K25" s="114">
        <f t="shared" si="3"/>
        <v>0.28275674541841467</v>
      </c>
      <c r="L25" s="126">
        <f t="shared" si="5"/>
        <v>3.2584177367207534E-3</v>
      </c>
      <c r="M25" s="114">
        <f t="shared" si="6"/>
        <v>1.0617286146976397E-5</v>
      </c>
      <c r="N25" s="103"/>
    </row>
    <row r="26" spans="2:14" x14ac:dyDescent="0.25">
      <c r="B26" s="113">
        <v>50</v>
      </c>
      <c r="C26" s="66">
        <f t="shared" si="0"/>
        <v>55</v>
      </c>
      <c r="D26" s="114">
        <f t="shared" si="1"/>
        <v>0.26612612612612607</v>
      </c>
      <c r="E26" s="114">
        <f t="shared" si="1"/>
        <v>0.31284634760705293</v>
      </c>
      <c r="F26" s="114">
        <f t="shared" si="1"/>
        <v>0.25360443622920514</v>
      </c>
      <c r="G26" s="115" t="b">
        <f t="shared" si="2"/>
        <v>1</v>
      </c>
      <c r="H26" s="66"/>
      <c r="I26" s="114">
        <f t="shared" si="4"/>
        <v>0.27154533654789731</v>
      </c>
      <c r="J26" s="114"/>
      <c r="K26" s="114">
        <f t="shared" si="3"/>
        <v>0.27397931644077783</v>
      </c>
      <c r="L26" s="126">
        <f t="shared" si="5"/>
        <v>2.4339798928805223E-3</v>
      </c>
      <c r="M26" s="114">
        <f t="shared" si="6"/>
        <v>5.9242581189466788E-6</v>
      </c>
      <c r="N26" s="103"/>
    </row>
    <row r="27" spans="2:14" x14ac:dyDescent="0.25">
      <c r="B27" s="113">
        <v>60</v>
      </c>
      <c r="C27" s="66">
        <f t="shared" si="0"/>
        <v>65</v>
      </c>
      <c r="D27" s="114">
        <f t="shared" si="1"/>
        <v>0.26389380530973455</v>
      </c>
      <c r="E27" s="114">
        <f t="shared" si="1"/>
        <v>0.30731707317073176</v>
      </c>
      <c r="F27" s="114">
        <f t="shared" si="1"/>
        <v>0.24477611940298505</v>
      </c>
      <c r="G27" s="115" t="b">
        <f t="shared" si="2"/>
        <v>1</v>
      </c>
      <c r="H27" s="66"/>
      <c r="I27" s="114">
        <f t="shared" si="4"/>
        <v>0.26519077932160912</v>
      </c>
      <c r="J27" s="114"/>
      <c r="K27" s="114">
        <f t="shared" si="3"/>
        <v>0.26694712542013088</v>
      </c>
      <c r="L27" s="126">
        <f t="shared" si="5"/>
        <v>1.756346098521766E-3</v>
      </c>
      <c r="M27" s="114">
        <f t="shared" si="6"/>
        <v>3.0847516177926291E-6</v>
      </c>
      <c r="N27" s="103"/>
    </row>
    <row r="28" spans="2:14" x14ac:dyDescent="0.25">
      <c r="B28" s="113">
        <v>70</v>
      </c>
      <c r="C28" s="66">
        <f t="shared" si="0"/>
        <v>75</v>
      </c>
      <c r="D28" s="114">
        <f t="shared" si="1"/>
        <v>0.26173913043478264</v>
      </c>
      <c r="E28" s="114">
        <f t="shared" si="1"/>
        <v>0.30297029702970296</v>
      </c>
      <c r="F28" s="114">
        <f t="shared" si="1"/>
        <v>0.23759398496240602</v>
      </c>
      <c r="G28" s="115" t="b">
        <f t="shared" si="2"/>
        <v>1</v>
      </c>
      <c r="H28" s="66"/>
      <c r="I28" s="114">
        <f t="shared" si="4"/>
        <v>0.25997434934732444</v>
      </c>
      <c r="J28" s="114"/>
      <c r="K28" s="114">
        <f t="shared" si="3"/>
        <v>0.26118672566371676</v>
      </c>
      <c r="L28" s="126">
        <f t="shared" si="5"/>
        <v>1.2123763163923162E-3</v>
      </c>
      <c r="M28" s="114">
        <f t="shared" si="6"/>
        <v>1.4698563325490017E-6</v>
      </c>
      <c r="N28" s="103"/>
    </row>
    <row r="29" spans="2:14" x14ac:dyDescent="0.25">
      <c r="B29" s="113">
        <v>80</v>
      </c>
      <c r="C29" s="66">
        <f t="shared" si="0"/>
        <v>85</v>
      </c>
      <c r="D29" s="114">
        <f t="shared" si="1"/>
        <v>0.25965811965811969</v>
      </c>
      <c r="E29" s="114">
        <f t="shared" si="1"/>
        <v>0.29946332737030412</v>
      </c>
      <c r="F29" s="114">
        <f t="shared" si="1"/>
        <v>0.231636863823934</v>
      </c>
      <c r="G29" s="115" t="b">
        <f t="shared" si="2"/>
        <v>1</v>
      </c>
      <c r="H29" s="66"/>
      <c r="I29" s="114">
        <f t="shared" si="4"/>
        <v>0.25559879366907295</v>
      </c>
      <c r="J29" s="114"/>
      <c r="K29" s="114">
        <f t="shared" si="3"/>
        <v>0.25638171757414779</v>
      </c>
      <c r="L29" s="126">
        <f t="shared" si="5"/>
        <v>7.8292390507483933E-4</v>
      </c>
      <c r="M29" s="114">
        <f t="shared" si="6"/>
        <v>6.1296984113763605E-7</v>
      </c>
      <c r="N29" s="103"/>
    </row>
    <row r="30" spans="2:14" x14ac:dyDescent="0.25">
      <c r="B30" s="113">
        <v>90</v>
      </c>
      <c r="C30" s="66">
        <f t="shared" si="0"/>
        <v>95</v>
      </c>
      <c r="D30" s="114">
        <f t="shared" si="1"/>
        <v>0.25764705882352945</v>
      </c>
      <c r="E30" s="114">
        <f t="shared" si="1"/>
        <v>0.2965742251223491</v>
      </c>
      <c r="F30" s="114">
        <f t="shared" si="1"/>
        <v>0.22661596958174907</v>
      </c>
      <c r="G30" s="115" t="b">
        <f t="shared" si="2"/>
        <v>1</v>
      </c>
      <c r="H30" s="66"/>
      <c r="I30" s="114">
        <f t="shared" si="4"/>
        <v>0.25186330577734417</v>
      </c>
      <c r="J30" s="114"/>
      <c r="K30" s="114">
        <f t="shared" si="3"/>
        <v>0.25231261752282319</v>
      </c>
      <c r="L30" s="126">
        <f t="shared" si="5"/>
        <v>4.4931174547901964E-4</v>
      </c>
      <c r="M30" s="114">
        <f t="shared" si="6"/>
        <v>2.0188104462540332E-7</v>
      </c>
      <c r="N30" s="103"/>
    </row>
    <row r="31" spans="2:14" x14ac:dyDescent="0.25">
      <c r="B31" s="113">
        <v>100</v>
      </c>
      <c r="C31" s="66">
        <f t="shared" si="0"/>
        <v>105</v>
      </c>
      <c r="D31" s="114">
        <f t="shared" si="1"/>
        <v>0.25570247933884299</v>
      </c>
      <c r="E31" s="114">
        <f t="shared" si="1"/>
        <v>0.29415292353823086</v>
      </c>
      <c r="F31" s="114">
        <f t="shared" si="1"/>
        <v>0.2223266745005876</v>
      </c>
      <c r="G31" s="115" t="b">
        <f t="shared" si="2"/>
        <v>1</v>
      </c>
      <c r="H31" s="66"/>
      <c r="I31" s="114">
        <f t="shared" si="4"/>
        <v>0.24862718796956229</v>
      </c>
      <c r="J31" s="114"/>
      <c r="K31" s="114">
        <f t="shared" si="3"/>
        <v>0.24882238957094036</v>
      </c>
      <c r="L31" s="126">
        <f t="shared" si="5"/>
        <v>1.9520160137806442E-4</v>
      </c>
      <c r="M31" s="114">
        <f t="shared" si="6"/>
        <v>3.810366518056076E-8</v>
      </c>
      <c r="N31" s="103"/>
    </row>
    <row r="32" spans="2:14" x14ac:dyDescent="0.25">
      <c r="B32" s="113">
        <v>110</v>
      </c>
      <c r="C32" s="66">
        <f t="shared" si="0"/>
        <v>115</v>
      </c>
      <c r="D32" s="114">
        <f t="shared" si="1"/>
        <v>0.25382113821138214</v>
      </c>
      <c r="E32" s="114">
        <f t="shared" si="1"/>
        <v>0.29209431345353676</v>
      </c>
      <c r="F32" s="114">
        <f t="shared" si="1"/>
        <v>0.21861993428258494</v>
      </c>
      <c r="G32" s="115" t="b">
        <f t="shared" si="2"/>
        <v>0</v>
      </c>
      <c r="H32" s="66"/>
      <c r="I32" s="114" t="b">
        <f t="shared" si="4"/>
        <v>0</v>
      </c>
      <c r="J32" s="114"/>
      <c r="K32" s="114">
        <f t="shared" si="3"/>
        <v>0.24579571074087195</v>
      </c>
      <c r="L32" s="126">
        <f t="shared" si="5"/>
        <v>0</v>
      </c>
      <c r="M32" s="114">
        <f t="shared" si="6"/>
        <v>0</v>
      </c>
      <c r="N32" s="103"/>
    </row>
    <row r="33" spans="2:14" x14ac:dyDescent="0.25">
      <c r="B33" s="113">
        <v>120</v>
      </c>
      <c r="C33" s="66">
        <f t="shared" si="0"/>
        <v>125</v>
      </c>
      <c r="D33" s="114">
        <f t="shared" si="1"/>
        <v>0.25200000000000006</v>
      </c>
      <c r="E33" s="114">
        <f t="shared" si="1"/>
        <v>0.29032258064516131</v>
      </c>
      <c r="F33" s="114">
        <f t="shared" si="1"/>
        <v>0.2153846153846154</v>
      </c>
      <c r="G33" s="115" t="b">
        <f t="shared" si="2"/>
        <v>0</v>
      </c>
      <c r="H33" s="66"/>
      <c r="I33" s="114" t="b">
        <f t="shared" si="4"/>
        <v>0</v>
      </c>
      <c r="J33" s="114"/>
      <c r="K33" s="114">
        <f t="shared" si="3"/>
        <v>0.24314598337950136</v>
      </c>
      <c r="L33" s="126">
        <f t="shared" si="5"/>
        <v>0</v>
      </c>
      <c r="M33" s="114">
        <f t="shared" si="6"/>
        <v>0</v>
      </c>
      <c r="N33" s="103"/>
    </row>
    <row r="34" spans="2:14" x14ac:dyDescent="0.25">
      <c r="B34" s="113">
        <v>130</v>
      </c>
      <c r="C34" s="66">
        <f t="shared" si="0"/>
        <v>135</v>
      </c>
      <c r="D34" s="114">
        <f t="shared" si="1"/>
        <v>0.25023622047244098</v>
      </c>
      <c r="E34" s="114">
        <f t="shared" si="1"/>
        <v>0.28878166465621236</v>
      </c>
      <c r="F34" s="114">
        <f t="shared" si="1"/>
        <v>0.21253616200578596</v>
      </c>
      <c r="G34" s="115" t="b">
        <f t="shared" si="2"/>
        <v>0</v>
      </c>
      <c r="H34" s="66"/>
      <c r="I34" s="114" t="b">
        <f t="shared" si="4"/>
        <v>0</v>
      </c>
      <c r="J34" s="114"/>
      <c r="K34" s="114">
        <f t="shared" si="3"/>
        <v>0.24080691561489517</v>
      </c>
      <c r="L34" s="126">
        <f t="shared" si="5"/>
        <v>0</v>
      </c>
      <c r="M34" s="114">
        <f t="shared" si="6"/>
        <v>0</v>
      </c>
      <c r="N34" s="103"/>
    </row>
    <row r="35" spans="2:14" x14ac:dyDescent="0.25">
      <c r="B35" s="113">
        <v>140</v>
      </c>
      <c r="C35" s="66">
        <f t="shared" ref="C35:C37" si="7">(B36-B35)/2+B35</f>
        <v>145</v>
      </c>
      <c r="D35" s="114">
        <f t="shared" ref="D35:F37" si="8">D$10*(1+D$11*$C35)/(1+D$12*$C35)</f>
        <v>0.24852713178294578</v>
      </c>
      <c r="E35" s="114">
        <f t="shared" si="8"/>
        <v>0.28742921857304643</v>
      </c>
      <c r="F35" s="114">
        <f t="shared" si="8"/>
        <v>0.21000909918107369</v>
      </c>
      <c r="G35" s="115" t="b">
        <f t="shared" si="2"/>
        <v>0</v>
      </c>
      <c r="H35" s="66"/>
      <c r="I35" s="114" t="b">
        <f t="shared" si="4"/>
        <v>0</v>
      </c>
      <c r="J35" s="114"/>
      <c r="K35" s="114">
        <f t="shared" si="3"/>
        <v>0.2387268992018918</v>
      </c>
      <c r="L35" s="126">
        <f t="shared" si="5"/>
        <v>0</v>
      </c>
      <c r="M35" s="114">
        <f t="shared" si="6"/>
        <v>0</v>
      </c>
      <c r="N35" s="103"/>
    </row>
    <row r="36" spans="2:14" x14ac:dyDescent="0.25">
      <c r="B36" s="113">
        <v>150</v>
      </c>
      <c r="C36" s="66">
        <f>(B37-B36)/2+B36</f>
        <v>155</v>
      </c>
      <c r="D36" s="114">
        <f t="shared" si="8"/>
        <v>0.24687022900763358</v>
      </c>
      <c r="E36" s="114">
        <f t="shared" si="8"/>
        <v>0.28623265741728926</v>
      </c>
      <c r="F36" s="114">
        <f t="shared" si="8"/>
        <v>0.20775193798449618</v>
      </c>
      <c r="G36" s="115" t="b">
        <f t="shared" si="2"/>
        <v>0</v>
      </c>
      <c r="H36" s="66"/>
      <c r="I36" s="114" t="b">
        <f t="shared" si="4"/>
        <v>0</v>
      </c>
      <c r="J36" s="114"/>
      <c r="K36" s="114">
        <f t="shared" si="3"/>
        <v>0.2368651573149099</v>
      </c>
      <c r="L36" s="126">
        <f t="shared" si="5"/>
        <v>0</v>
      </c>
      <c r="M36" s="114">
        <f t="shared" si="6"/>
        <v>0</v>
      </c>
      <c r="N36" s="103"/>
    </row>
    <row r="37" spans="2:14" x14ac:dyDescent="0.25">
      <c r="B37" s="113">
        <v>160</v>
      </c>
      <c r="C37" s="66">
        <f t="shared" si="7"/>
        <v>165</v>
      </c>
      <c r="D37" s="114">
        <f t="shared" si="8"/>
        <v>0.24526315789473685</v>
      </c>
      <c r="E37" s="114">
        <f t="shared" si="8"/>
        <v>0.28516649848637737</v>
      </c>
      <c r="F37" s="114">
        <f t="shared" si="8"/>
        <v>0.20572363041700736</v>
      </c>
      <c r="G37" s="115" t="b">
        <f t="shared" si="2"/>
        <v>0</v>
      </c>
      <c r="H37" s="66"/>
      <c r="I37" s="114" t="b">
        <f t="shared" si="4"/>
        <v>0</v>
      </c>
      <c r="J37" s="114"/>
      <c r="K37" s="114">
        <f t="shared" si="3"/>
        <v>0.23518904461988821</v>
      </c>
      <c r="L37" s="126">
        <f t="shared" si="5"/>
        <v>0</v>
      </c>
      <c r="M37" s="114">
        <f t="shared" si="6"/>
        <v>0</v>
      </c>
      <c r="N37" s="103"/>
    </row>
    <row r="38" spans="2:14" x14ac:dyDescent="0.25">
      <c r="B38" s="116">
        <v>170</v>
      </c>
      <c r="C38" s="117"/>
      <c r="D38" s="117"/>
      <c r="E38" s="117"/>
      <c r="F38" s="117"/>
      <c r="G38" s="118"/>
      <c r="N38" s="103"/>
    </row>
    <row r="39" spans="2:14" x14ac:dyDescent="0.25">
      <c r="B39" s="102"/>
      <c r="L39" s="123" t="s">
        <v>132</v>
      </c>
      <c r="M39" s="124">
        <f>IF(ISNUMBER(L39),L39^2,0)</f>
        <v>0</v>
      </c>
      <c r="N39" s="103"/>
    </row>
    <row r="40" spans="2:14" x14ac:dyDescent="0.25">
      <c r="B40" s="102"/>
      <c r="I40" s="119">
        <f>ROUND(AVERAGE(I21:I37),3)</f>
        <v>0.28199999999999997</v>
      </c>
      <c r="J40" s="109" t="s">
        <v>123</v>
      </c>
      <c r="N40" s="103"/>
    </row>
    <row r="41" spans="2:14" ht="15" thickBot="1" x14ac:dyDescent="0.3">
      <c r="B41" s="120"/>
      <c r="C41" s="121"/>
      <c r="D41" s="121"/>
      <c r="E41" s="121"/>
      <c r="F41" s="121"/>
      <c r="G41" s="121"/>
      <c r="H41" s="121"/>
      <c r="I41" s="121"/>
      <c r="J41" s="121"/>
      <c r="K41" s="121"/>
      <c r="L41" s="121"/>
      <c r="M41" s="121"/>
      <c r="N41" s="122"/>
    </row>
  </sheetData>
  <phoneticPr fontId="9"/>
  <conditionalFormatting sqref="L21:L37">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FFFF00"/>
  </sheetPr>
  <dimension ref="A2:Q190"/>
  <sheetViews>
    <sheetView showGridLines="0" tabSelected="1" zoomScaleNormal="100" workbookViewId="0">
      <pane xSplit="3" topLeftCell="D1" activePane="topRight" state="frozenSplit"/>
      <selection activeCell="A72" sqref="A72"/>
      <selection pane="topRight" activeCell="F14" sqref="F14"/>
    </sheetView>
  </sheetViews>
  <sheetFormatPr defaultRowHeight="14.4" x14ac:dyDescent="0.25"/>
  <cols>
    <col min="1" max="1" width="2.625" style="1" customWidth="1"/>
    <col min="2" max="2" width="1.375" customWidth="1"/>
    <col min="5" max="6" width="10.75" customWidth="1"/>
    <col min="7" max="16" width="7.75" customWidth="1"/>
    <col min="17" max="18" width="2.75" customWidth="1"/>
  </cols>
  <sheetData>
    <row r="2" spans="3:17" x14ac:dyDescent="0.25">
      <c r="C2" s="90"/>
      <c r="D2" s="90"/>
      <c r="E2" s="91" t="s">
        <v>85</v>
      </c>
      <c r="F2" s="92"/>
    </row>
    <row r="4" spans="3:17" x14ac:dyDescent="0.25">
      <c r="C4" s="79" t="s">
        <v>71</v>
      </c>
      <c r="D4" s="80"/>
      <c r="E4" s="80"/>
      <c r="F4" s="80"/>
      <c r="G4" s="80"/>
      <c r="H4" s="51"/>
      <c r="I4" s="80"/>
      <c r="J4" s="80"/>
      <c r="K4" s="80"/>
      <c r="L4" s="80"/>
      <c r="M4" s="80"/>
      <c r="N4" s="80"/>
      <c r="O4" s="80"/>
      <c r="P4" s="80"/>
      <c r="Q4" s="81"/>
    </row>
    <row r="5" spans="3:17" x14ac:dyDescent="0.25">
      <c r="C5" s="52"/>
      <c r="Q5" s="53"/>
    </row>
    <row r="6" spans="3:17" x14ac:dyDescent="0.25">
      <c r="C6" s="52"/>
      <c r="E6" s="76" t="s">
        <v>67</v>
      </c>
      <c r="F6" s="76" t="s">
        <v>68</v>
      </c>
      <c r="Q6" s="53"/>
    </row>
    <row r="7" spans="3:17" x14ac:dyDescent="0.25">
      <c r="C7" s="52"/>
      <c r="Q7" s="53"/>
    </row>
    <row r="8" spans="3:17" x14ac:dyDescent="0.25">
      <c r="C8" s="55" t="s">
        <v>59</v>
      </c>
      <c r="D8" s="64"/>
      <c r="E8" s="64"/>
      <c r="F8" s="64"/>
      <c r="G8" s="64"/>
      <c r="H8" s="64"/>
      <c r="I8" s="64"/>
      <c r="J8" s="64"/>
      <c r="K8" s="64"/>
      <c r="L8" s="64"/>
      <c r="M8" s="64"/>
      <c r="N8" s="64"/>
      <c r="O8" s="64"/>
      <c r="P8" s="64"/>
      <c r="Q8" s="54"/>
    </row>
    <row r="9" spans="3:17" x14ac:dyDescent="0.25">
      <c r="C9" s="52"/>
      <c r="Q9" s="53"/>
    </row>
    <row r="10" spans="3:17" x14ac:dyDescent="0.25">
      <c r="C10" s="65" t="s">
        <v>55</v>
      </c>
      <c r="F10" s="89">
        <v>2.85</v>
      </c>
      <c r="G10" s="66" t="s">
        <v>1</v>
      </c>
      <c r="H10" s="66"/>
      <c r="Q10" s="53"/>
    </row>
    <row r="11" spans="3:17" x14ac:dyDescent="0.25">
      <c r="C11" s="65" t="s">
        <v>56</v>
      </c>
      <c r="E11" s="67">
        <f>ROUNDUP(F10*M_empty/3.6,0)</f>
        <v>40217</v>
      </c>
      <c r="F11" s="67">
        <f>ROUNDUP($F10*M_full/3.6,0)</f>
        <v>71148</v>
      </c>
      <c r="G11" s="66" t="s">
        <v>11</v>
      </c>
      <c r="H11" s="66"/>
      <c r="Q11" s="53"/>
    </row>
    <row r="12" spans="3:17" x14ac:dyDescent="0.25">
      <c r="C12" s="65" t="s">
        <v>57</v>
      </c>
      <c r="E12" s="66">
        <f>E20*E21/F21</f>
        <v>61.158500000000004</v>
      </c>
      <c r="F12" s="87">
        <v>50</v>
      </c>
      <c r="G12" s="66" t="s">
        <v>2</v>
      </c>
      <c r="H12" s="66"/>
      <c r="Q12" s="53"/>
    </row>
    <row r="13" spans="3:17" x14ac:dyDescent="0.25">
      <c r="C13" s="65" t="s">
        <v>88</v>
      </c>
      <c r="E13" s="67">
        <f>F13*E11/F11</f>
        <v>89.237583983312859</v>
      </c>
      <c r="F13" s="67">
        <f>F21/SQRT(F26/F12)</f>
        <v>157.87044347526526</v>
      </c>
      <c r="G13" s="66" t="s">
        <v>3</v>
      </c>
      <c r="H13" s="66"/>
      <c r="Q13" s="53"/>
    </row>
    <row r="14" spans="3:17" x14ac:dyDescent="0.25">
      <c r="C14" s="65" t="s">
        <v>66</v>
      </c>
      <c r="E14" s="67"/>
      <c r="F14" s="88">
        <v>15</v>
      </c>
      <c r="G14" s="66" t="s">
        <v>2</v>
      </c>
      <c r="H14" s="66"/>
      <c r="Q14" s="53"/>
    </row>
    <row r="15" spans="3:17" x14ac:dyDescent="0.25">
      <c r="C15" s="65" t="s">
        <v>86</v>
      </c>
      <c r="E15" s="67">
        <f>$F$15</f>
        <v>39.467610868816315</v>
      </c>
      <c r="F15" s="93">
        <f>F13/4</f>
        <v>39.467610868816315</v>
      </c>
      <c r="G15" s="66" t="s">
        <v>3</v>
      </c>
      <c r="H15" s="66"/>
      <c r="Q15" s="53"/>
    </row>
    <row r="16" spans="3:17" x14ac:dyDescent="0.25">
      <c r="C16" s="65" t="s">
        <v>87</v>
      </c>
      <c r="E16" s="67">
        <f>E13-E15</f>
        <v>49.769973114496544</v>
      </c>
      <c r="F16" s="94">
        <f>F13-F15</f>
        <v>118.40283260644895</v>
      </c>
      <c r="G16" s="66" t="s">
        <v>3</v>
      </c>
      <c r="H16" s="66"/>
      <c r="Q16" s="53"/>
    </row>
    <row r="17" spans="3:17" x14ac:dyDescent="0.25">
      <c r="C17" s="52"/>
      <c r="Q17" s="53"/>
    </row>
    <row r="18" spans="3:17" x14ac:dyDescent="0.25">
      <c r="C18" s="56" t="s">
        <v>61</v>
      </c>
      <c r="D18" s="64"/>
      <c r="E18" s="64"/>
      <c r="F18" s="64"/>
      <c r="G18" s="64"/>
      <c r="H18" s="64"/>
      <c r="I18" s="64"/>
      <c r="J18" s="64"/>
      <c r="K18" s="64"/>
      <c r="L18" s="64"/>
      <c r="M18" s="64"/>
      <c r="N18" s="64"/>
      <c r="O18" s="64"/>
      <c r="P18" s="64"/>
      <c r="Q18" s="54"/>
    </row>
    <row r="19" spans="3:17" x14ac:dyDescent="0.25">
      <c r="C19" s="52"/>
      <c r="E19" s="66"/>
      <c r="F19" s="66"/>
      <c r="G19" s="66"/>
      <c r="Q19" s="53"/>
    </row>
    <row r="20" spans="3:17" x14ac:dyDescent="0.25">
      <c r="C20" s="65" t="s">
        <v>57</v>
      </c>
      <c r="E20" s="68">
        <f>E26</f>
        <v>82.729942405977468</v>
      </c>
      <c r="F20" s="69">
        <f>F26</f>
        <v>65</v>
      </c>
      <c r="G20" s="66" t="s">
        <v>2</v>
      </c>
      <c r="Q20" s="53"/>
    </row>
    <row r="21" spans="3:17" x14ac:dyDescent="0.25">
      <c r="C21" s="65" t="s">
        <v>58</v>
      </c>
      <c r="E21" s="69">
        <f>F$21*F$26/$E26*$F$33^2</f>
        <v>133.06584871023196</v>
      </c>
      <c r="F21" s="88">
        <v>180</v>
      </c>
      <c r="G21" s="66" t="s">
        <v>3</v>
      </c>
      <c r="Q21" s="53"/>
    </row>
    <row r="22" spans="3:17" x14ac:dyDescent="0.25">
      <c r="C22" s="65" t="s">
        <v>87</v>
      </c>
      <c r="E22" s="69">
        <f>IF(ISBLANK(E20),E16,E16*E20/E12)</f>
        <v>67.324525770078509</v>
      </c>
      <c r="F22" s="69">
        <f>IF(ISBLANK(F20),F16,F16*F20/F12)</f>
        <v>153.92368238838364</v>
      </c>
      <c r="G22" s="66" t="s">
        <v>3</v>
      </c>
      <c r="Q22" s="53"/>
    </row>
    <row r="23" spans="3:17" x14ac:dyDescent="0.25">
      <c r="C23" s="52"/>
      <c r="Q23" s="53"/>
    </row>
    <row r="24" spans="3:17" x14ac:dyDescent="0.25">
      <c r="C24" s="56" t="s">
        <v>72</v>
      </c>
      <c r="D24" s="64"/>
      <c r="E24" s="64"/>
      <c r="F24" s="64"/>
      <c r="G24" s="64"/>
      <c r="H24" s="64"/>
      <c r="I24" s="64"/>
      <c r="J24" s="64"/>
      <c r="K24" s="64"/>
      <c r="L24" s="64"/>
      <c r="M24" s="64"/>
      <c r="N24" s="64"/>
      <c r="O24" s="64"/>
      <c r="P24" s="64"/>
      <c r="Q24" s="54"/>
    </row>
    <row r="25" spans="3:17" x14ac:dyDescent="0.25">
      <c r="C25" s="52"/>
      <c r="Q25" s="53"/>
    </row>
    <row r="26" spans="3:17" x14ac:dyDescent="0.25">
      <c r="C26" s="65" t="s">
        <v>57</v>
      </c>
      <c r="E26" s="68">
        <f>POWER((F$11*F$26)*(F$26^(F$30-1)/E11),1/F$30)*$F$33</f>
        <v>82.729942405977468</v>
      </c>
      <c r="F26" s="87">
        <v>65</v>
      </c>
      <c r="G26" s="66" t="s">
        <v>2</v>
      </c>
      <c r="Q26" s="53"/>
    </row>
    <row r="27" spans="3:17" x14ac:dyDescent="0.25">
      <c r="C27" s="52"/>
      <c r="Q27" s="53"/>
    </row>
    <row r="28" spans="3:17" x14ac:dyDescent="0.25">
      <c r="C28" s="56" t="s">
        <v>60</v>
      </c>
      <c r="D28" s="64"/>
      <c r="E28" s="64"/>
      <c r="F28" s="64"/>
      <c r="G28" s="64"/>
      <c r="H28" s="64"/>
      <c r="I28" s="64"/>
      <c r="J28" s="64"/>
      <c r="K28" s="64"/>
      <c r="L28" s="64"/>
      <c r="M28" s="64"/>
      <c r="N28" s="64"/>
      <c r="O28" s="64"/>
      <c r="P28" s="64"/>
      <c r="Q28" s="54"/>
    </row>
    <row r="29" spans="3:17" x14ac:dyDescent="0.25">
      <c r="C29" s="52"/>
      <c r="Q29" s="53"/>
    </row>
    <row r="30" spans="3:17" x14ac:dyDescent="0.25">
      <c r="C30" s="65" t="s">
        <v>63</v>
      </c>
      <c r="E30" s="66"/>
      <c r="F30" s="87">
        <v>2.1</v>
      </c>
      <c r="G30" s="66" t="s">
        <v>9</v>
      </c>
      <c r="Q30" s="53"/>
    </row>
    <row r="31" spans="3:17" x14ac:dyDescent="0.25">
      <c r="C31" s="65" t="s">
        <v>62</v>
      </c>
      <c r="F31" s="70">
        <f>POWER(F$26^F$30/F$20,1/(F$30-1))</f>
        <v>64.999999999999986</v>
      </c>
      <c r="G31" s="66" t="s">
        <v>2</v>
      </c>
      <c r="Q31" s="53"/>
    </row>
    <row r="32" spans="3:17" x14ac:dyDescent="0.25">
      <c r="C32" s="65" t="s">
        <v>62</v>
      </c>
      <c r="F32" s="70">
        <f>F$22*F$26/$F31</f>
        <v>153.92368238838367</v>
      </c>
      <c r="G32" t="s">
        <v>64</v>
      </c>
      <c r="Q32" s="53"/>
    </row>
    <row r="33" spans="2:17" x14ac:dyDescent="0.25">
      <c r="C33" s="86" t="s">
        <v>84</v>
      </c>
      <c r="F33" s="85">
        <v>0.97</v>
      </c>
      <c r="G33" s="66" t="s">
        <v>9</v>
      </c>
      <c r="Q33" s="53"/>
    </row>
    <row r="34" spans="2:17" ht="15" thickBot="1" x14ac:dyDescent="0.3">
      <c r="C34" s="71"/>
      <c r="D34" s="72"/>
      <c r="E34" s="72"/>
      <c r="F34" s="72"/>
      <c r="G34" s="72"/>
      <c r="H34" s="72"/>
      <c r="I34" s="72"/>
      <c r="J34" s="72"/>
      <c r="K34" s="72"/>
      <c r="L34" s="72"/>
      <c r="M34" s="72"/>
      <c r="N34" s="72"/>
      <c r="O34" s="72"/>
      <c r="P34" s="72"/>
      <c r="Q34" s="73"/>
    </row>
    <row r="35" spans="2:17" ht="15" thickTop="1" x14ac:dyDescent="0.25"/>
    <row r="36" spans="2:17" x14ac:dyDescent="0.25">
      <c r="B36">
        <v>0</v>
      </c>
      <c r="C36" t="s">
        <v>4</v>
      </c>
      <c r="E36" s="8" t="s">
        <v>10</v>
      </c>
      <c r="F36" s="8"/>
      <c r="G36" s="9" t="s">
        <v>8</v>
      </c>
      <c r="H36" s="9"/>
      <c r="I36" s="9"/>
      <c r="J36" s="9"/>
      <c r="K36" s="8" t="s">
        <v>16</v>
      </c>
      <c r="L36" s="8"/>
      <c r="M36" s="60"/>
      <c r="N36" s="60"/>
    </row>
    <row r="37" spans="2:17" x14ac:dyDescent="0.25">
      <c r="B37">
        <v>1</v>
      </c>
      <c r="C37" t="s">
        <v>6</v>
      </c>
      <c r="E37" s="2"/>
      <c r="F37" s="2"/>
      <c r="G37" s="5"/>
      <c r="H37" s="6"/>
      <c r="I37" s="57"/>
      <c r="J37" s="6"/>
      <c r="K37" s="4"/>
      <c r="L37" s="2"/>
      <c r="M37" s="61"/>
      <c r="N37" s="61"/>
    </row>
    <row r="38" spans="2:17" x14ac:dyDescent="0.25">
      <c r="B38">
        <v>2</v>
      </c>
      <c r="C38" t="s">
        <v>7</v>
      </c>
      <c r="E38" s="3" t="str">
        <f>E6</f>
        <v>空車</v>
      </c>
      <c r="F38" s="3" t="str">
        <f>F6</f>
        <v>積車</v>
      </c>
      <c r="G38" s="7" t="str">
        <f>E38</f>
        <v>空車</v>
      </c>
      <c r="H38" s="7" t="str">
        <f>F38</f>
        <v>積車</v>
      </c>
      <c r="I38" s="58"/>
      <c r="J38" s="7" t="s">
        <v>65</v>
      </c>
      <c r="K38" s="3" t="str">
        <f>G38</f>
        <v>空車</v>
      </c>
      <c r="L38" s="3" t="str">
        <f t="shared" ref="L38" si="0">H38</f>
        <v>積車</v>
      </c>
      <c r="M38" s="62"/>
      <c r="N38" s="62"/>
      <c r="O38" t="s">
        <v>69</v>
      </c>
    </row>
    <row r="39" spans="2:17" x14ac:dyDescent="0.25">
      <c r="B39">
        <v>3</v>
      </c>
      <c r="C39" t="s">
        <v>5</v>
      </c>
      <c r="E39" s="2"/>
      <c r="F39" s="2"/>
      <c r="G39" s="6"/>
      <c r="H39" s="6"/>
      <c r="I39" s="57"/>
      <c r="J39" s="6"/>
      <c r="K39" s="2"/>
      <c r="L39" s="2"/>
      <c r="M39" s="61"/>
      <c r="N39" s="61"/>
    </row>
    <row r="40" spans="2:17" x14ac:dyDescent="0.25">
      <c r="C40" s="10">
        <v>0</v>
      </c>
      <c r="D40" s="10" t="str">
        <f t="shared" ref="D40:D71" si="1">VLOOKUP(F40,$B$36:$C$39,2,0)</f>
        <v>VVVF</v>
      </c>
      <c r="E40" s="77">
        <f t="shared" ref="E40" si="2">IF($C40&lt;E$12,0,IF($C40&lt;=E$20,1,IF($C40&lt;=E$26,2,3)))</f>
        <v>0</v>
      </c>
      <c r="F40" s="77">
        <f t="shared" ref="F40" si="3">IF($C40&lt;F$12,0,IF($C40&lt;=F$20,1,IF($C40&lt;=F$31,2,3)))</f>
        <v>0</v>
      </c>
      <c r="G40" s="74">
        <v>1</v>
      </c>
      <c r="H40" s="74">
        <v>1</v>
      </c>
      <c r="I40" s="74" t="s">
        <v>70</v>
      </c>
      <c r="J40" s="74">
        <v>1</v>
      </c>
      <c r="K40" s="75">
        <v>1</v>
      </c>
      <c r="L40" s="75">
        <v>1</v>
      </c>
      <c r="M40" s="75" t="s">
        <v>70</v>
      </c>
      <c r="N40" s="75" t="s">
        <v>70</v>
      </c>
      <c r="O40" s="82" t="s">
        <v>70</v>
      </c>
    </row>
    <row r="41" spans="2:17" x14ac:dyDescent="0.25">
      <c r="C41" s="10">
        <v>1</v>
      </c>
      <c r="D41" s="10" t="str">
        <f t="shared" si="1"/>
        <v>VVVF</v>
      </c>
      <c r="E41" s="11">
        <f t="shared" ref="E41:E72" si="4">IF(Speed&lt;E$12,0,IF(Speed&lt;=E$20,1,IF(Speed&lt;=E$26,2,3)))</f>
        <v>0</v>
      </c>
      <c r="F41" s="11">
        <f t="shared" ref="F41:F72" si="5">IF(Speed&lt;F$12,0,IF(Speed&lt;=F$20,1,IF(Speed&lt;=F$31,2,3)))</f>
        <v>0</v>
      </c>
      <c r="G41" s="12">
        <f t="shared" ref="G41:G72" si="6">IF(E41=0,E$16,IF(E41&lt;3,E$16+(E$22-E$16)*(Speed-E$12)/(E$26-E$12),E$22*E$26/Speed))*$O41+NoLoadCurrent</f>
        <v>5.9491722655541892</v>
      </c>
      <c r="H41" s="12">
        <f t="shared" ref="H41:H72" si="7">IF(F41=0,F$16,IF(F41=1,F$16*Speed/F$12,IF(F41=2,F$32,I41)))*$O41+NoLoadCurrent</f>
        <v>10.524696231684349</v>
      </c>
      <c r="I41" s="59">
        <f t="shared" ref="I41:I72" si="8">F$22*F$26/Speed</f>
        <v>10005.039355244937</v>
      </c>
      <c r="J41" s="12">
        <f t="shared" ref="J41:J72" si="9">IF(Speed&lt;F$20,$F$15,$F$15*F$20/Speed)*$O41</f>
        <v>2.6311740579210872</v>
      </c>
      <c r="K41" s="50">
        <f t="shared" ref="K41:K72" si="10">IF(E41&lt;3,E$11,(E$11*E$26/Speed)*(E$26^(F$30-1)/Speed^(F$30-1)))*$O41</f>
        <v>2681.1333333333328</v>
      </c>
      <c r="L41" s="50">
        <f>IF(F41&lt;2,F$11,IF(M41&lt;N41,M41,N41))*$O41</f>
        <v>4743.1999999999989</v>
      </c>
      <c r="M41" s="63">
        <f t="shared" ref="M41:M72" si="11">F$11*F$20/Speed</f>
        <v>4624620</v>
      </c>
      <c r="N41" s="63">
        <f t="shared" ref="N41:N72" si="12">(F$11*F$26/Speed)*(F$26^(F$30-1)/Speed^(F$30-1))</f>
        <v>456331811.77980024</v>
      </c>
      <c r="O41" s="78">
        <f t="shared" ref="O41:O72" si="13">1-IF(Speed&lt;F$14,(F$14-Speed)/F$14,0)</f>
        <v>6.6666666666666652E-2</v>
      </c>
      <c r="P41" t="b">
        <f>AND(G41&lt;=H41,K41&lt;=L41)</f>
        <v>1</v>
      </c>
    </row>
    <row r="42" spans="2:17" x14ac:dyDescent="0.25">
      <c r="C42" s="10">
        <v>2</v>
      </c>
      <c r="D42" s="10" t="str">
        <f t="shared" si="1"/>
        <v>VVVF</v>
      </c>
      <c r="E42" s="11">
        <f t="shared" si="4"/>
        <v>0</v>
      </c>
      <c r="F42" s="11">
        <f t="shared" si="5"/>
        <v>0</v>
      </c>
      <c r="G42" s="12">
        <f t="shared" si="6"/>
        <v>11.898344531108378</v>
      </c>
      <c r="H42" s="12">
        <f t="shared" si="7"/>
        <v>21.049392463368697</v>
      </c>
      <c r="I42" s="59">
        <f t="shared" si="8"/>
        <v>5002.5196776224684</v>
      </c>
      <c r="J42" s="12">
        <f t="shared" si="9"/>
        <v>5.2623481158421743</v>
      </c>
      <c r="K42" s="50">
        <f t="shared" si="10"/>
        <v>5362.2666666666655</v>
      </c>
      <c r="L42" s="50">
        <f t="shared" ref="L42:L105" si="14">IF(F42&lt;2,F$11,IF(M42&lt;N42,M42,N42))*$O42</f>
        <v>9486.3999999999978</v>
      </c>
      <c r="M42" s="63">
        <f t="shared" si="11"/>
        <v>2312310</v>
      </c>
      <c r="N42" s="63">
        <f t="shared" si="12"/>
        <v>106443158.86957958</v>
      </c>
      <c r="O42" s="78">
        <f t="shared" si="13"/>
        <v>0.1333333333333333</v>
      </c>
      <c r="P42" t="b">
        <f t="shared" ref="P42:P105" si="15">AND(G42&lt;=H42,K42&lt;=L42)</f>
        <v>1</v>
      </c>
    </row>
    <row r="43" spans="2:17" x14ac:dyDescent="0.25">
      <c r="C43" s="10">
        <v>3</v>
      </c>
      <c r="D43" s="10" t="str">
        <f t="shared" si="1"/>
        <v>VVVF</v>
      </c>
      <c r="E43" s="11">
        <f t="shared" si="4"/>
        <v>0</v>
      </c>
      <c r="F43" s="11">
        <f t="shared" si="5"/>
        <v>0</v>
      </c>
      <c r="G43" s="12">
        <f t="shared" si="6"/>
        <v>17.847516796662568</v>
      </c>
      <c r="H43" s="12">
        <f t="shared" si="7"/>
        <v>31.574088695053049</v>
      </c>
      <c r="I43" s="59">
        <f t="shared" si="8"/>
        <v>3335.0131184149791</v>
      </c>
      <c r="J43" s="12">
        <f t="shared" si="9"/>
        <v>7.8935221737632615</v>
      </c>
      <c r="K43" s="50">
        <f t="shared" si="10"/>
        <v>8043.3999999999978</v>
      </c>
      <c r="L43" s="50">
        <f t="shared" si="14"/>
        <v>14229.599999999997</v>
      </c>
      <c r="M43" s="63">
        <f t="shared" si="11"/>
        <v>1541540</v>
      </c>
      <c r="N43" s="63">
        <f t="shared" si="12"/>
        <v>45428260.806508258</v>
      </c>
      <c r="O43" s="78">
        <f t="shared" si="13"/>
        <v>0.19999999999999996</v>
      </c>
      <c r="P43" t="b">
        <f t="shared" si="15"/>
        <v>1</v>
      </c>
    </row>
    <row r="44" spans="2:17" x14ac:dyDescent="0.25">
      <c r="C44" s="10">
        <v>4</v>
      </c>
      <c r="D44" s="10" t="str">
        <f t="shared" si="1"/>
        <v>VVVF</v>
      </c>
      <c r="E44" s="11">
        <f t="shared" si="4"/>
        <v>0</v>
      </c>
      <c r="F44" s="11">
        <f t="shared" si="5"/>
        <v>0</v>
      </c>
      <c r="G44" s="12">
        <f t="shared" si="6"/>
        <v>23.796689062216764</v>
      </c>
      <c r="H44" s="12">
        <f t="shared" si="7"/>
        <v>42.098784926737409</v>
      </c>
      <c r="I44" s="59">
        <f t="shared" si="8"/>
        <v>2501.2598388112342</v>
      </c>
      <c r="J44" s="12">
        <f t="shared" si="9"/>
        <v>10.524696231684352</v>
      </c>
      <c r="K44" s="50">
        <f t="shared" si="10"/>
        <v>10724.533333333335</v>
      </c>
      <c r="L44" s="50">
        <f t="shared" si="14"/>
        <v>18972.800000000003</v>
      </c>
      <c r="M44" s="63">
        <f t="shared" si="11"/>
        <v>1156155</v>
      </c>
      <c r="N44" s="63">
        <f t="shared" si="12"/>
        <v>24828744.737177875</v>
      </c>
      <c r="O44" s="78">
        <f t="shared" si="13"/>
        <v>0.26666666666666672</v>
      </c>
      <c r="P44" t="b">
        <f t="shared" si="15"/>
        <v>1</v>
      </c>
    </row>
    <row r="45" spans="2:17" x14ac:dyDescent="0.25">
      <c r="C45" s="10">
        <v>5</v>
      </c>
      <c r="D45" s="10" t="str">
        <f t="shared" si="1"/>
        <v>VVVF</v>
      </c>
      <c r="E45" s="11">
        <f t="shared" si="4"/>
        <v>0</v>
      </c>
      <c r="F45" s="11">
        <f t="shared" si="5"/>
        <v>0</v>
      </c>
      <c r="G45" s="12">
        <f t="shared" si="6"/>
        <v>29.74586132777096</v>
      </c>
      <c r="H45" s="12">
        <f t="shared" si="7"/>
        <v>52.623481158421761</v>
      </c>
      <c r="I45" s="59">
        <f t="shared" si="8"/>
        <v>2001.0078710489875</v>
      </c>
      <c r="J45" s="12">
        <f t="shared" si="9"/>
        <v>13.15587028960544</v>
      </c>
      <c r="K45" s="50">
        <f t="shared" si="10"/>
        <v>13405.666666666668</v>
      </c>
      <c r="L45" s="50">
        <f t="shared" si="14"/>
        <v>23716.000000000004</v>
      </c>
      <c r="M45" s="63">
        <f t="shared" si="11"/>
        <v>924924</v>
      </c>
      <c r="N45" s="63">
        <f t="shared" si="12"/>
        <v>15539739.571375374</v>
      </c>
      <c r="O45" s="78">
        <f t="shared" si="13"/>
        <v>0.33333333333333337</v>
      </c>
      <c r="P45" t="b">
        <f t="shared" si="15"/>
        <v>1</v>
      </c>
    </row>
    <row r="46" spans="2:17" x14ac:dyDescent="0.25">
      <c r="C46" s="10">
        <v>6</v>
      </c>
      <c r="D46" s="10" t="str">
        <f t="shared" si="1"/>
        <v>VVVF</v>
      </c>
      <c r="E46" s="11">
        <f t="shared" si="4"/>
        <v>0</v>
      </c>
      <c r="F46" s="11">
        <f t="shared" si="5"/>
        <v>0</v>
      </c>
      <c r="G46" s="12">
        <f t="shared" si="6"/>
        <v>35.695033593325142</v>
      </c>
      <c r="H46" s="12">
        <f t="shared" si="7"/>
        <v>63.148177390106106</v>
      </c>
      <c r="I46" s="59">
        <f t="shared" si="8"/>
        <v>1667.5065592074895</v>
      </c>
      <c r="J46" s="12">
        <f t="shared" si="9"/>
        <v>15.787044347526527</v>
      </c>
      <c r="K46" s="50">
        <f t="shared" si="10"/>
        <v>16086.800000000001</v>
      </c>
      <c r="L46" s="50">
        <f t="shared" si="14"/>
        <v>28459.200000000001</v>
      </c>
      <c r="M46" s="63">
        <f t="shared" si="11"/>
        <v>770770</v>
      </c>
      <c r="N46" s="63">
        <f t="shared" si="12"/>
        <v>10596516.520152675</v>
      </c>
      <c r="O46" s="78">
        <f t="shared" si="13"/>
        <v>0.4</v>
      </c>
      <c r="P46" t="b">
        <f t="shared" si="15"/>
        <v>1</v>
      </c>
    </row>
    <row r="47" spans="2:17" x14ac:dyDescent="0.25">
      <c r="C47" s="10">
        <v>7</v>
      </c>
      <c r="D47" s="10" t="str">
        <f t="shared" si="1"/>
        <v>VVVF</v>
      </c>
      <c r="E47" s="11">
        <f t="shared" si="4"/>
        <v>0</v>
      </c>
      <c r="F47" s="11">
        <f t="shared" si="5"/>
        <v>0</v>
      </c>
      <c r="G47" s="12">
        <f t="shared" si="6"/>
        <v>41.644205858879332</v>
      </c>
      <c r="H47" s="12">
        <f t="shared" si="7"/>
        <v>73.672873621790458</v>
      </c>
      <c r="I47" s="59">
        <f t="shared" si="8"/>
        <v>1429.2913364635624</v>
      </c>
      <c r="J47" s="12">
        <f t="shared" si="9"/>
        <v>18.418218405447615</v>
      </c>
      <c r="K47" s="50">
        <f t="shared" si="10"/>
        <v>18767.933333333334</v>
      </c>
      <c r="L47" s="50">
        <f t="shared" si="14"/>
        <v>33202.400000000001</v>
      </c>
      <c r="M47" s="63">
        <f t="shared" si="11"/>
        <v>660660</v>
      </c>
      <c r="N47" s="63">
        <f t="shared" si="12"/>
        <v>7666106.7293815492</v>
      </c>
      <c r="O47" s="78">
        <f t="shared" si="13"/>
        <v>0.46666666666666667</v>
      </c>
      <c r="P47" t="b">
        <f t="shared" si="15"/>
        <v>1</v>
      </c>
    </row>
    <row r="48" spans="2:17" x14ac:dyDescent="0.25">
      <c r="C48" s="10">
        <v>8</v>
      </c>
      <c r="D48" s="10" t="str">
        <f t="shared" si="1"/>
        <v>VVVF</v>
      </c>
      <c r="E48" s="11">
        <f t="shared" si="4"/>
        <v>0</v>
      </c>
      <c r="F48" s="11">
        <f t="shared" si="5"/>
        <v>0</v>
      </c>
      <c r="G48" s="12">
        <f t="shared" si="6"/>
        <v>47.593378124433528</v>
      </c>
      <c r="H48" s="12">
        <f t="shared" si="7"/>
        <v>84.197569853474803</v>
      </c>
      <c r="I48" s="59">
        <f t="shared" si="8"/>
        <v>1250.6299194056171</v>
      </c>
      <c r="J48" s="12">
        <f t="shared" si="9"/>
        <v>21.049392463368701</v>
      </c>
      <c r="K48" s="50">
        <f t="shared" si="10"/>
        <v>21449.066666666666</v>
      </c>
      <c r="L48" s="50">
        <f t="shared" si="14"/>
        <v>37945.599999999999</v>
      </c>
      <c r="M48" s="63">
        <f t="shared" si="11"/>
        <v>578077.5</v>
      </c>
      <c r="N48" s="63">
        <f t="shared" si="12"/>
        <v>5791509.4945582096</v>
      </c>
      <c r="O48" s="78">
        <f t="shared" si="13"/>
        <v>0.53333333333333333</v>
      </c>
      <c r="P48" t="b">
        <f t="shared" si="15"/>
        <v>1</v>
      </c>
    </row>
    <row r="49" spans="3:16" x14ac:dyDescent="0.25">
      <c r="C49" s="10">
        <v>9</v>
      </c>
      <c r="D49" s="10" t="str">
        <f t="shared" si="1"/>
        <v>VVVF</v>
      </c>
      <c r="E49" s="11">
        <f t="shared" si="4"/>
        <v>0</v>
      </c>
      <c r="F49" s="11">
        <f t="shared" si="5"/>
        <v>0</v>
      </c>
      <c r="G49" s="12">
        <f t="shared" si="6"/>
        <v>53.54255038998771</v>
      </c>
      <c r="H49" s="12">
        <f t="shared" si="7"/>
        <v>94.722266085159163</v>
      </c>
      <c r="I49" s="59">
        <f t="shared" si="8"/>
        <v>1111.6710394716597</v>
      </c>
      <c r="J49" s="12">
        <f t="shared" si="9"/>
        <v>23.680566521289787</v>
      </c>
      <c r="K49" s="50">
        <f t="shared" si="10"/>
        <v>24130.2</v>
      </c>
      <c r="L49" s="50">
        <f t="shared" si="14"/>
        <v>42688.799999999996</v>
      </c>
      <c r="M49" s="63">
        <f t="shared" si="11"/>
        <v>513846.66666666669</v>
      </c>
      <c r="N49" s="63">
        <f t="shared" si="12"/>
        <v>4522426.0650492888</v>
      </c>
      <c r="O49" s="78">
        <f t="shared" si="13"/>
        <v>0.6</v>
      </c>
      <c r="P49" t="b">
        <f t="shared" si="15"/>
        <v>1</v>
      </c>
    </row>
    <row r="50" spans="3:16" x14ac:dyDescent="0.25">
      <c r="C50" s="10">
        <v>10</v>
      </c>
      <c r="D50" s="10" t="str">
        <f t="shared" si="1"/>
        <v>VVVF</v>
      </c>
      <c r="E50" s="11">
        <f t="shared" si="4"/>
        <v>0</v>
      </c>
      <c r="F50" s="11">
        <f t="shared" si="5"/>
        <v>0</v>
      </c>
      <c r="G50" s="12">
        <f t="shared" si="6"/>
        <v>59.491722655541921</v>
      </c>
      <c r="H50" s="12">
        <f t="shared" si="7"/>
        <v>105.24696231684352</v>
      </c>
      <c r="I50" s="59">
        <f t="shared" si="8"/>
        <v>1000.5039355244937</v>
      </c>
      <c r="J50" s="12">
        <f t="shared" si="9"/>
        <v>26.31174057921088</v>
      </c>
      <c r="K50" s="50">
        <f t="shared" si="10"/>
        <v>26811.333333333336</v>
      </c>
      <c r="L50" s="50">
        <f t="shared" si="14"/>
        <v>47432.000000000007</v>
      </c>
      <c r="M50" s="63">
        <f t="shared" si="11"/>
        <v>462462</v>
      </c>
      <c r="N50" s="63">
        <f t="shared" si="12"/>
        <v>3624772.4249958158</v>
      </c>
      <c r="O50" s="78">
        <f t="shared" si="13"/>
        <v>0.66666666666666674</v>
      </c>
      <c r="P50" t="b">
        <f t="shared" si="15"/>
        <v>1</v>
      </c>
    </row>
    <row r="51" spans="3:16" x14ac:dyDescent="0.25">
      <c r="C51" s="10">
        <v>11</v>
      </c>
      <c r="D51" s="10" t="str">
        <f t="shared" si="1"/>
        <v>VVVF</v>
      </c>
      <c r="E51" s="11">
        <f t="shared" si="4"/>
        <v>0</v>
      </c>
      <c r="F51" s="11">
        <f t="shared" si="5"/>
        <v>0</v>
      </c>
      <c r="G51" s="12">
        <f t="shared" si="6"/>
        <v>65.440894921096103</v>
      </c>
      <c r="H51" s="12">
        <f t="shared" si="7"/>
        <v>115.77165854852787</v>
      </c>
      <c r="I51" s="59">
        <f t="shared" si="8"/>
        <v>909.54903229499428</v>
      </c>
      <c r="J51" s="12">
        <f t="shared" si="9"/>
        <v>28.942914637131967</v>
      </c>
      <c r="K51" s="50">
        <f t="shared" si="10"/>
        <v>29492.466666666671</v>
      </c>
      <c r="L51" s="50">
        <f t="shared" si="14"/>
        <v>52175.200000000004</v>
      </c>
      <c r="M51" s="63">
        <f t="shared" si="11"/>
        <v>420420</v>
      </c>
      <c r="N51" s="63">
        <f t="shared" si="12"/>
        <v>2967263.4460670953</v>
      </c>
      <c r="O51" s="78">
        <f t="shared" si="13"/>
        <v>0.73333333333333339</v>
      </c>
      <c r="P51" t="b">
        <f t="shared" si="15"/>
        <v>1</v>
      </c>
    </row>
    <row r="52" spans="3:16" x14ac:dyDescent="0.25">
      <c r="C52" s="10">
        <v>12</v>
      </c>
      <c r="D52" s="10" t="str">
        <f t="shared" si="1"/>
        <v>VVVF</v>
      </c>
      <c r="E52" s="11">
        <f t="shared" si="4"/>
        <v>0</v>
      </c>
      <c r="F52" s="11">
        <f t="shared" si="5"/>
        <v>0</v>
      </c>
      <c r="G52" s="12">
        <f t="shared" si="6"/>
        <v>71.390067186650285</v>
      </c>
      <c r="H52" s="12">
        <f t="shared" si="7"/>
        <v>126.29635478021221</v>
      </c>
      <c r="I52" s="59">
        <f t="shared" si="8"/>
        <v>833.75327960374477</v>
      </c>
      <c r="J52" s="12">
        <f t="shared" si="9"/>
        <v>31.574088695053053</v>
      </c>
      <c r="K52" s="50">
        <f t="shared" si="10"/>
        <v>32173.600000000002</v>
      </c>
      <c r="L52" s="50">
        <f t="shared" si="14"/>
        <v>56918.400000000001</v>
      </c>
      <c r="M52" s="63">
        <f t="shared" si="11"/>
        <v>385385</v>
      </c>
      <c r="N52" s="63">
        <f t="shared" si="12"/>
        <v>2471724.8771668118</v>
      </c>
      <c r="O52" s="78">
        <f t="shared" si="13"/>
        <v>0.8</v>
      </c>
      <c r="P52" t="b">
        <f t="shared" si="15"/>
        <v>1</v>
      </c>
    </row>
    <row r="53" spans="3:16" x14ac:dyDescent="0.25">
      <c r="C53" s="10">
        <v>13</v>
      </c>
      <c r="D53" s="10" t="str">
        <f t="shared" si="1"/>
        <v>VVVF</v>
      </c>
      <c r="E53" s="11">
        <f t="shared" si="4"/>
        <v>0</v>
      </c>
      <c r="F53" s="11">
        <f t="shared" si="5"/>
        <v>0</v>
      </c>
      <c r="G53" s="12">
        <f t="shared" si="6"/>
        <v>77.339239452204481</v>
      </c>
      <c r="H53" s="12">
        <f t="shared" si="7"/>
        <v>136.82105101189657</v>
      </c>
      <c r="I53" s="59">
        <f t="shared" si="8"/>
        <v>769.61841194191823</v>
      </c>
      <c r="J53" s="12">
        <f t="shared" si="9"/>
        <v>34.205262752974143</v>
      </c>
      <c r="K53" s="50">
        <f t="shared" si="10"/>
        <v>34854.733333333337</v>
      </c>
      <c r="L53" s="50">
        <f t="shared" si="14"/>
        <v>61661.599999999999</v>
      </c>
      <c r="M53" s="63">
        <f t="shared" si="11"/>
        <v>355740</v>
      </c>
      <c r="N53" s="63">
        <f t="shared" si="12"/>
        <v>2089294.7140706596</v>
      </c>
      <c r="O53" s="78">
        <f t="shared" si="13"/>
        <v>0.8666666666666667</v>
      </c>
      <c r="P53" t="b">
        <f t="shared" si="15"/>
        <v>1</v>
      </c>
    </row>
    <row r="54" spans="3:16" x14ac:dyDescent="0.25">
      <c r="C54" s="10">
        <v>14</v>
      </c>
      <c r="D54" s="10" t="str">
        <f t="shared" si="1"/>
        <v>VVVF</v>
      </c>
      <c r="E54" s="11">
        <f t="shared" si="4"/>
        <v>0</v>
      </c>
      <c r="F54" s="11">
        <f t="shared" si="5"/>
        <v>0</v>
      </c>
      <c r="G54" s="12">
        <f t="shared" si="6"/>
        <v>83.288411717758663</v>
      </c>
      <c r="H54" s="12">
        <f t="shared" si="7"/>
        <v>147.34574724358092</v>
      </c>
      <c r="I54" s="59">
        <f t="shared" si="8"/>
        <v>714.6456682317812</v>
      </c>
      <c r="J54" s="12">
        <f t="shared" si="9"/>
        <v>36.836436810895229</v>
      </c>
      <c r="K54" s="50">
        <f t="shared" si="10"/>
        <v>37535.866666666669</v>
      </c>
      <c r="L54" s="50">
        <f t="shared" si="14"/>
        <v>66404.800000000003</v>
      </c>
      <c r="M54" s="63">
        <f t="shared" si="11"/>
        <v>330330</v>
      </c>
      <c r="N54" s="63">
        <f t="shared" si="12"/>
        <v>1788182.6237888297</v>
      </c>
      <c r="O54" s="78">
        <f t="shared" si="13"/>
        <v>0.93333333333333335</v>
      </c>
      <c r="P54" t="b">
        <f t="shared" si="15"/>
        <v>1</v>
      </c>
    </row>
    <row r="55" spans="3:16" x14ac:dyDescent="0.25">
      <c r="C55" s="10">
        <v>15</v>
      </c>
      <c r="D55" s="10" t="str">
        <f t="shared" si="1"/>
        <v>VVVF</v>
      </c>
      <c r="E55" s="11">
        <f t="shared" si="4"/>
        <v>0</v>
      </c>
      <c r="F55" s="11">
        <f t="shared" si="5"/>
        <v>0</v>
      </c>
      <c r="G55" s="12">
        <f t="shared" si="6"/>
        <v>89.237583983312859</v>
      </c>
      <c r="H55" s="12">
        <f t="shared" si="7"/>
        <v>157.87044347526526</v>
      </c>
      <c r="I55" s="59">
        <f t="shared" si="8"/>
        <v>667.00262368299582</v>
      </c>
      <c r="J55" s="12">
        <f t="shared" si="9"/>
        <v>39.467610868816315</v>
      </c>
      <c r="K55" s="50">
        <f t="shared" si="10"/>
        <v>40217</v>
      </c>
      <c r="L55" s="50">
        <f t="shared" si="14"/>
        <v>71148</v>
      </c>
      <c r="M55" s="63">
        <f t="shared" si="11"/>
        <v>308308</v>
      </c>
      <c r="N55" s="63">
        <f t="shared" si="12"/>
        <v>1546995.6814106696</v>
      </c>
      <c r="O55" s="78">
        <f t="shared" si="13"/>
        <v>1</v>
      </c>
      <c r="P55" t="b">
        <f t="shared" si="15"/>
        <v>1</v>
      </c>
    </row>
    <row r="56" spans="3:16" x14ac:dyDescent="0.25">
      <c r="C56" s="10">
        <v>16</v>
      </c>
      <c r="D56" s="10" t="str">
        <f t="shared" si="1"/>
        <v>VVVF</v>
      </c>
      <c r="E56" s="11">
        <f t="shared" si="4"/>
        <v>0</v>
      </c>
      <c r="F56" s="11">
        <f t="shared" si="5"/>
        <v>0</v>
      </c>
      <c r="G56" s="12">
        <f t="shared" si="6"/>
        <v>89.237583983312859</v>
      </c>
      <c r="H56" s="12">
        <f t="shared" si="7"/>
        <v>157.87044347526526</v>
      </c>
      <c r="I56" s="59">
        <f t="shared" si="8"/>
        <v>625.31495970280855</v>
      </c>
      <c r="J56" s="12">
        <f t="shared" si="9"/>
        <v>39.467610868816315</v>
      </c>
      <c r="K56" s="50">
        <f t="shared" si="10"/>
        <v>40217</v>
      </c>
      <c r="L56" s="50">
        <f t="shared" si="14"/>
        <v>71148</v>
      </c>
      <c r="M56" s="63">
        <f t="shared" si="11"/>
        <v>289038.75</v>
      </c>
      <c r="N56" s="63">
        <f t="shared" si="12"/>
        <v>1350917.3573053672</v>
      </c>
      <c r="O56" s="78">
        <f t="shared" si="13"/>
        <v>1</v>
      </c>
      <c r="P56" t="b">
        <f t="shared" si="15"/>
        <v>1</v>
      </c>
    </row>
    <row r="57" spans="3:16" x14ac:dyDescent="0.25">
      <c r="C57" s="10">
        <v>17</v>
      </c>
      <c r="D57" s="10" t="str">
        <f t="shared" si="1"/>
        <v>VVVF</v>
      </c>
      <c r="E57" s="11">
        <f t="shared" si="4"/>
        <v>0</v>
      </c>
      <c r="F57" s="11">
        <f t="shared" si="5"/>
        <v>0</v>
      </c>
      <c r="G57" s="12">
        <f t="shared" si="6"/>
        <v>89.237583983312859</v>
      </c>
      <c r="H57" s="12">
        <f t="shared" si="7"/>
        <v>157.87044347526526</v>
      </c>
      <c r="I57" s="59">
        <f t="shared" si="8"/>
        <v>588.53172677911391</v>
      </c>
      <c r="J57" s="12">
        <f t="shared" si="9"/>
        <v>39.467610868816315</v>
      </c>
      <c r="K57" s="50">
        <f t="shared" si="10"/>
        <v>40217</v>
      </c>
      <c r="L57" s="50">
        <f t="shared" si="14"/>
        <v>71148</v>
      </c>
      <c r="M57" s="63">
        <f t="shared" si="11"/>
        <v>272036.4705882353</v>
      </c>
      <c r="N57" s="63">
        <f t="shared" si="12"/>
        <v>1189427.5961884242</v>
      </c>
      <c r="O57" s="78">
        <f t="shared" si="13"/>
        <v>1</v>
      </c>
      <c r="P57" t="b">
        <f t="shared" si="15"/>
        <v>1</v>
      </c>
    </row>
    <row r="58" spans="3:16" x14ac:dyDescent="0.25">
      <c r="C58" s="10">
        <v>18</v>
      </c>
      <c r="D58" s="10" t="str">
        <f t="shared" si="1"/>
        <v>VVVF</v>
      </c>
      <c r="E58" s="11">
        <f t="shared" si="4"/>
        <v>0</v>
      </c>
      <c r="F58" s="11">
        <f t="shared" si="5"/>
        <v>0</v>
      </c>
      <c r="G58" s="12">
        <f t="shared" si="6"/>
        <v>89.237583983312859</v>
      </c>
      <c r="H58" s="12">
        <f t="shared" si="7"/>
        <v>157.87044347526526</v>
      </c>
      <c r="I58" s="59">
        <f t="shared" si="8"/>
        <v>555.83551973582985</v>
      </c>
      <c r="J58" s="12">
        <f t="shared" si="9"/>
        <v>39.467610868816315</v>
      </c>
      <c r="K58" s="50">
        <f t="shared" si="10"/>
        <v>40217</v>
      </c>
      <c r="L58" s="50">
        <f t="shared" si="14"/>
        <v>71148</v>
      </c>
      <c r="M58" s="63">
        <f t="shared" si="11"/>
        <v>256923.33333333334</v>
      </c>
      <c r="N58" s="63">
        <f t="shared" si="12"/>
        <v>1054893.1801192428</v>
      </c>
      <c r="O58" s="78">
        <f t="shared" si="13"/>
        <v>1</v>
      </c>
      <c r="P58" t="b">
        <f t="shared" si="15"/>
        <v>1</v>
      </c>
    </row>
    <row r="59" spans="3:16" x14ac:dyDescent="0.25">
      <c r="C59" s="10">
        <v>19</v>
      </c>
      <c r="D59" s="10" t="str">
        <f t="shared" si="1"/>
        <v>VVVF</v>
      </c>
      <c r="E59" s="11">
        <f t="shared" si="4"/>
        <v>0</v>
      </c>
      <c r="F59" s="11">
        <f t="shared" si="5"/>
        <v>0</v>
      </c>
      <c r="G59" s="12">
        <f t="shared" si="6"/>
        <v>89.237583983312859</v>
      </c>
      <c r="H59" s="12">
        <f t="shared" si="7"/>
        <v>157.87044347526526</v>
      </c>
      <c r="I59" s="59">
        <f t="shared" si="8"/>
        <v>526.58101869710197</v>
      </c>
      <c r="J59" s="12">
        <f t="shared" si="9"/>
        <v>39.467610868816315</v>
      </c>
      <c r="K59" s="50">
        <f t="shared" si="10"/>
        <v>40217</v>
      </c>
      <c r="L59" s="50">
        <f t="shared" si="14"/>
        <v>71148</v>
      </c>
      <c r="M59" s="63">
        <f t="shared" si="11"/>
        <v>243401.05263157896</v>
      </c>
      <c r="N59" s="63">
        <f t="shared" si="12"/>
        <v>941668.80437683233</v>
      </c>
      <c r="O59" s="78">
        <f t="shared" si="13"/>
        <v>1</v>
      </c>
      <c r="P59" t="b">
        <f t="shared" si="15"/>
        <v>1</v>
      </c>
    </row>
    <row r="60" spans="3:16" x14ac:dyDescent="0.25">
      <c r="C60" s="10">
        <v>20</v>
      </c>
      <c r="D60" s="10" t="str">
        <f t="shared" si="1"/>
        <v>VVVF</v>
      </c>
      <c r="E60" s="11">
        <f t="shared" si="4"/>
        <v>0</v>
      </c>
      <c r="F60" s="11">
        <f t="shared" si="5"/>
        <v>0</v>
      </c>
      <c r="G60" s="12">
        <f t="shared" si="6"/>
        <v>89.237583983312859</v>
      </c>
      <c r="H60" s="12">
        <f t="shared" si="7"/>
        <v>157.87044347526526</v>
      </c>
      <c r="I60" s="59">
        <f t="shared" si="8"/>
        <v>500.25196776224686</v>
      </c>
      <c r="J60" s="12">
        <f t="shared" si="9"/>
        <v>39.467610868816315</v>
      </c>
      <c r="K60" s="50">
        <f t="shared" si="10"/>
        <v>40217</v>
      </c>
      <c r="L60" s="50">
        <f t="shared" si="14"/>
        <v>71148</v>
      </c>
      <c r="M60" s="63">
        <f t="shared" si="11"/>
        <v>231231</v>
      </c>
      <c r="N60" s="63">
        <f t="shared" si="12"/>
        <v>845508.06483349379</v>
      </c>
      <c r="O60" s="78">
        <f t="shared" si="13"/>
        <v>1</v>
      </c>
      <c r="P60" t="b">
        <f t="shared" si="15"/>
        <v>1</v>
      </c>
    </row>
    <row r="61" spans="3:16" x14ac:dyDescent="0.25">
      <c r="C61" s="10">
        <v>21</v>
      </c>
      <c r="D61" s="10" t="str">
        <f t="shared" si="1"/>
        <v>VVVF</v>
      </c>
      <c r="E61" s="11">
        <f t="shared" si="4"/>
        <v>0</v>
      </c>
      <c r="F61" s="11">
        <f t="shared" si="5"/>
        <v>0</v>
      </c>
      <c r="G61" s="12">
        <f t="shared" si="6"/>
        <v>89.237583983312859</v>
      </c>
      <c r="H61" s="12">
        <f t="shared" si="7"/>
        <v>157.87044347526526</v>
      </c>
      <c r="I61" s="59">
        <f t="shared" si="8"/>
        <v>476.43044548785412</v>
      </c>
      <c r="J61" s="12">
        <f t="shared" si="9"/>
        <v>39.467610868816315</v>
      </c>
      <c r="K61" s="50">
        <f t="shared" si="10"/>
        <v>40217</v>
      </c>
      <c r="L61" s="50">
        <f t="shared" si="14"/>
        <v>71148</v>
      </c>
      <c r="M61" s="63">
        <f t="shared" si="11"/>
        <v>220220</v>
      </c>
      <c r="N61" s="63">
        <f t="shared" si="12"/>
        <v>763168.13091462164</v>
      </c>
      <c r="O61" s="78">
        <f t="shared" si="13"/>
        <v>1</v>
      </c>
      <c r="P61" t="b">
        <f t="shared" si="15"/>
        <v>1</v>
      </c>
    </row>
    <row r="62" spans="3:16" x14ac:dyDescent="0.25">
      <c r="C62" s="10">
        <v>22</v>
      </c>
      <c r="D62" s="10" t="str">
        <f t="shared" si="1"/>
        <v>VVVF</v>
      </c>
      <c r="E62" s="11">
        <f t="shared" si="4"/>
        <v>0</v>
      </c>
      <c r="F62" s="11">
        <f t="shared" si="5"/>
        <v>0</v>
      </c>
      <c r="G62" s="12">
        <f t="shared" si="6"/>
        <v>89.237583983312859</v>
      </c>
      <c r="H62" s="12">
        <f t="shared" si="7"/>
        <v>157.87044347526526</v>
      </c>
      <c r="I62" s="59">
        <f t="shared" si="8"/>
        <v>454.77451614749714</v>
      </c>
      <c r="J62" s="12">
        <f t="shared" si="9"/>
        <v>39.467610868816315</v>
      </c>
      <c r="K62" s="50">
        <f t="shared" si="10"/>
        <v>40217</v>
      </c>
      <c r="L62" s="50">
        <f t="shared" si="14"/>
        <v>71148</v>
      </c>
      <c r="M62" s="63">
        <f t="shared" si="11"/>
        <v>210210</v>
      </c>
      <c r="N62" s="63">
        <f t="shared" si="12"/>
        <v>692138.67244044947</v>
      </c>
      <c r="O62" s="78">
        <f t="shared" si="13"/>
        <v>1</v>
      </c>
      <c r="P62" t="b">
        <f t="shared" si="15"/>
        <v>1</v>
      </c>
    </row>
    <row r="63" spans="3:16" x14ac:dyDescent="0.25">
      <c r="C63" s="10">
        <v>23</v>
      </c>
      <c r="D63" s="10" t="str">
        <f t="shared" si="1"/>
        <v>VVVF</v>
      </c>
      <c r="E63" s="11">
        <f t="shared" si="4"/>
        <v>0</v>
      </c>
      <c r="F63" s="11">
        <f t="shared" si="5"/>
        <v>0</v>
      </c>
      <c r="G63" s="12">
        <f t="shared" si="6"/>
        <v>89.237583983312859</v>
      </c>
      <c r="H63" s="12">
        <f t="shared" si="7"/>
        <v>157.87044347526526</v>
      </c>
      <c r="I63" s="59">
        <f t="shared" si="8"/>
        <v>435.00171109760595</v>
      </c>
      <c r="J63" s="12">
        <f t="shared" si="9"/>
        <v>39.467610868816315</v>
      </c>
      <c r="K63" s="50">
        <f t="shared" si="10"/>
        <v>40217</v>
      </c>
      <c r="L63" s="50">
        <f t="shared" si="14"/>
        <v>71148</v>
      </c>
      <c r="M63" s="63">
        <f t="shared" si="11"/>
        <v>201070.4347826087</v>
      </c>
      <c r="N63" s="63">
        <f t="shared" si="12"/>
        <v>630452.38167035428</v>
      </c>
      <c r="O63" s="78">
        <f t="shared" si="13"/>
        <v>1</v>
      </c>
      <c r="P63" t="b">
        <f t="shared" si="15"/>
        <v>1</v>
      </c>
    </row>
    <row r="64" spans="3:16" x14ac:dyDescent="0.25">
      <c r="C64" s="10">
        <v>24</v>
      </c>
      <c r="D64" s="10" t="str">
        <f t="shared" si="1"/>
        <v>VVVF</v>
      </c>
      <c r="E64" s="11">
        <f t="shared" si="4"/>
        <v>0</v>
      </c>
      <c r="F64" s="11">
        <f t="shared" si="5"/>
        <v>0</v>
      </c>
      <c r="G64" s="12">
        <f t="shared" si="6"/>
        <v>89.237583983312859</v>
      </c>
      <c r="H64" s="12">
        <f t="shared" si="7"/>
        <v>157.87044347526526</v>
      </c>
      <c r="I64" s="59">
        <f t="shared" si="8"/>
        <v>416.87663980187239</v>
      </c>
      <c r="J64" s="12">
        <f t="shared" si="9"/>
        <v>39.467610868816315</v>
      </c>
      <c r="K64" s="50">
        <f t="shared" si="10"/>
        <v>40217</v>
      </c>
      <c r="L64" s="50">
        <f t="shared" si="14"/>
        <v>71148</v>
      </c>
      <c r="M64" s="63">
        <f t="shared" si="11"/>
        <v>192692.5</v>
      </c>
      <c r="N64" s="63">
        <f t="shared" si="12"/>
        <v>576550.21409972454</v>
      </c>
      <c r="O64" s="78">
        <f t="shared" si="13"/>
        <v>1</v>
      </c>
      <c r="P64" t="b">
        <f t="shared" si="15"/>
        <v>1</v>
      </c>
    </row>
    <row r="65" spans="3:16" x14ac:dyDescent="0.25">
      <c r="C65" s="10">
        <v>25</v>
      </c>
      <c r="D65" s="10" t="str">
        <f t="shared" si="1"/>
        <v>VVVF</v>
      </c>
      <c r="E65" s="11">
        <f t="shared" si="4"/>
        <v>0</v>
      </c>
      <c r="F65" s="11">
        <f t="shared" si="5"/>
        <v>0</v>
      </c>
      <c r="G65" s="12">
        <f t="shared" si="6"/>
        <v>89.237583983312859</v>
      </c>
      <c r="H65" s="12">
        <f t="shared" si="7"/>
        <v>157.87044347526526</v>
      </c>
      <c r="I65" s="59">
        <f t="shared" si="8"/>
        <v>400.20157420979746</v>
      </c>
      <c r="J65" s="12">
        <f t="shared" si="9"/>
        <v>39.467610868816315</v>
      </c>
      <c r="K65" s="50">
        <f t="shared" si="10"/>
        <v>40217</v>
      </c>
      <c r="L65" s="50">
        <f t="shared" si="14"/>
        <v>71148</v>
      </c>
      <c r="M65" s="63">
        <f t="shared" si="11"/>
        <v>184984.8</v>
      </c>
      <c r="N65" s="63">
        <f t="shared" si="12"/>
        <v>529184.02730751515</v>
      </c>
      <c r="O65" s="78">
        <f t="shared" si="13"/>
        <v>1</v>
      </c>
      <c r="P65" t="b">
        <f t="shared" si="15"/>
        <v>1</v>
      </c>
    </row>
    <row r="66" spans="3:16" x14ac:dyDescent="0.25">
      <c r="C66" s="10">
        <v>26</v>
      </c>
      <c r="D66" s="10" t="str">
        <f t="shared" si="1"/>
        <v>VVVF</v>
      </c>
      <c r="E66" s="11">
        <f t="shared" si="4"/>
        <v>0</v>
      </c>
      <c r="F66" s="11">
        <f t="shared" si="5"/>
        <v>0</v>
      </c>
      <c r="G66" s="12">
        <f t="shared" si="6"/>
        <v>89.237583983312859</v>
      </c>
      <c r="H66" s="12">
        <f t="shared" si="7"/>
        <v>157.87044347526526</v>
      </c>
      <c r="I66" s="59">
        <f t="shared" si="8"/>
        <v>384.80920597095911</v>
      </c>
      <c r="J66" s="12">
        <f t="shared" si="9"/>
        <v>39.467610868816315</v>
      </c>
      <c r="K66" s="50">
        <f t="shared" si="10"/>
        <v>40217</v>
      </c>
      <c r="L66" s="50">
        <f t="shared" si="14"/>
        <v>71148</v>
      </c>
      <c r="M66" s="63">
        <f t="shared" si="11"/>
        <v>177870</v>
      </c>
      <c r="N66" s="63">
        <f t="shared" si="12"/>
        <v>487345.22431784653</v>
      </c>
      <c r="O66" s="78">
        <f t="shared" si="13"/>
        <v>1</v>
      </c>
      <c r="P66" t="b">
        <f t="shared" si="15"/>
        <v>1</v>
      </c>
    </row>
    <row r="67" spans="3:16" x14ac:dyDescent="0.25">
      <c r="C67" s="10">
        <v>27</v>
      </c>
      <c r="D67" s="10" t="str">
        <f t="shared" si="1"/>
        <v>VVVF</v>
      </c>
      <c r="E67" s="11">
        <f t="shared" si="4"/>
        <v>0</v>
      </c>
      <c r="F67" s="11">
        <f t="shared" si="5"/>
        <v>0</v>
      </c>
      <c r="G67" s="12">
        <f t="shared" si="6"/>
        <v>89.237583983312859</v>
      </c>
      <c r="H67" s="12">
        <f t="shared" si="7"/>
        <v>157.87044347526526</v>
      </c>
      <c r="I67" s="59">
        <f t="shared" si="8"/>
        <v>370.5570131572199</v>
      </c>
      <c r="J67" s="12">
        <f t="shared" si="9"/>
        <v>39.467610868816315</v>
      </c>
      <c r="K67" s="50">
        <f t="shared" si="10"/>
        <v>40217</v>
      </c>
      <c r="L67" s="50">
        <f t="shared" si="14"/>
        <v>71148</v>
      </c>
      <c r="M67" s="63">
        <f t="shared" si="11"/>
        <v>171282.22222222222</v>
      </c>
      <c r="N67" s="63">
        <f t="shared" si="12"/>
        <v>450211.76577614201</v>
      </c>
      <c r="O67" s="78">
        <f t="shared" si="13"/>
        <v>1</v>
      </c>
      <c r="P67" t="b">
        <f t="shared" si="15"/>
        <v>1</v>
      </c>
    </row>
    <row r="68" spans="3:16" x14ac:dyDescent="0.25">
      <c r="C68" s="10">
        <v>28</v>
      </c>
      <c r="D68" s="10" t="str">
        <f t="shared" si="1"/>
        <v>VVVF</v>
      </c>
      <c r="E68" s="11">
        <f t="shared" si="4"/>
        <v>0</v>
      </c>
      <c r="F68" s="11">
        <f t="shared" si="5"/>
        <v>0</v>
      </c>
      <c r="G68" s="12">
        <f t="shared" si="6"/>
        <v>89.237583983312859</v>
      </c>
      <c r="H68" s="12">
        <f t="shared" si="7"/>
        <v>157.87044347526526</v>
      </c>
      <c r="I68" s="59">
        <f t="shared" si="8"/>
        <v>357.3228341158906</v>
      </c>
      <c r="J68" s="12">
        <f t="shared" si="9"/>
        <v>39.467610868816315</v>
      </c>
      <c r="K68" s="50">
        <f t="shared" si="10"/>
        <v>40217</v>
      </c>
      <c r="L68" s="50">
        <f t="shared" si="14"/>
        <v>71148</v>
      </c>
      <c r="M68" s="63">
        <f t="shared" si="11"/>
        <v>165165</v>
      </c>
      <c r="N68" s="63">
        <f t="shared" si="12"/>
        <v>417108.34572195733</v>
      </c>
      <c r="O68" s="78">
        <f t="shared" si="13"/>
        <v>1</v>
      </c>
      <c r="P68" t="b">
        <f t="shared" si="15"/>
        <v>1</v>
      </c>
    </row>
    <row r="69" spans="3:16" x14ac:dyDescent="0.25">
      <c r="C69" s="10">
        <v>29</v>
      </c>
      <c r="D69" s="10" t="str">
        <f t="shared" si="1"/>
        <v>VVVF</v>
      </c>
      <c r="E69" s="11">
        <f t="shared" si="4"/>
        <v>0</v>
      </c>
      <c r="F69" s="11">
        <f t="shared" si="5"/>
        <v>0</v>
      </c>
      <c r="G69" s="12">
        <f t="shared" si="6"/>
        <v>89.237583983312859</v>
      </c>
      <c r="H69" s="12">
        <f t="shared" si="7"/>
        <v>157.87044347526526</v>
      </c>
      <c r="I69" s="59">
        <f t="shared" si="8"/>
        <v>345.00135707741163</v>
      </c>
      <c r="J69" s="12">
        <f t="shared" si="9"/>
        <v>39.467610868816315</v>
      </c>
      <c r="K69" s="50">
        <f t="shared" si="10"/>
        <v>40217</v>
      </c>
      <c r="L69" s="50">
        <f t="shared" si="14"/>
        <v>71148</v>
      </c>
      <c r="M69" s="63">
        <f t="shared" si="11"/>
        <v>159469.6551724138</v>
      </c>
      <c r="N69" s="63">
        <f t="shared" si="12"/>
        <v>387476.12667794613</v>
      </c>
      <c r="O69" s="78">
        <f t="shared" si="13"/>
        <v>1</v>
      </c>
      <c r="P69" t="b">
        <f t="shared" si="15"/>
        <v>1</v>
      </c>
    </row>
    <row r="70" spans="3:16" x14ac:dyDescent="0.25">
      <c r="C70" s="10">
        <v>30</v>
      </c>
      <c r="D70" s="10" t="str">
        <f t="shared" si="1"/>
        <v>VVVF</v>
      </c>
      <c r="E70" s="11">
        <f t="shared" si="4"/>
        <v>0</v>
      </c>
      <c r="F70" s="11">
        <f t="shared" si="5"/>
        <v>0</v>
      </c>
      <c r="G70" s="12">
        <f t="shared" si="6"/>
        <v>89.237583983312859</v>
      </c>
      <c r="H70" s="12">
        <f t="shared" si="7"/>
        <v>157.87044347526526</v>
      </c>
      <c r="I70" s="59">
        <f t="shared" si="8"/>
        <v>333.50131184149791</v>
      </c>
      <c r="J70" s="12">
        <f t="shared" si="9"/>
        <v>39.467610868816315</v>
      </c>
      <c r="K70" s="50">
        <f t="shared" si="10"/>
        <v>40217</v>
      </c>
      <c r="L70" s="50">
        <f t="shared" si="14"/>
        <v>71148</v>
      </c>
      <c r="M70" s="63">
        <f t="shared" si="11"/>
        <v>154154</v>
      </c>
      <c r="N70" s="63">
        <f t="shared" si="12"/>
        <v>360849.50213027961</v>
      </c>
      <c r="O70" s="78">
        <f t="shared" si="13"/>
        <v>1</v>
      </c>
      <c r="P70" t="b">
        <f t="shared" si="15"/>
        <v>1</v>
      </c>
    </row>
    <row r="71" spans="3:16" x14ac:dyDescent="0.25">
      <c r="C71" s="10">
        <v>31</v>
      </c>
      <c r="D71" s="10" t="str">
        <f t="shared" si="1"/>
        <v>VVVF</v>
      </c>
      <c r="E71" s="11">
        <f t="shared" si="4"/>
        <v>0</v>
      </c>
      <c r="F71" s="11">
        <f t="shared" si="5"/>
        <v>0</v>
      </c>
      <c r="G71" s="12">
        <f t="shared" si="6"/>
        <v>89.237583983312859</v>
      </c>
      <c r="H71" s="12">
        <f t="shared" si="7"/>
        <v>157.87044347526526</v>
      </c>
      <c r="I71" s="59">
        <f t="shared" si="8"/>
        <v>322.74320500790117</v>
      </c>
      <c r="J71" s="12">
        <f t="shared" si="9"/>
        <v>39.467610868816315</v>
      </c>
      <c r="K71" s="50">
        <f t="shared" si="10"/>
        <v>40217</v>
      </c>
      <c r="L71" s="50">
        <f t="shared" si="14"/>
        <v>71148</v>
      </c>
      <c r="M71" s="63">
        <f t="shared" si="11"/>
        <v>149181.29032258064</v>
      </c>
      <c r="N71" s="63">
        <f t="shared" si="12"/>
        <v>336838.08396301488</v>
      </c>
      <c r="O71" s="78">
        <f t="shared" si="13"/>
        <v>1</v>
      </c>
      <c r="P71" t="b">
        <f t="shared" si="15"/>
        <v>1</v>
      </c>
    </row>
    <row r="72" spans="3:16" x14ac:dyDescent="0.25">
      <c r="C72" s="10">
        <v>32</v>
      </c>
      <c r="D72" s="10" t="str">
        <f t="shared" ref="D72:D103" si="16">VLOOKUP(F72,$B$36:$C$39,2,0)</f>
        <v>VVVF</v>
      </c>
      <c r="E72" s="11">
        <f t="shared" si="4"/>
        <v>0</v>
      </c>
      <c r="F72" s="11">
        <f t="shared" si="5"/>
        <v>0</v>
      </c>
      <c r="G72" s="12">
        <f t="shared" si="6"/>
        <v>89.237583983312859</v>
      </c>
      <c r="H72" s="12">
        <f t="shared" si="7"/>
        <v>157.87044347526526</v>
      </c>
      <c r="I72" s="59">
        <f t="shared" si="8"/>
        <v>312.65747985140428</v>
      </c>
      <c r="J72" s="12">
        <f t="shared" si="9"/>
        <v>39.467610868816315</v>
      </c>
      <c r="K72" s="50">
        <f t="shared" si="10"/>
        <v>40217</v>
      </c>
      <c r="L72" s="50">
        <f t="shared" si="14"/>
        <v>71148</v>
      </c>
      <c r="M72" s="63">
        <f t="shared" si="11"/>
        <v>144519.375</v>
      </c>
      <c r="N72" s="63">
        <f t="shared" si="12"/>
        <v>315112.61580140609</v>
      </c>
      <c r="O72" s="78">
        <f t="shared" si="13"/>
        <v>1</v>
      </c>
      <c r="P72" t="b">
        <f t="shared" si="15"/>
        <v>1</v>
      </c>
    </row>
    <row r="73" spans="3:16" x14ac:dyDescent="0.25">
      <c r="C73" s="10">
        <v>33</v>
      </c>
      <c r="D73" s="10" t="str">
        <f t="shared" si="16"/>
        <v>VVVF</v>
      </c>
      <c r="E73" s="11">
        <f t="shared" ref="E73:E104" si="17">IF(Speed&lt;E$12,0,IF(Speed&lt;=E$20,1,IF(Speed&lt;=E$26,2,3)))</f>
        <v>0</v>
      </c>
      <c r="F73" s="11">
        <f t="shared" ref="F73:F104" si="18">IF(Speed&lt;F$12,0,IF(Speed&lt;=F$20,1,IF(Speed&lt;=F$31,2,3)))</f>
        <v>0</v>
      </c>
      <c r="G73" s="12">
        <f t="shared" ref="G73:G104" si="19">IF(E73=0,E$16,IF(E73&lt;3,E$16+(E$22-E$16)*(Speed-E$12)/(E$26-E$12),E$22*E$26/Speed))*$O73+NoLoadCurrent</f>
        <v>89.237583983312859</v>
      </c>
      <c r="H73" s="12">
        <f t="shared" ref="H73:H104" si="20">IF(F73=0,F$16,IF(F73=1,F$16*Speed/F$12,IF(F73=2,F$32,I73)))*$O73+NoLoadCurrent</f>
        <v>157.87044347526526</v>
      </c>
      <c r="I73" s="59">
        <f t="shared" ref="I73:I104" si="21">F$22*F$26/Speed</f>
        <v>303.18301076499807</v>
      </c>
      <c r="J73" s="12">
        <f t="shared" ref="J73:J104" si="22">IF(Speed&lt;F$20,$F$15,$F$15*F$20/Speed)*$O73</f>
        <v>39.467610868816315</v>
      </c>
      <c r="K73" s="50">
        <f t="shared" ref="K73:K104" si="23">IF(E73&lt;3,E$11,(E$11*E$26/Speed)*(E$26^(F$30-1)/Speed^(F$30-1)))*$O73</f>
        <v>40217</v>
      </c>
      <c r="L73" s="50">
        <f t="shared" si="14"/>
        <v>71148</v>
      </c>
      <c r="M73" s="63">
        <f t="shared" ref="M73:M104" si="24">F$11*F$20/Speed</f>
        <v>140140</v>
      </c>
      <c r="N73" s="63">
        <f t="shared" ref="N73:N104" si="25">(F$11*F$26/Speed)*(F$26^(F$30-1)/Speed^(F$30-1))</f>
        <v>295393.86523111851</v>
      </c>
      <c r="O73" s="78">
        <f t="shared" ref="O73:O104" si="26">1-IF(Speed&lt;F$14,(F$14-Speed)/F$14,0)</f>
        <v>1</v>
      </c>
      <c r="P73" t="b">
        <f t="shared" si="15"/>
        <v>1</v>
      </c>
    </row>
    <row r="74" spans="3:16" x14ac:dyDescent="0.25">
      <c r="C74" s="10">
        <v>34</v>
      </c>
      <c r="D74" s="10" t="str">
        <f t="shared" si="16"/>
        <v>VVVF</v>
      </c>
      <c r="E74" s="11">
        <f t="shared" si="17"/>
        <v>0</v>
      </c>
      <c r="F74" s="11">
        <f t="shared" si="18"/>
        <v>0</v>
      </c>
      <c r="G74" s="12">
        <f t="shared" si="19"/>
        <v>89.237583983312859</v>
      </c>
      <c r="H74" s="12">
        <f t="shared" si="20"/>
        <v>157.87044347526526</v>
      </c>
      <c r="I74" s="59">
        <f t="shared" si="21"/>
        <v>294.26586338955696</v>
      </c>
      <c r="J74" s="12">
        <f t="shared" si="22"/>
        <v>39.467610868816315</v>
      </c>
      <c r="K74" s="50">
        <f t="shared" si="23"/>
        <v>40217</v>
      </c>
      <c r="L74" s="50">
        <f t="shared" si="14"/>
        <v>71148</v>
      </c>
      <c r="M74" s="63">
        <f t="shared" si="24"/>
        <v>136018.23529411765</v>
      </c>
      <c r="N74" s="63">
        <f t="shared" si="25"/>
        <v>277443.79707202979</v>
      </c>
      <c r="O74" s="78">
        <f t="shared" si="26"/>
        <v>1</v>
      </c>
      <c r="P74" t="b">
        <f t="shared" si="15"/>
        <v>1</v>
      </c>
    </row>
    <row r="75" spans="3:16" x14ac:dyDescent="0.25">
      <c r="C75" s="10">
        <v>35</v>
      </c>
      <c r="D75" s="10" t="str">
        <f t="shared" si="16"/>
        <v>VVVF</v>
      </c>
      <c r="E75" s="11">
        <f t="shared" si="17"/>
        <v>0</v>
      </c>
      <c r="F75" s="11">
        <f t="shared" si="18"/>
        <v>0</v>
      </c>
      <c r="G75" s="12">
        <f t="shared" si="19"/>
        <v>89.237583983312859</v>
      </c>
      <c r="H75" s="12">
        <f t="shared" si="20"/>
        <v>157.87044347526526</v>
      </c>
      <c r="I75" s="59">
        <f t="shared" si="21"/>
        <v>285.85826729271247</v>
      </c>
      <c r="J75" s="12">
        <f t="shared" si="22"/>
        <v>39.467610868816315</v>
      </c>
      <c r="K75" s="50">
        <f t="shared" si="23"/>
        <v>40217</v>
      </c>
      <c r="L75" s="50">
        <f t="shared" si="14"/>
        <v>71148</v>
      </c>
      <c r="M75" s="63">
        <f t="shared" si="24"/>
        <v>132132</v>
      </c>
      <c r="N75" s="63">
        <f t="shared" si="25"/>
        <v>261058.50836111011</v>
      </c>
      <c r="O75" s="78">
        <f t="shared" si="26"/>
        <v>1</v>
      </c>
      <c r="P75" t="b">
        <f t="shared" si="15"/>
        <v>1</v>
      </c>
    </row>
    <row r="76" spans="3:16" x14ac:dyDescent="0.25">
      <c r="C76" s="10">
        <v>36</v>
      </c>
      <c r="D76" s="10" t="str">
        <f t="shared" si="16"/>
        <v>VVVF</v>
      </c>
      <c r="E76" s="11">
        <f t="shared" si="17"/>
        <v>0</v>
      </c>
      <c r="F76" s="11">
        <f t="shared" si="18"/>
        <v>0</v>
      </c>
      <c r="G76" s="12">
        <f t="shared" si="19"/>
        <v>89.237583983312859</v>
      </c>
      <c r="H76" s="12">
        <f t="shared" si="20"/>
        <v>157.87044347526526</v>
      </c>
      <c r="I76" s="59">
        <f t="shared" si="21"/>
        <v>277.91775986791492</v>
      </c>
      <c r="J76" s="12">
        <f t="shared" si="22"/>
        <v>39.467610868816315</v>
      </c>
      <c r="K76" s="50">
        <f t="shared" si="23"/>
        <v>40217</v>
      </c>
      <c r="L76" s="50">
        <f t="shared" si="14"/>
        <v>71148</v>
      </c>
      <c r="M76" s="63">
        <f t="shared" si="24"/>
        <v>128461.66666666667</v>
      </c>
      <c r="N76" s="63">
        <f t="shared" si="25"/>
        <v>246062.53489960832</v>
      </c>
      <c r="O76" s="78">
        <f t="shared" si="26"/>
        <v>1</v>
      </c>
      <c r="P76" t="b">
        <f t="shared" si="15"/>
        <v>1</v>
      </c>
    </row>
    <row r="77" spans="3:16" x14ac:dyDescent="0.25">
      <c r="C77" s="10">
        <v>37</v>
      </c>
      <c r="D77" s="10" t="str">
        <f t="shared" si="16"/>
        <v>VVVF</v>
      </c>
      <c r="E77" s="11">
        <f t="shared" si="17"/>
        <v>0</v>
      </c>
      <c r="F77" s="11">
        <f t="shared" si="18"/>
        <v>0</v>
      </c>
      <c r="G77" s="12">
        <f t="shared" si="19"/>
        <v>89.237583983312859</v>
      </c>
      <c r="H77" s="12">
        <f t="shared" si="20"/>
        <v>157.87044347526526</v>
      </c>
      <c r="I77" s="59">
        <f t="shared" si="21"/>
        <v>270.40646906067394</v>
      </c>
      <c r="J77" s="12">
        <f t="shared" si="22"/>
        <v>39.467610868816315</v>
      </c>
      <c r="K77" s="50">
        <f t="shared" si="23"/>
        <v>40217</v>
      </c>
      <c r="L77" s="50">
        <f t="shared" si="14"/>
        <v>71148</v>
      </c>
      <c r="M77" s="63">
        <f t="shared" si="24"/>
        <v>124989.72972972973</v>
      </c>
      <c r="N77" s="63">
        <f t="shared" si="25"/>
        <v>232304.2336979103</v>
      </c>
      <c r="O77" s="78">
        <f t="shared" si="26"/>
        <v>1</v>
      </c>
      <c r="P77" t="b">
        <f t="shared" si="15"/>
        <v>1</v>
      </c>
    </row>
    <row r="78" spans="3:16" x14ac:dyDescent="0.25">
      <c r="C78" s="10">
        <v>38</v>
      </c>
      <c r="D78" s="10" t="str">
        <f t="shared" si="16"/>
        <v>VVVF</v>
      </c>
      <c r="E78" s="11">
        <f t="shared" si="17"/>
        <v>0</v>
      </c>
      <c r="F78" s="11">
        <f t="shared" si="18"/>
        <v>0</v>
      </c>
      <c r="G78" s="12">
        <f t="shared" si="19"/>
        <v>89.237583983312859</v>
      </c>
      <c r="H78" s="12">
        <f t="shared" si="20"/>
        <v>157.87044347526526</v>
      </c>
      <c r="I78" s="59">
        <f t="shared" si="21"/>
        <v>263.29050934855098</v>
      </c>
      <c r="J78" s="12">
        <f t="shared" si="22"/>
        <v>39.467610868816315</v>
      </c>
      <c r="K78" s="50">
        <f t="shared" si="23"/>
        <v>40217</v>
      </c>
      <c r="L78" s="50">
        <f t="shared" si="14"/>
        <v>71148</v>
      </c>
      <c r="M78" s="63">
        <f t="shared" si="24"/>
        <v>121700.52631578948</v>
      </c>
      <c r="N78" s="63">
        <f t="shared" si="25"/>
        <v>219652.01539615111</v>
      </c>
      <c r="O78" s="78">
        <f t="shared" si="26"/>
        <v>1</v>
      </c>
      <c r="P78" t="b">
        <f t="shared" si="15"/>
        <v>1</v>
      </c>
    </row>
    <row r="79" spans="3:16" x14ac:dyDescent="0.25">
      <c r="C79" s="10">
        <v>39</v>
      </c>
      <c r="D79" s="10" t="str">
        <f t="shared" si="16"/>
        <v>VVVF</v>
      </c>
      <c r="E79" s="11">
        <f t="shared" si="17"/>
        <v>0</v>
      </c>
      <c r="F79" s="11">
        <f t="shared" si="18"/>
        <v>0</v>
      </c>
      <c r="G79" s="12">
        <f t="shared" si="19"/>
        <v>89.237583983312859</v>
      </c>
      <c r="H79" s="12">
        <f t="shared" si="20"/>
        <v>157.87044347526526</v>
      </c>
      <c r="I79" s="59">
        <f t="shared" si="21"/>
        <v>256.53947064730608</v>
      </c>
      <c r="J79" s="12">
        <f t="shared" si="22"/>
        <v>39.467610868816315</v>
      </c>
      <c r="K79" s="50">
        <f t="shared" si="23"/>
        <v>40217</v>
      </c>
      <c r="L79" s="50">
        <f t="shared" si="14"/>
        <v>71148</v>
      </c>
      <c r="M79" s="63">
        <f t="shared" si="24"/>
        <v>118580</v>
      </c>
      <c r="N79" s="63">
        <f t="shared" si="25"/>
        <v>207991.25268579935</v>
      </c>
      <c r="O79" s="78">
        <f t="shared" si="26"/>
        <v>1</v>
      </c>
      <c r="P79" t="b">
        <f t="shared" si="15"/>
        <v>1</v>
      </c>
    </row>
    <row r="80" spans="3:16" x14ac:dyDescent="0.25">
      <c r="C80" s="10">
        <v>40</v>
      </c>
      <c r="D80" s="10" t="str">
        <f t="shared" si="16"/>
        <v>VVVF</v>
      </c>
      <c r="E80" s="11">
        <f t="shared" si="17"/>
        <v>0</v>
      </c>
      <c r="F80" s="11">
        <f t="shared" si="18"/>
        <v>0</v>
      </c>
      <c r="G80" s="12">
        <f t="shared" si="19"/>
        <v>89.237583983312859</v>
      </c>
      <c r="H80" s="12">
        <f t="shared" si="20"/>
        <v>157.87044347526526</v>
      </c>
      <c r="I80" s="59">
        <f t="shared" si="21"/>
        <v>250.12598388112343</v>
      </c>
      <c r="J80" s="12">
        <f t="shared" si="22"/>
        <v>39.467610868816315</v>
      </c>
      <c r="K80" s="50">
        <f t="shared" si="23"/>
        <v>40217</v>
      </c>
      <c r="L80" s="50">
        <f t="shared" si="14"/>
        <v>71148</v>
      </c>
      <c r="M80" s="63">
        <f t="shared" si="24"/>
        <v>115615.5</v>
      </c>
      <c r="N80" s="63">
        <f t="shared" si="25"/>
        <v>197221.72977502289</v>
      </c>
      <c r="O80" s="78">
        <f t="shared" si="26"/>
        <v>1</v>
      </c>
      <c r="P80" t="b">
        <f t="shared" si="15"/>
        <v>1</v>
      </c>
    </row>
    <row r="81" spans="3:16" x14ac:dyDescent="0.25">
      <c r="C81" s="10">
        <v>41</v>
      </c>
      <c r="D81" s="10" t="str">
        <f t="shared" si="16"/>
        <v>VVVF</v>
      </c>
      <c r="E81" s="11">
        <f t="shared" si="17"/>
        <v>0</v>
      </c>
      <c r="F81" s="11">
        <f t="shared" si="18"/>
        <v>0</v>
      </c>
      <c r="G81" s="12">
        <f t="shared" si="19"/>
        <v>89.237583983312859</v>
      </c>
      <c r="H81" s="12">
        <f t="shared" si="20"/>
        <v>157.87044347526526</v>
      </c>
      <c r="I81" s="59">
        <f t="shared" si="21"/>
        <v>244.02535012792529</v>
      </c>
      <c r="J81" s="12">
        <f t="shared" si="22"/>
        <v>39.467610868816315</v>
      </c>
      <c r="K81" s="50">
        <f t="shared" si="23"/>
        <v>40217</v>
      </c>
      <c r="L81" s="50">
        <f t="shared" si="14"/>
        <v>71148</v>
      </c>
      <c r="M81" s="63">
        <f t="shared" si="24"/>
        <v>112795.60975609756</v>
      </c>
      <c r="N81" s="63">
        <f t="shared" si="25"/>
        <v>187255.5274801951</v>
      </c>
      <c r="O81" s="78">
        <f t="shared" si="26"/>
        <v>1</v>
      </c>
      <c r="P81" t="b">
        <f t="shared" si="15"/>
        <v>1</v>
      </c>
    </row>
    <row r="82" spans="3:16" x14ac:dyDescent="0.25">
      <c r="C82" s="10">
        <v>42</v>
      </c>
      <c r="D82" s="10" t="str">
        <f t="shared" si="16"/>
        <v>VVVF</v>
      </c>
      <c r="E82" s="11">
        <f t="shared" si="17"/>
        <v>0</v>
      </c>
      <c r="F82" s="11">
        <f t="shared" si="18"/>
        <v>0</v>
      </c>
      <c r="G82" s="12">
        <f t="shared" si="19"/>
        <v>89.237583983312859</v>
      </c>
      <c r="H82" s="12">
        <f t="shared" si="20"/>
        <v>157.87044347526526</v>
      </c>
      <c r="I82" s="59">
        <f t="shared" si="21"/>
        <v>238.21522274392706</v>
      </c>
      <c r="J82" s="12">
        <f t="shared" si="22"/>
        <v>39.467610868816315</v>
      </c>
      <c r="K82" s="50">
        <f t="shared" si="23"/>
        <v>40217</v>
      </c>
      <c r="L82" s="50">
        <f t="shared" si="14"/>
        <v>71148</v>
      </c>
      <c r="M82" s="63">
        <f t="shared" si="24"/>
        <v>110110</v>
      </c>
      <c r="N82" s="63">
        <f t="shared" si="25"/>
        <v>178015.2610582058</v>
      </c>
      <c r="O82" s="78">
        <f t="shared" si="26"/>
        <v>1</v>
      </c>
      <c r="P82" t="b">
        <f t="shared" si="15"/>
        <v>1</v>
      </c>
    </row>
    <row r="83" spans="3:16" x14ac:dyDescent="0.25">
      <c r="C83" s="10">
        <v>43</v>
      </c>
      <c r="D83" s="10" t="str">
        <f t="shared" si="16"/>
        <v>VVVF</v>
      </c>
      <c r="E83" s="11">
        <f t="shared" si="17"/>
        <v>0</v>
      </c>
      <c r="F83" s="11">
        <f t="shared" si="18"/>
        <v>0</v>
      </c>
      <c r="G83" s="12">
        <f t="shared" si="19"/>
        <v>89.237583983312859</v>
      </c>
      <c r="H83" s="12">
        <f t="shared" si="20"/>
        <v>157.87044347526526</v>
      </c>
      <c r="I83" s="59">
        <f t="shared" si="21"/>
        <v>232.6753338429055</v>
      </c>
      <c r="J83" s="12">
        <f t="shared" si="22"/>
        <v>39.467610868816315</v>
      </c>
      <c r="K83" s="50">
        <f t="shared" si="23"/>
        <v>40217</v>
      </c>
      <c r="L83" s="50">
        <f t="shared" si="14"/>
        <v>71148</v>
      </c>
      <c r="M83" s="63">
        <f t="shared" si="24"/>
        <v>107549.30232558139</v>
      </c>
      <c r="N83" s="63">
        <f t="shared" si="25"/>
        <v>169432.60520410078</v>
      </c>
      <c r="O83" s="78">
        <f t="shared" si="26"/>
        <v>1</v>
      </c>
      <c r="P83" t="b">
        <f t="shared" si="15"/>
        <v>1</v>
      </c>
    </row>
    <row r="84" spans="3:16" x14ac:dyDescent="0.25">
      <c r="C84" s="10">
        <v>44</v>
      </c>
      <c r="D84" s="10" t="str">
        <f t="shared" si="16"/>
        <v>VVVF</v>
      </c>
      <c r="E84" s="11">
        <f t="shared" si="17"/>
        <v>0</v>
      </c>
      <c r="F84" s="11">
        <f t="shared" si="18"/>
        <v>0</v>
      </c>
      <c r="G84" s="12">
        <f t="shared" si="19"/>
        <v>89.237583983312859</v>
      </c>
      <c r="H84" s="12">
        <f t="shared" si="20"/>
        <v>157.87044347526526</v>
      </c>
      <c r="I84" s="59">
        <f t="shared" si="21"/>
        <v>227.38725807374857</v>
      </c>
      <c r="J84" s="12">
        <f t="shared" si="22"/>
        <v>39.467610868816315</v>
      </c>
      <c r="K84" s="50">
        <f t="shared" si="23"/>
        <v>40217</v>
      </c>
      <c r="L84" s="50">
        <f t="shared" si="14"/>
        <v>71148</v>
      </c>
      <c r="M84" s="63">
        <f t="shared" si="24"/>
        <v>105105</v>
      </c>
      <c r="N84" s="63">
        <f t="shared" si="25"/>
        <v>161447.05402635678</v>
      </c>
      <c r="O84" s="78">
        <f t="shared" si="26"/>
        <v>1</v>
      </c>
      <c r="P84" t="b">
        <f t="shared" si="15"/>
        <v>1</v>
      </c>
    </row>
    <row r="85" spans="3:16" x14ac:dyDescent="0.25">
      <c r="C85" s="10">
        <v>45</v>
      </c>
      <c r="D85" s="10" t="str">
        <f t="shared" si="16"/>
        <v>VVVF</v>
      </c>
      <c r="E85" s="11">
        <f t="shared" si="17"/>
        <v>0</v>
      </c>
      <c r="F85" s="11">
        <f t="shared" si="18"/>
        <v>0</v>
      </c>
      <c r="G85" s="12">
        <f t="shared" si="19"/>
        <v>89.237583983312859</v>
      </c>
      <c r="H85" s="12">
        <f t="shared" si="20"/>
        <v>157.87044347526526</v>
      </c>
      <c r="I85" s="59">
        <f t="shared" si="21"/>
        <v>222.33420789433194</v>
      </c>
      <c r="J85" s="12">
        <f t="shared" si="22"/>
        <v>39.467610868816315</v>
      </c>
      <c r="K85" s="50">
        <f t="shared" si="23"/>
        <v>40217</v>
      </c>
      <c r="L85" s="50">
        <f t="shared" si="14"/>
        <v>71148</v>
      </c>
      <c r="M85" s="63">
        <f t="shared" si="24"/>
        <v>102769.33333333333</v>
      </c>
      <c r="N85" s="63">
        <f t="shared" si="25"/>
        <v>154004.87423300149</v>
      </c>
      <c r="O85" s="78">
        <f t="shared" si="26"/>
        <v>1</v>
      </c>
      <c r="P85" t="b">
        <f t="shared" si="15"/>
        <v>1</v>
      </c>
    </row>
    <row r="86" spans="3:16" x14ac:dyDescent="0.25">
      <c r="C86" s="10">
        <v>46</v>
      </c>
      <c r="D86" s="10" t="str">
        <f t="shared" si="16"/>
        <v>VVVF</v>
      </c>
      <c r="E86" s="11">
        <f t="shared" si="17"/>
        <v>0</v>
      </c>
      <c r="F86" s="11">
        <f t="shared" si="18"/>
        <v>0</v>
      </c>
      <c r="G86" s="12">
        <f t="shared" si="19"/>
        <v>89.237583983312859</v>
      </c>
      <c r="H86" s="12">
        <f t="shared" si="20"/>
        <v>157.87044347526526</v>
      </c>
      <c r="I86" s="59">
        <f t="shared" si="21"/>
        <v>217.50085554880297</v>
      </c>
      <c r="J86" s="12">
        <f t="shared" si="22"/>
        <v>39.467610868816315</v>
      </c>
      <c r="K86" s="50">
        <f t="shared" si="23"/>
        <v>40217</v>
      </c>
      <c r="L86" s="50">
        <f t="shared" si="14"/>
        <v>71148</v>
      </c>
      <c r="M86" s="63">
        <f t="shared" si="24"/>
        <v>100535.21739130435</v>
      </c>
      <c r="N86" s="63">
        <f t="shared" si="25"/>
        <v>147058.21792284894</v>
      </c>
      <c r="O86" s="78">
        <f t="shared" si="26"/>
        <v>1</v>
      </c>
      <c r="P86" t="b">
        <f t="shared" si="15"/>
        <v>1</v>
      </c>
    </row>
    <row r="87" spans="3:16" x14ac:dyDescent="0.25">
      <c r="C87" s="10">
        <v>47</v>
      </c>
      <c r="D87" s="10" t="str">
        <f t="shared" si="16"/>
        <v>VVVF</v>
      </c>
      <c r="E87" s="11">
        <f t="shared" si="17"/>
        <v>0</v>
      </c>
      <c r="F87" s="11">
        <f t="shared" si="18"/>
        <v>0</v>
      </c>
      <c r="G87" s="12">
        <f t="shared" si="19"/>
        <v>89.237583983312859</v>
      </c>
      <c r="H87" s="12">
        <f t="shared" si="20"/>
        <v>157.87044347526526</v>
      </c>
      <c r="I87" s="59">
        <f t="shared" si="21"/>
        <v>212.87317777116886</v>
      </c>
      <c r="J87" s="12">
        <f t="shared" si="22"/>
        <v>39.467610868816315</v>
      </c>
      <c r="K87" s="50">
        <f t="shared" si="23"/>
        <v>40217</v>
      </c>
      <c r="L87" s="50">
        <f t="shared" si="14"/>
        <v>71148</v>
      </c>
      <c r="M87" s="63">
        <f t="shared" si="24"/>
        <v>98396.170212765952</v>
      </c>
      <c r="N87" s="63">
        <f t="shared" si="25"/>
        <v>140564.36780457792</v>
      </c>
      <c r="O87" s="78">
        <f t="shared" si="26"/>
        <v>1</v>
      </c>
      <c r="P87" t="b">
        <f t="shared" si="15"/>
        <v>1</v>
      </c>
    </row>
    <row r="88" spans="3:16" x14ac:dyDescent="0.25">
      <c r="C88" s="10">
        <v>48</v>
      </c>
      <c r="D88" s="10" t="str">
        <f t="shared" si="16"/>
        <v>VVVF</v>
      </c>
      <c r="E88" s="11">
        <f t="shared" si="17"/>
        <v>0</v>
      </c>
      <c r="F88" s="11">
        <f t="shared" si="18"/>
        <v>0</v>
      </c>
      <c r="G88" s="12">
        <f t="shared" si="19"/>
        <v>89.237583983312859</v>
      </c>
      <c r="H88" s="12">
        <f t="shared" si="20"/>
        <v>157.87044347526526</v>
      </c>
      <c r="I88" s="59">
        <f t="shared" si="21"/>
        <v>208.43831990093619</v>
      </c>
      <c r="J88" s="12">
        <f t="shared" si="22"/>
        <v>39.467610868816315</v>
      </c>
      <c r="K88" s="50">
        <f t="shared" si="23"/>
        <v>40217</v>
      </c>
      <c r="L88" s="50">
        <f t="shared" si="14"/>
        <v>71148</v>
      </c>
      <c r="M88" s="63">
        <f t="shared" si="24"/>
        <v>96346.25</v>
      </c>
      <c r="N88" s="63">
        <f t="shared" si="25"/>
        <v>134485.09275816314</v>
      </c>
      <c r="O88" s="78">
        <f t="shared" si="26"/>
        <v>1</v>
      </c>
      <c r="P88" t="b">
        <f t="shared" si="15"/>
        <v>1</v>
      </c>
    </row>
    <row r="89" spans="3:16" x14ac:dyDescent="0.25">
      <c r="C89" s="10">
        <v>49</v>
      </c>
      <c r="D89" s="10" t="str">
        <f t="shared" si="16"/>
        <v>VVVF</v>
      </c>
      <c r="E89" s="11">
        <f t="shared" si="17"/>
        <v>0</v>
      </c>
      <c r="F89" s="11">
        <f t="shared" si="18"/>
        <v>0</v>
      </c>
      <c r="G89" s="12">
        <f t="shared" si="19"/>
        <v>89.237583983312859</v>
      </c>
      <c r="H89" s="12">
        <f t="shared" si="20"/>
        <v>157.87044347526526</v>
      </c>
      <c r="I89" s="59">
        <f t="shared" si="21"/>
        <v>204.18447663765178</v>
      </c>
      <c r="J89" s="12">
        <f t="shared" si="22"/>
        <v>39.467610868816315</v>
      </c>
      <c r="K89" s="50">
        <f t="shared" si="23"/>
        <v>40217</v>
      </c>
      <c r="L89" s="50">
        <f t="shared" si="14"/>
        <v>71148</v>
      </c>
      <c r="M89" s="63">
        <f t="shared" si="24"/>
        <v>94380</v>
      </c>
      <c r="N89" s="63">
        <f t="shared" si="25"/>
        <v>128786.09570754129</v>
      </c>
      <c r="O89" s="78">
        <f t="shared" si="26"/>
        <v>1</v>
      </c>
      <c r="P89" t="b">
        <f t="shared" si="15"/>
        <v>1</v>
      </c>
    </row>
    <row r="90" spans="3:16" x14ac:dyDescent="0.25">
      <c r="C90" s="10">
        <v>50</v>
      </c>
      <c r="D90" s="10" t="str">
        <f t="shared" si="16"/>
        <v>CVVF1</v>
      </c>
      <c r="E90" s="11">
        <f t="shared" si="17"/>
        <v>0</v>
      </c>
      <c r="F90" s="11">
        <f t="shared" si="18"/>
        <v>1</v>
      </c>
      <c r="G90" s="12">
        <f t="shared" si="19"/>
        <v>89.237583983312859</v>
      </c>
      <c r="H90" s="12">
        <f t="shared" si="20"/>
        <v>157.87044347526526</v>
      </c>
      <c r="I90" s="59">
        <f t="shared" si="21"/>
        <v>200.10078710489873</v>
      </c>
      <c r="J90" s="12">
        <f t="shared" si="22"/>
        <v>39.467610868816315</v>
      </c>
      <c r="K90" s="50">
        <f t="shared" si="23"/>
        <v>40217</v>
      </c>
      <c r="L90" s="50">
        <f t="shared" si="14"/>
        <v>71148</v>
      </c>
      <c r="M90" s="63">
        <f t="shared" si="24"/>
        <v>92492.4</v>
      </c>
      <c r="N90" s="63">
        <f t="shared" si="25"/>
        <v>123436.5390180566</v>
      </c>
      <c r="O90" s="78">
        <f t="shared" si="26"/>
        <v>1</v>
      </c>
      <c r="P90" t="b">
        <f t="shared" si="15"/>
        <v>1</v>
      </c>
    </row>
    <row r="91" spans="3:16" x14ac:dyDescent="0.25">
      <c r="C91" s="10">
        <v>51</v>
      </c>
      <c r="D91" s="10" t="str">
        <f t="shared" si="16"/>
        <v>CVVF1</v>
      </c>
      <c r="E91" s="11">
        <f t="shared" si="17"/>
        <v>0</v>
      </c>
      <c r="F91" s="11">
        <f t="shared" si="18"/>
        <v>1</v>
      </c>
      <c r="G91" s="12">
        <f t="shared" si="19"/>
        <v>89.237583983312859</v>
      </c>
      <c r="H91" s="12">
        <f t="shared" si="20"/>
        <v>160.23850012739425</v>
      </c>
      <c r="I91" s="59">
        <f t="shared" si="21"/>
        <v>196.17724225970466</v>
      </c>
      <c r="J91" s="12">
        <f t="shared" si="22"/>
        <v>39.467610868816315</v>
      </c>
      <c r="K91" s="50">
        <f t="shared" si="23"/>
        <v>40217</v>
      </c>
      <c r="L91" s="50">
        <f t="shared" si="14"/>
        <v>71148</v>
      </c>
      <c r="M91" s="63">
        <f t="shared" si="24"/>
        <v>90678.823529411762</v>
      </c>
      <c r="N91" s="63">
        <f t="shared" si="25"/>
        <v>118408.63524145336</v>
      </c>
      <c r="O91" s="78">
        <f t="shared" si="26"/>
        <v>1</v>
      </c>
      <c r="P91" t="b">
        <f t="shared" si="15"/>
        <v>1</v>
      </c>
    </row>
    <row r="92" spans="3:16" x14ac:dyDescent="0.25">
      <c r="C92" s="10">
        <v>52</v>
      </c>
      <c r="D92" s="10" t="str">
        <f t="shared" si="16"/>
        <v>CVVF1</v>
      </c>
      <c r="E92" s="11">
        <f t="shared" si="17"/>
        <v>0</v>
      </c>
      <c r="F92" s="11">
        <f t="shared" si="18"/>
        <v>1</v>
      </c>
      <c r="G92" s="12">
        <f t="shared" si="19"/>
        <v>89.237583983312859</v>
      </c>
      <c r="H92" s="12">
        <f t="shared" si="20"/>
        <v>162.60655677952323</v>
      </c>
      <c r="I92" s="59">
        <f t="shared" si="21"/>
        <v>192.40460298547956</v>
      </c>
      <c r="J92" s="12">
        <f t="shared" si="22"/>
        <v>39.467610868816315</v>
      </c>
      <c r="K92" s="50">
        <f t="shared" si="23"/>
        <v>40217</v>
      </c>
      <c r="L92" s="50">
        <f t="shared" si="14"/>
        <v>71148</v>
      </c>
      <c r="M92" s="63">
        <f t="shared" si="24"/>
        <v>88935</v>
      </c>
      <c r="N92" s="63">
        <f t="shared" si="25"/>
        <v>113677.29313911418</v>
      </c>
      <c r="O92" s="78">
        <f t="shared" si="26"/>
        <v>1</v>
      </c>
      <c r="P92" t="b">
        <f t="shared" si="15"/>
        <v>1</v>
      </c>
    </row>
    <row r="93" spans="3:16" x14ac:dyDescent="0.25">
      <c r="C93" s="10">
        <v>53</v>
      </c>
      <c r="D93" s="10" t="str">
        <f t="shared" si="16"/>
        <v>CVVF1</v>
      </c>
      <c r="E93" s="11">
        <f t="shared" si="17"/>
        <v>0</v>
      </c>
      <c r="F93" s="11">
        <f t="shared" si="18"/>
        <v>1</v>
      </c>
      <c r="G93" s="12">
        <f t="shared" si="19"/>
        <v>89.237583983312859</v>
      </c>
      <c r="H93" s="12">
        <f t="shared" si="20"/>
        <v>164.97461343165222</v>
      </c>
      <c r="I93" s="59">
        <f t="shared" si="21"/>
        <v>188.77432745745165</v>
      </c>
      <c r="J93" s="12">
        <f t="shared" si="22"/>
        <v>39.467610868816315</v>
      </c>
      <c r="K93" s="50">
        <f t="shared" si="23"/>
        <v>40217</v>
      </c>
      <c r="L93" s="50">
        <f t="shared" si="14"/>
        <v>71148</v>
      </c>
      <c r="M93" s="63">
        <f t="shared" si="24"/>
        <v>87256.981132075467</v>
      </c>
      <c r="N93" s="63">
        <f t="shared" si="25"/>
        <v>109219.81062476442</v>
      </c>
      <c r="O93" s="78">
        <f t="shared" si="26"/>
        <v>1</v>
      </c>
      <c r="P93" t="b">
        <f t="shared" si="15"/>
        <v>1</v>
      </c>
    </row>
    <row r="94" spans="3:16" x14ac:dyDescent="0.25">
      <c r="C94" s="10">
        <v>54</v>
      </c>
      <c r="D94" s="10" t="str">
        <f t="shared" si="16"/>
        <v>CVVF1</v>
      </c>
      <c r="E94" s="11">
        <f t="shared" si="17"/>
        <v>0</v>
      </c>
      <c r="F94" s="11">
        <f t="shared" si="18"/>
        <v>1</v>
      </c>
      <c r="G94" s="12">
        <f t="shared" si="19"/>
        <v>89.237583983312859</v>
      </c>
      <c r="H94" s="12">
        <f t="shared" si="20"/>
        <v>167.3426700837812</v>
      </c>
      <c r="I94" s="59">
        <f t="shared" si="21"/>
        <v>185.27850657860995</v>
      </c>
      <c r="J94" s="12">
        <f t="shared" si="22"/>
        <v>39.467610868816315</v>
      </c>
      <c r="K94" s="50">
        <f t="shared" si="23"/>
        <v>40217</v>
      </c>
      <c r="L94" s="50">
        <f t="shared" si="14"/>
        <v>71148</v>
      </c>
      <c r="M94" s="63">
        <f t="shared" si="24"/>
        <v>85641.111111111109</v>
      </c>
      <c r="N94" s="63">
        <f t="shared" si="25"/>
        <v>105015.6076617956</v>
      </c>
      <c r="O94" s="78">
        <f t="shared" si="26"/>
        <v>1</v>
      </c>
      <c r="P94" t="b">
        <f t="shared" si="15"/>
        <v>1</v>
      </c>
    </row>
    <row r="95" spans="3:16" x14ac:dyDescent="0.25">
      <c r="C95" s="10">
        <v>55</v>
      </c>
      <c r="D95" s="10" t="str">
        <f t="shared" si="16"/>
        <v>CVVF1</v>
      </c>
      <c r="E95" s="11">
        <f t="shared" si="17"/>
        <v>0</v>
      </c>
      <c r="F95" s="11">
        <f t="shared" si="18"/>
        <v>1</v>
      </c>
      <c r="G95" s="12">
        <f t="shared" si="19"/>
        <v>89.237583983312859</v>
      </c>
      <c r="H95" s="12">
        <f t="shared" si="20"/>
        <v>169.71072673591016</v>
      </c>
      <c r="I95" s="59">
        <f t="shared" si="21"/>
        <v>181.90980645899884</v>
      </c>
      <c r="J95" s="12">
        <f t="shared" si="22"/>
        <v>39.467610868816315</v>
      </c>
      <c r="K95" s="50">
        <f t="shared" si="23"/>
        <v>40217</v>
      </c>
      <c r="L95" s="50">
        <f t="shared" si="14"/>
        <v>71148</v>
      </c>
      <c r="M95" s="63">
        <f t="shared" si="24"/>
        <v>84084</v>
      </c>
      <c r="N95" s="63">
        <f t="shared" si="25"/>
        <v>101045.99329094063</v>
      </c>
      <c r="O95" s="78">
        <f t="shared" si="26"/>
        <v>1</v>
      </c>
      <c r="P95" t="b">
        <f t="shared" si="15"/>
        <v>1</v>
      </c>
    </row>
    <row r="96" spans="3:16" x14ac:dyDescent="0.25">
      <c r="C96" s="10">
        <v>56</v>
      </c>
      <c r="D96" s="10" t="str">
        <f t="shared" si="16"/>
        <v>CVVF1</v>
      </c>
      <c r="E96" s="11">
        <f t="shared" si="17"/>
        <v>0</v>
      </c>
      <c r="F96" s="11">
        <f t="shared" si="18"/>
        <v>1</v>
      </c>
      <c r="G96" s="12">
        <f t="shared" si="19"/>
        <v>89.237583983312859</v>
      </c>
      <c r="H96" s="12">
        <f t="shared" si="20"/>
        <v>172.07878338803911</v>
      </c>
      <c r="I96" s="59">
        <f t="shared" si="21"/>
        <v>178.6614170579453</v>
      </c>
      <c r="J96" s="12">
        <f t="shared" si="22"/>
        <v>39.467610868816315</v>
      </c>
      <c r="K96" s="50">
        <f t="shared" si="23"/>
        <v>40217</v>
      </c>
      <c r="L96" s="50">
        <f t="shared" si="14"/>
        <v>71148</v>
      </c>
      <c r="M96" s="63">
        <f t="shared" si="24"/>
        <v>82582.5</v>
      </c>
      <c r="N96" s="63">
        <f t="shared" si="25"/>
        <v>97293.96190098158</v>
      </c>
      <c r="O96" s="78">
        <f t="shared" si="26"/>
        <v>1</v>
      </c>
      <c r="P96" t="b">
        <f t="shared" si="15"/>
        <v>1</v>
      </c>
    </row>
    <row r="97" spans="3:16" x14ac:dyDescent="0.25">
      <c r="C97" s="10">
        <v>57</v>
      </c>
      <c r="D97" s="10" t="str">
        <f t="shared" si="16"/>
        <v>CVVF1</v>
      </c>
      <c r="E97" s="11">
        <f t="shared" si="17"/>
        <v>0</v>
      </c>
      <c r="F97" s="11">
        <f t="shared" si="18"/>
        <v>1</v>
      </c>
      <c r="G97" s="12">
        <f t="shared" si="19"/>
        <v>89.237583983312859</v>
      </c>
      <c r="H97" s="12">
        <f t="shared" si="20"/>
        <v>174.4468400401681</v>
      </c>
      <c r="I97" s="59">
        <f t="shared" si="21"/>
        <v>175.52700623236731</v>
      </c>
      <c r="J97" s="12">
        <f t="shared" si="22"/>
        <v>39.467610868816315</v>
      </c>
      <c r="K97" s="50">
        <f t="shared" si="23"/>
        <v>40217</v>
      </c>
      <c r="L97" s="50">
        <f t="shared" si="14"/>
        <v>71148</v>
      </c>
      <c r="M97" s="63">
        <f t="shared" si="24"/>
        <v>81133.68421052632</v>
      </c>
      <c r="N97" s="63">
        <f t="shared" si="25"/>
        <v>93744.014627728684</v>
      </c>
      <c r="O97" s="78">
        <f t="shared" si="26"/>
        <v>1</v>
      </c>
      <c r="P97" t="b">
        <f t="shared" si="15"/>
        <v>1</v>
      </c>
    </row>
    <row r="98" spans="3:16" x14ac:dyDescent="0.25">
      <c r="C98" s="10">
        <v>58</v>
      </c>
      <c r="D98" s="10" t="str">
        <f t="shared" si="16"/>
        <v>CVVF1</v>
      </c>
      <c r="E98" s="11">
        <f t="shared" si="17"/>
        <v>0</v>
      </c>
      <c r="F98" s="11">
        <f t="shared" si="18"/>
        <v>1</v>
      </c>
      <c r="G98" s="12">
        <f t="shared" si="19"/>
        <v>89.237583983312859</v>
      </c>
      <c r="H98" s="12">
        <f t="shared" si="20"/>
        <v>176.81489669229708</v>
      </c>
      <c r="I98" s="59">
        <f t="shared" si="21"/>
        <v>172.50067853870581</v>
      </c>
      <c r="J98" s="12">
        <f t="shared" si="22"/>
        <v>39.467610868816315</v>
      </c>
      <c r="K98" s="50">
        <f t="shared" si="23"/>
        <v>40217</v>
      </c>
      <c r="L98" s="50">
        <f t="shared" si="14"/>
        <v>71148</v>
      </c>
      <c r="M98" s="63">
        <f t="shared" si="24"/>
        <v>79734.827586206899</v>
      </c>
      <c r="N98" s="63">
        <f t="shared" si="25"/>
        <v>90382.002405854786</v>
      </c>
      <c r="O98" s="78">
        <f t="shared" si="26"/>
        <v>1</v>
      </c>
      <c r="P98" t="b">
        <f t="shared" si="15"/>
        <v>1</v>
      </c>
    </row>
    <row r="99" spans="3:16" x14ac:dyDescent="0.25">
      <c r="C99" s="10">
        <v>59</v>
      </c>
      <c r="D99" s="10" t="str">
        <f t="shared" si="16"/>
        <v>CVVF1</v>
      </c>
      <c r="E99" s="11">
        <f t="shared" si="17"/>
        <v>0</v>
      </c>
      <c r="F99" s="11">
        <f t="shared" si="18"/>
        <v>1</v>
      </c>
      <c r="G99" s="12">
        <f t="shared" si="19"/>
        <v>89.237583983312859</v>
      </c>
      <c r="H99" s="12">
        <f t="shared" si="20"/>
        <v>179.18295334442607</v>
      </c>
      <c r="I99" s="59">
        <f t="shared" si="21"/>
        <v>169.57693822449045</v>
      </c>
      <c r="J99" s="12">
        <f t="shared" si="22"/>
        <v>39.467610868816315</v>
      </c>
      <c r="K99" s="50">
        <f t="shared" si="23"/>
        <v>40217</v>
      </c>
      <c r="L99" s="50">
        <f t="shared" si="14"/>
        <v>71148</v>
      </c>
      <c r="M99" s="63">
        <f t="shared" si="24"/>
        <v>78383.389830508473</v>
      </c>
      <c r="N99" s="63">
        <f t="shared" si="25"/>
        <v>87194.987729103756</v>
      </c>
      <c r="O99" s="78">
        <f t="shared" si="26"/>
        <v>1</v>
      </c>
      <c r="P99" t="b">
        <f t="shared" si="15"/>
        <v>1</v>
      </c>
    </row>
    <row r="100" spans="3:16" x14ac:dyDescent="0.25">
      <c r="C100" s="10">
        <v>60</v>
      </c>
      <c r="D100" s="10" t="str">
        <f t="shared" si="16"/>
        <v>CVVF1</v>
      </c>
      <c r="E100" s="11">
        <f t="shared" si="17"/>
        <v>0</v>
      </c>
      <c r="F100" s="11">
        <f t="shared" si="18"/>
        <v>1</v>
      </c>
      <c r="G100" s="12">
        <f t="shared" si="19"/>
        <v>89.237583983312859</v>
      </c>
      <c r="H100" s="12">
        <f t="shared" si="20"/>
        <v>181.55100999655505</v>
      </c>
      <c r="I100" s="59">
        <f t="shared" si="21"/>
        <v>166.75065592074895</v>
      </c>
      <c r="J100" s="12">
        <f t="shared" si="22"/>
        <v>39.467610868816315</v>
      </c>
      <c r="K100" s="50">
        <f t="shared" si="23"/>
        <v>40217</v>
      </c>
      <c r="L100" s="50">
        <f t="shared" si="14"/>
        <v>71148</v>
      </c>
      <c r="M100" s="63">
        <f t="shared" si="24"/>
        <v>77077</v>
      </c>
      <c r="N100" s="63">
        <f t="shared" si="25"/>
        <v>84171.122616795619</v>
      </c>
      <c r="O100" s="78">
        <f t="shared" si="26"/>
        <v>1</v>
      </c>
      <c r="P100" t="b">
        <f t="shared" si="15"/>
        <v>1</v>
      </c>
    </row>
    <row r="101" spans="3:16" x14ac:dyDescent="0.25">
      <c r="C101" s="10">
        <v>61</v>
      </c>
      <c r="D101" s="10" t="str">
        <f t="shared" si="16"/>
        <v>CVVF1</v>
      </c>
      <c r="E101" s="11">
        <f t="shared" si="17"/>
        <v>0</v>
      </c>
      <c r="F101" s="11">
        <f t="shared" si="18"/>
        <v>1</v>
      </c>
      <c r="G101" s="12">
        <f t="shared" si="19"/>
        <v>89.237583983312859</v>
      </c>
      <c r="H101" s="12">
        <f t="shared" si="20"/>
        <v>183.91906664868404</v>
      </c>
      <c r="I101" s="59">
        <f t="shared" si="21"/>
        <v>164.01703861057274</v>
      </c>
      <c r="J101" s="12">
        <f t="shared" si="22"/>
        <v>39.467610868816315</v>
      </c>
      <c r="K101" s="50">
        <f t="shared" si="23"/>
        <v>40217</v>
      </c>
      <c r="L101" s="50">
        <f t="shared" si="14"/>
        <v>71148</v>
      </c>
      <c r="M101" s="63">
        <f t="shared" si="24"/>
        <v>75813.442622950824</v>
      </c>
      <c r="N101" s="63">
        <f t="shared" si="25"/>
        <v>81299.540654374956</v>
      </c>
      <c r="O101" s="78">
        <f t="shared" si="26"/>
        <v>1</v>
      </c>
      <c r="P101" t="b">
        <f t="shared" si="15"/>
        <v>1</v>
      </c>
    </row>
    <row r="102" spans="3:16" x14ac:dyDescent="0.25">
      <c r="C102" s="10">
        <v>62</v>
      </c>
      <c r="D102" s="10" t="str">
        <f t="shared" si="16"/>
        <v>CVVF1</v>
      </c>
      <c r="E102" s="11">
        <f t="shared" si="17"/>
        <v>1</v>
      </c>
      <c r="F102" s="11">
        <f t="shared" si="18"/>
        <v>1</v>
      </c>
      <c r="G102" s="12">
        <f t="shared" si="19"/>
        <v>89.922385480665611</v>
      </c>
      <c r="H102" s="12">
        <f t="shared" si="20"/>
        <v>186.28712330081302</v>
      </c>
      <c r="I102" s="59">
        <f t="shared" si="21"/>
        <v>161.37160250395058</v>
      </c>
      <c r="J102" s="12">
        <f t="shared" si="22"/>
        <v>39.467610868816315</v>
      </c>
      <c r="K102" s="50">
        <f t="shared" si="23"/>
        <v>40217</v>
      </c>
      <c r="L102" s="50">
        <f t="shared" si="14"/>
        <v>71148</v>
      </c>
      <c r="M102" s="63">
        <f t="shared" si="24"/>
        <v>74590.645161290318</v>
      </c>
      <c r="N102" s="63">
        <f t="shared" si="25"/>
        <v>78570.26128588451</v>
      </c>
      <c r="O102" s="78">
        <f t="shared" si="26"/>
        <v>1</v>
      </c>
      <c r="P102" t="b">
        <f t="shared" si="15"/>
        <v>1</v>
      </c>
    </row>
    <row r="103" spans="3:16" x14ac:dyDescent="0.25">
      <c r="C103" s="10">
        <v>63</v>
      </c>
      <c r="D103" s="10" t="str">
        <f t="shared" si="16"/>
        <v>CVVF1</v>
      </c>
      <c r="E103" s="11">
        <f t="shared" si="17"/>
        <v>1</v>
      </c>
      <c r="F103" s="11">
        <f t="shared" si="18"/>
        <v>1</v>
      </c>
      <c r="G103" s="12">
        <f t="shared" si="19"/>
        <v>90.736172167953512</v>
      </c>
      <c r="H103" s="12">
        <f t="shared" si="20"/>
        <v>188.65517995294198</v>
      </c>
      <c r="I103" s="59">
        <f t="shared" si="21"/>
        <v>158.81014849595138</v>
      </c>
      <c r="J103" s="12">
        <f t="shared" si="22"/>
        <v>39.467610868816315</v>
      </c>
      <c r="K103" s="50">
        <f t="shared" si="23"/>
        <v>40217</v>
      </c>
      <c r="L103" s="50">
        <f t="shared" si="14"/>
        <v>71148</v>
      </c>
      <c r="M103" s="63">
        <f t="shared" si="24"/>
        <v>73406.666666666672</v>
      </c>
      <c r="N103" s="63">
        <f t="shared" si="25"/>
        <v>75974.104797090855</v>
      </c>
      <c r="O103" s="78">
        <f t="shared" si="26"/>
        <v>1</v>
      </c>
      <c r="P103" t="b">
        <f t="shared" si="15"/>
        <v>1</v>
      </c>
    </row>
    <row r="104" spans="3:16" x14ac:dyDescent="0.25">
      <c r="C104" s="10">
        <v>64</v>
      </c>
      <c r="D104" s="10" t="str">
        <f t="shared" ref="D104:D135" si="27">VLOOKUP(F104,$B$36:$C$39,2,0)</f>
        <v>CVVF1</v>
      </c>
      <c r="E104" s="11">
        <f t="shared" si="17"/>
        <v>1</v>
      </c>
      <c r="F104" s="11">
        <f t="shared" si="18"/>
        <v>1</v>
      </c>
      <c r="G104" s="12">
        <f t="shared" si="19"/>
        <v>91.549958855241414</v>
      </c>
      <c r="H104" s="12">
        <f t="shared" si="20"/>
        <v>191.02323660507096</v>
      </c>
      <c r="I104" s="59">
        <f t="shared" si="21"/>
        <v>156.32873992570214</v>
      </c>
      <c r="J104" s="12">
        <f t="shared" si="22"/>
        <v>39.467610868816315</v>
      </c>
      <c r="K104" s="50">
        <f t="shared" si="23"/>
        <v>40217</v>
      </c>
      <c r="L104" s="50">
        <f t="shared" si="14"/>
        <v>71148</v>
      </c>
      <c r="M104" s="63">
        <f t="shared" si="24"/>
        <v>72259.6875</v>
      </c>
      <c r="N104" s="63">
        <f t="shared" si="25"/>
        <v>73502.61664804371</v>
      </c>
      <c r="O104" s="78">
        <f t="shared" si="26"/>
        <v>1</v>
      </c>
      <c r="P104" t="b">
        <f t="shared" si="15"/>
        <v>1</v>
      </c>
    </row>
    <row r="105" spans="3:16" x14ac:dyDescent="0.25">
      <c r="C105" s="10">
        <v>65</v>
      </c>
      <c r="D105" s="10" t="str">
        <f t="shared" si="27"/>
        <v>CVVF1</v>
      </c>
      <c r="E105" s="11">
        <f t="shared" ref="E105:E136" si="28">IF(Speed&lt;E$12,0,IF(Speed&lt;=E$20,1,IF(Speed&lt;=E$26,2,3)))</f>
        <v>1</v>
      </c>
      <c r="F105" s="11">
        <f t="shared" ref="F105:F136" si="29">IF(Speed&lt;F$12,0,IF(Speed&lt;=F$20,1,IF(Speed&lt;=F$31,2,3)))</f>
        <v>1</v>
      </c>
      <c r="G105" s="12">
        <f t="shared" ref="G105:G136" si="30">IF(E105=0,E$16,IF(E105&lt;3,E$16+(E$22-E$16)*(Speed-E$12)/(E$26-E$12),E$22*E$26/Speed))*$O105+NoLoadCurrent</f>
        <v>92.363745542529301</v>
      </c>
      <c r="H105" s="12">
        <f t="shared" ref="H105:H136" si="31">IF(F105=0,F$16,IF(F105=1,F$16*Speed/F$12,IF(F105=2,F$32,I105)))*$O105+NoLoadCurrent</f>
        <v>193.39129325719995</v>
      </c>
      <c r="I105" s="59">
        <f t="shared" ref="I105:I136" si="32">F$22*F$26/Speed</f>
        <v>153.92368238838364</v>
      </c>
      <c r="J105" s="12">
        <f t="shared" ref="J105:J136" si="33">IF(Speed&lt;F$20,$F$15,$F$15*F$20/Speed)*$O105</f>
        <v>39.467610868816315</v>
      </c>
      <c r="K105" s="50">
        <f t="shared" ref="K105:K136" si="34">IF(E105&lt;3,E$11,(E$11*E$26/Speed)*(E$26^(F$30-1)/Speed^(F$30-1)))*$O105</f>
        <v>40217</v>
      </c>
      <c r="L105" s="50">
        <f t="shared" si="14"/>
        <v>71148</v>
      </c>
      <c r="M105" s="63">
        <f t="shared" ref="M105:M136" si="35">F$11*F$20/Speed</f>
        <v>71148</v>
      </c>
      <c r="N105" s="63">
        <f t="shared" ref="N105:N136" si="36">(F$11*F$26/Speed)*(F$26^(F$30-1)/Speed^(F$30-1))</f>
        <v>71148</v>
      </c>
      <c r="O105" s="78">
        <f t="shared" ref="O105:O136" si="37">1-IF(Speed&lt;F$14,(F$14-Speed)/F$14,0)</f>
        <v>1</v>
      </c>
      <c r="P105" t="b">
        <f t="shared" si="15"/>
        <v>1</v>
      </c>
    </row>
    <row r="106" spans="3:16" x14ac:dyDescent="0.25">
      <c r="C106" s="10">
        <v>66</v>
      </c>
      <c r="D106" s="10" t="str">
        <f t="shared" si="27"/>
        <v>CVCF</v>
      </c>
      <c r="E106" s="11">
        <f t="shared" si="28"/>
        <v>1</v>
      </c>
      <c r="F106" s="11">
        <f t="shared" si="29"/>
        <v>3</v>
      </c>
      <c r="G106" s="12">
        <f t="shared" si="30"/>
        <v>92.579538125744222</v>
      </c>
      <c r="H106" s="12">
        <f t="shared" si="31"/>
        <v>190.46112214724238</v>
      </c>
      <c r="I106" s="59">
        <f t="shared" si="32"/>
        <v>151.59150538249904</v>
      </c>
      <c r="J106" s="12">
        <f t="shared" si="33"/>
        <v>38.869616764743341</v>
      </c>
      <c r="K106" s="50">
        <f t="shared" si="34"/>
        <v>40217</v>
      </c>
      <c r="L106" s="50">
        <f t="shared" ref="L106:L169" si="38">IF(F106&lt;2,F$11,IF(M106&lt;N106,M106,N106))*$O106</f>
        <v>68903.055439552816</v>
      </c>
      <c r="M106" s="63">
        <f t="shared" si="35"/>
        <v>70070</v>
      </c>
      <c r="N106" s="63">
        <f t="shared" si="36"/>
        <v>68903.055439552816</v>
      </c>
      <c r="O106" s="78">
        <f t="shared" si="37"/>
        <v>1</v>
      </c>
      <c r="P106" t="b">
        <f t="shared" ref="P106:P169" si="39">AND(G106&lt;=H106,K106&lt;=L106)</f>
        <v>1</v>
      </c>
    </row>
    <row r="107" spans="3:16" x14ac:dyDescent="0.25">
      <c r="C107" s="10">
        <v>67</v>
      </c>
      <c r="D107" s="10" t="str">
        <f t="shared" si="27"/>
        <v>CVCF</v>
      </c>
      <c r="E107" s="11">
        <f t="shared" si="28"/>
        <v>1</v>
      </c>
      <c r="F107" s="11">
        <f t="shared" si="29"/>
        <v>3</v>
      </c>
      <c r="G107" s="12">
        <f t="shared" si="30"/>
        <v>92.81318127922998</v>
      </c>
      <c r="H107" s="12">
        <f t="shared" si="31"/>
        <v>187.6184188316119</v>
      </c>
      <c r="I107" s="59">
        <f t="shared" si="32"/>
        <v>149.32894560067069</v>
      </c>
      <c r="J107" s="12">
        <f t="shared" si="33"/>
        <v>38.289473230941205</v>
      </c>
      <c r="K107" s="50">
        <f t="shared" si="34"/>
        <v>40217</v>
      </c>
      <c r="L107" s="50">
        <f t="shared" si="38"/>
        <v>66761.127037106329</v>
      </c>
      <c r="M107" s="63">
        <f t="shared" si="35"/>
        <v>69024.179104477618</v>
      </c>
      <c r="N107" s="63">
        <f t="shared" si="36"/>
        <v>66761.127037106329</v>
      </c>
      <c r="O107" s="78">
        <f t="shared" si="37"/>
        <v>1</v>
      </c>
      <c r="P107" t="b">
        <f t="shared" si="39"/>
        <v>1</v>
      </c>
    </row>
    <row r="108" spans="3:16" x14ac:dyDescent="0.25">
      <c r="C108" s="10">
        <v>68</v>
      </c>
      <c r="D108" s="10" t="str">
        <f t="shared" si="27"/>
        <v>CVCF</v>
      </c>
      <c r="E108" s="11">
        <f t="shared" si="28"/>
        <v>1</v>
      </c>
      <c r="F108" s="11">
        <f t="shared" si="29"/>
        <v>3</v>
      </c>
      <c r="G108" s="12">
        <f t="shared" si="30"/>
        <v>93.063887477827535</v>
      </c>
      <c r="H108" s="12">
        <f t="shared" si="31"/>
        <v>184.85932443702936</v>
      </c>
      <c r="I108" s="59">
        <f t="shared" si="32"/>
        <v>147.13293169477848</v>
      </c>
      <c r="J108" s="12">
        <f t="shared" si="33"/>
        <v>37.726392742250887</v>
      </c>
      <c r="K108" s="50">
        <f t="shared" si="34"/>
        <v>40217</v>
      </c>
      <c r="L108" s="50">
        <f t="shared" si="38"/>
        <v>64716.053991361681</v>
      </c>
      <c r="M108" s="63">
        <f t="shared" si="35"/>
        <v>68009.117647058825</v>
      </c>
      <c r="N108" s="63">
        <f t="shared" si="36"/>
        <v>64716.053991361681</v>
      </c>
      <c r="O108" s="78">
        <f t="shared" si="37"/>
        <v>1</v>
      </c>
      <c r="P108" t="b">
        <f t="shared" si="39"/>
        <v>1</v>
      </c>
    </row>
    <row r="109" spans="3:16" x14ac:dyDescent="0.25">
      <c r="C109" s="10">
        <v>69</v>
      </c>
      <c r="D109" s="10" t="str">
        <f t="shared" si="27"/>
        <v>CVCF</v>
      </c>
      <c r="E109" s="11">
        <f t="shared" si="28"/>
        <v>1</v>
      </c>
      <c r="F109" s="11">
        <f t="shared" si="29"/>
        <v>3</v>
      </c>
      <c r="G109" s="12">
        <f t="shared" si="30"/>
        <v>93.330914850010345</v>
      </c>
      <c r="H109" s="12">
        <f t="shared" si="31"/>
        <v>182.18020379301444</v>
      </c>
      <c r="I109" s="59">
        <f t="shared" si="32"/>
        <v>145.00057036586864</v>
      </c>
      <c r="J109" s="12">
        <f t="shared" si="33"/>
        <v>37.179633427145802</v>
      </c>
      <c r="K109" s="50">
        <f t="shared" si="34"/>
        <v>40217</v>
      </c>
      <c r="L109" s="50">
        <f t="shared" si="38"/>
        <v>62762.127209367849</v>
      </c>
      <c r="M109" s="63">
        <f t="shared" si="35"/>
        <v>67023.478260869568</v>
      </c>
      <c r="N109" s="63">
        <f t="shared" si="36"/>
        <v>62762.127209367849</v>
      </c>
      <c r="O109" s="78">
        <f t="shared" si="37"/>
        <v>1</v>
      </c>
      <c r="P109" t="b">
        <f t="shared" si="39"/>
        <v>1</v>
      </c>
    </row>
    <row r="110" spans="3:16" x14ac:dyDescent="0.25">
      <c r="C110" s="10">
        <v>70</v>
      </c>
      <c r="D110" s="10" t="str">
        <f t="shared" si="27"/>
        <v>CVCF</v>
      </c>
      <c r="E110" s="11">
        <f t="shared" si="28"/>
        <v>1</v>
      </c>
      <c r="F110" s="11">
        <f t="shared" si="29"/>
        <v>3</v>
      </c>
      <c r="G110" s="12">
        <f t="shared" si="30"/>
        <v>93.613563916910451</v>
      </c>
      <c r="H110" s="12">
        <f t="shared" si="31"/>
        <v>179.57762945311424</v>
      </c>
      <c r="I110" s="59">
        <f t="shared" si="32"/>
        <v>142.92913364635623</v>
      </c>
      <c r="J110" s="12">
        <f t="shared" si="33"/>
        <v>36.648495806758007</v>
      </c>
      <c r="K110" s="50">
        <f t="shared" si="34"/>
        <v>40217</v>
      </c>
      <c r="L110" s="50">
        <f t="shared" si="38"/>
        <v>60894.05025557577</v>
      </c>
      <c r="M110" s="63">
        <f t="shared" si="35"/>
        <v>66066</v>
      </c>
      <c r="N110" s="63">
        <f t="shared" si="36"/>
        <v>60894.05025557577</v>
      </c>
      <c r="O110" s="78">
        <f t="shared" si="37"/>
        <v>1</v>
      </c>
      <c r="P110" t="b">
        <f t="shared" si="39"/>
        <v>1</v>
      </c>
    </row>
    <row r="111" spans="3:16" x14ac:dyDescent="0.25">
      <c r="C111" s="10">
        <v>71</v>
      </c>
      <c r="D111" s="10" t="str">
        <f t="shared" si="27"/>
        <v>CVCF</v>
      </c>
      <c r="E111" s="11">
        <f t="shared" si="28"/>
        <v>1</v>
      </c>
      <c r="F111" s="11">
        <f t="shared" si="29"/>
        <v>3</v>
      </c>
      <c r="G111" s="12">
        <f t="shared" si="30"/>
        <v>93.911174606920056</v>
      </c>
      <c r="H111" s="12">
        <f t="shared" si="31"/>
        <v>177.04836706645065</v>
      </c>
      <c r="I111" s="59">
        <f t="shared" si="32"/>
        <v>140.91604725697093</v>
      </c>
      <c r="J111" s="12">
        <f t="shared" si="33"/>
        <v>36.132319809479725</v>
      </c>
      <c r="K111" s="50">
        <f t="shared" si="34"/>
        <v>40217</v>
      </c>
      <c r="L111" s="50">
        <f t="shared" si="38"/>
        <v>59106.904175377596</v>
      </c>
      <c r="M111" s="63">
        <f t="shared" si="35"/>
        <v>65135.492957746479</v>
      </c>
      <c r="N111" s="63">
        <f t="shared" si="36"/>
        <v>59106.904175377596</v>
      </c>
      <c r="O111" s="78">
        <f t="shared" si="37"/>
        <v>1</v>
      </c>
      <c r="P111" t="b">
        <f t="shared" si="39"/>
        <v>1</v>
      </c>
    </row>
    <row r="112" spans="3:16" x14ac:dyDescent="0.25">
      <c r="C112" s="10">
        <v>72</v>
      </c>
      <c r="D112" s="10" t="str">
        <f t="shared" si="27"/>
        <v>CVCF</v>
      </c>
      <c r="E112" s="11">
        <f t="shared" si="28"/>
        <v>1</v>
      </c>
      <c r="F112" s="11">
        <f t="shared" si="29"/>
        <v>3</v>
      </c>
      <c r="G112" s="12">
        <f t="shared" si="30"/>
        <v>94.223123519076296</v>
      </c>
      <c r="H112" s="12">
        <f t="shared" si="31"/>
        <v>174.58936196830552</v>
      </c>
      <c r="I112" s="59">
        <f t="shared" si="32"/>
        <v>138.95887993395746</v>
      </c>
      <c r="J112" s="12">
        <f t="shared" si="33"/>
        <v>35.630482034348063</v>
      </c>
      <c r="K112" s="50">
        <f t="shared" si="34"/>
        <v>40217</v>
      </c>
      <c r="L112" s="50">
        <f t="shared" si="38"/>
        <v>57396.115760627879</v>
      </c>
      <c r="M112" s="63">
        <f t="shared" si="35"/>
        <v>64230.833333333336</v>
      </c>
      <c r="N112" s="63">
        <f t="shared" si="36"/>
        <v>57396.115760627879</v>
      </c>
      <c r="O112" s="78">
        <f t="shared" si="37"/>
        <v>1</v>
      </c>
      <c r="P112" t="b">
        <f t="shared" si="39"/>
        <v>1</v>
      </c>
    </row>
    <row r="113" spans="3:16" x14ac:dyDescent="0.25">
      <c r="C113" s="10">
        <v>73</v>
      </c>
      <c r="D113" s="10" t="str">
        <f t="shared" si="27"/>
        <v>CVCF</v>
      </c>
      <c r="E113" s="11">
        <f t="shared" si="28"/>
        <v>1</v>
      </c>
      <c r="F113" s="11">
        <f t="shared" si="29"/>
        <v>3</v>
      </c>
      <c r="G113" s="12">
        <f t="shared" si="30"/>
        <v>94.548821411373112</v>
      </c>
      <c r="H113" s="12">
        <f t="shared" si="31"/>
        <v>172.19772687284927</v>
      </c>
      <c r="I113" s="59">
        <f t="shared" si="32"/>
        <v>137.0553336334923</v>
      </c>
      <c r="J113" s="12">
        <f t="shared" si="33"/>
        <v>35.142393239356991</v>
      </c>
      <c r="K113" s="50">
        <f t="shared" si="34"/>
        <v>40217</v>
      </c>
      <c r="L113" s="50">
        <f t="shared" si="38"/>
        <v>55757.4288781465</v>
      </c>
      <c r="M113" s="63">
        <f t="shared" si="35"/>
        <v>63350.95890410959</v>
      </c>
      <c r="N113" s="63">
        <f t="shared" si="36"/>
        <v>55757.4288781465</v>
      </c>
      <c r="O113" s="78">
        <f t="shared" si="37"/>
        <v>1</v>
      </c>
      <c r="P113" t="b">
        <f t="shared" si="39"/>
        <v>1</v>
      </c>
    </row>
    <row r="114" spans="3:16" x14ac:dyDescent="0.25">
      <c r="C114" s="10">
        <v>74</v>
      </c>
      <c r="D114" s="10" t="str">
        <f t="shared" si="27"/>
        <v>CVCF</v>
      </c>
      <c r="E114" s="11">
        <f t="shared" si="28"/>
        <v>1</v>
      </c>
      <c r="F114" s="11">
        <f t="shared" si="29"/>
        <v>3</v>
      </c>
      <c r="G114" s="12">
        <f t="shared" si="30"/>
        <v>94.88771089272376</v>
      </c>
      <c r="H114" s="12">
        <f t="shared" si="31"/>
        <v>169.87073056375669</v>
      </c>
      <c r="I114" s="59">
        <f t="shared" si="32"/>
        <v>135.20323453033697</v>
      </c>
      <c r="J114" s="12">
        <f t="shared" si="33"/>
        <v>34.667496033419738</v>
      </c>
      <c r="K114" s="50">
        <f t="shared" si="34"/>
        <v>40217</v>
      </c>
      <c r="L114" s="50">
        <f t="shared" si="38"/>
        <v>54186.878528456691</v>
      </c>
      <c r="M114" s="63">
        <f t="shared" si="35"/>
        <v>62494.864864864867</v>
      </c>
      <c r="N114" s="63">
        <f t="shared" si="36"/>
        <v>54186.878528456691</v>
      </c>
      <c r="O114" s="78">
        <f t="shared" si="37"/>
        <v>1</v>
      </c>
      <c r="P114" t="b">
        <f t="shared" si="39"/>
        <v>1</v>
      </c>
    </row>
    <row r="115" spans="3:16" x14ac:dyDescent="0.25">
      <c r="C115" s="10">
        <v>75</v>
      </c>
      <c r="D115" s="10" t="str">
        <f t="shared" si="27"/>
        <v>CVCF</v>
      </c>
      <c r="E115" s="11">
        <f t="shared" si="28"/>
        <v>1</v>
      </c>
      <c r="F115" s="11">
        <f t="shared" si="29"/>
        <v>3</v>
      </c>
      <c r="G115" s="12">
        <f t="shared" si="30"/>
        <v>95.239264299566045</v>
      </c>
      <c r="H115" s="12">
        <f t="shared" si="31"/>
        <v>167.60578748957329</v>
      </c>
      <c r="I115" s="59">
        <f t="shared" si="32"/>
        <v>133.40052473659915</v>
      </c>
      <c r="J115" s="12">
        <f t="shared" si="33"/>
        <v>34.205262752974143</v>
      </c>
      <c r="K115" s="50">
        <f t="shared" si="34"/>
        <v>40217</v>
      </c>
      <c r="L115" s="50">
        <f t="shared" si="38"/>
        <v>52680.767342085928</v>
      </c>
      <c r="M115" s="63">
        <f t="shared" si="35"/>
        <v>61661.599999999999</v>
      </c>
      <c r="N115" s="63">
        <f t="shared" si="36"/>
        <v>52680.767342085928</v>
      </c>
      <c r="O115" s="78">
        <f t="shared" si="37"/>
        <v>1</v>
      </c>
      <c r="P115" t="b">
        <f t="shared" si="39"/>
        <v>1</v>
      </c>
    </row>
    <row r="116" spans="3:16" x14ac:dyDescent="0.25">
      <c r="C116" s="10">
        <v>76</v>
      </c>
      <c r="D116" s="10" t="str">
        <f t="shared" si="27"/>
        <v>CVCF</v>
      </c>
      <c r="E116" s="11">
        <f t="shared" si="28"/>
        <v>1</v>
      </c>
      <c r="F116" s="11">
        <f t="shared" si="29"/>
        <v>3</v>
      </c>
      <c r="G116" s="12">
        <f t="shared" si="30"/>
        <v>95.602981740104269</v>
      </c>
      <c r="H116" s="12">
        <f t="shared" si="31"/>
        <v>165.40044818049998</v>
      </c>
      <c r="I116" s="59">
        <f t="shared" si="32"/>
        <v>131.64525467427549</v>
      </c>
      <c r="J116" s="12">
        <f t="shared" si="33"/>
        <v>33.755193506224479</v>
      </c>
      <c r="K116" s="50">
        <f t="shared" si="34"/>
        <v>40217</v>
      </c>
      <c r="L116" s="50">
        <f t="shared" si="38"/>
        <v>51235.644255539941</v>
      </c>
      <c r="M116" s="63">
        <f t="shared" si="35"/>
        <v>60850.26315789474</v>
      </c>
      <c r="N116" s="63">
        <f t="shared" si="36"/>
        <v>51235.644255539941</v>
      </c>
      <c r="O116" s="78">
        <f t="shared" si="37"/>
        <v>1</v>
      </c>
      <c r="P116" t="b">
        <f t="shared" si="39"/>
        <v>1</v>
      </c>
    </row>
    <row r="117" spans="3:16" x14ac:dyDescent="0.25">
      <c r="C117" s="10">
        <v>77</v>
      </c>
      <c r="D117" s="10" t="str">
        <f t="shared" si="27"/>
        <v>CVCF</v>
      </c>
      <c r="E117" s="11">
        <f t="shared" si="28"/>
        <v>1</v>
      </c>
      <c r="F117" s="11">
        <f t="shared" si="29"/>
        <v>3</v>
      </c>
      <c r="G117" s="12">
        <f t="shared" si="30"/>
        <v>95.978389290947689</v>
      </c>
      <c r="H117" s="12">
        <f t="shared" si="31"/>
        <v>163.25239041192202</v>
      </c>
      <c r="I117" s="59">
        <f t="shared" si="32"/>
        <v>129.93557604214203</v>
      </c>
      <c r="J117" s="12">
        <f t="shared" si="33"/>
        <v>33.316814369780005</v>
      </c>
      <c r="K117" s="50">
        <f t="shared" si="34"/>
        <v>40217</v>
      </c>
      <c r="L117" s="50">
        <f t="shared" si="38"/>
        <v>49848.285139321873</v>
      </c>
      <c r="M117" s="63">
        <f t="shared" si="35"/>
        <v>60060</v>
      </c>
      <c r="N117" s="63">
        <f t="shared" si="36"/>
        <v>49848.285139321873</v>
      </c>
      <c r="O117" s="78">
        <f t="shared" si="37"/>
        <v>1</v>
      </c>
      <c r="P117" t="b">
        <f t="shared" si="39"/>
        <v>1</v>
      </c>
    </row>
    <row r="118" spans="3:16" x14ac:dyDescent="0.25">
      <c r="C118" s="10">
        <v>78</v>
      </c>
      <c r="D118" s="10" t="str">
        <f t="shared" si="27"/>
        <v>CVCF</v>
      </c>
      <c r="E118" s="11">
        <f t="shared" si="28"/>
        <v>1</v>
      </c>
      <c r="F118" s="11">
        <f t="shared" si="29"/>
        <v>3</v>
      </c>
      <c r="G118" s="12">
        <f t="shared" si="30"/>
        <v>96.365037332469186</v>
      </c>
      <c r="H118" s="12">
        <f t="shared" si="31"/>
        <v>161.15941104766665</v>
      </c>
      <c r="I118" s="59">
        <f t="shared" si="32"/>
        <v>128.26973532365304</v>
      </c>
      <c r="J118" s="12">
        <f t="shared" si="33"/>
        <v>32.8896757240136</v>
      </c>
      <c r="K118" s="50">
        <f t="shared" si="34"/>
        <v>40217</v>
      </c>
      <c r="L118" s="50">
        <f t="shared" si="38"/>
        <v>48515.675176729848</v>
      </c>
      <c r="M118" s="63">
        <f t="shared" si="35"/>
        <v>59290</v>
      </c>
      <c r="N118" s="63">
        <f t="shared" si="36"/>
        <v>48515.675176729848</v>
      </c>
      <c r="O118" s="78">
        <f t="shared" si="37"/>
        <v>1</v>
      </c>
      <c r="P118" t="b">
        <f t="shared" si="39"/>
        <v>1</v>
      </c>
    </row>
    <row r="119" spans="3:16" x14ac:dyDescent="0.25">
      <c r="C119" s="10">
        <v>79</v>
      </c>
      <c r="D119" s="10" t="str">
        <f t="shared" si="27"/>
        <v>CVCF</v>
      </c>
      <c r="E119" s="11">
        <f t="shared" si="28"/>
        <v>1</v>
      </c>
      <c r="F119" s="11">
        <f t="shared" si="29"/>
        <v>3</v>
      </c>
      <c r="G119" s="12">
        <f t="shared" si="30"/>
        <v>96.762499010592336</v>
      </c>
      <c r="H119" s="12">
        <f t="shared" si="31"/>
        <v>159.11941850275946</v>
      </c>
      <c r="I119" s="59">
        <f t="shared" si="32"/>
        <v>126.6460677879106</v>
      </c>
      <c r="J119" s="12">
        <f t="shared" si="33"/>
        <v>32.47335071484887</v>
      </c>
      <c r="K119" s="50">
        <f t="shared" si="34"/>
        <v>40217</v>
      </c>
      <c r="L119" s="50">
        <f t="shared" si="38"/>
        <v>47234.992815189828</v>
      </c>
      <c r="M119" s="63">
        <f t="shared" si="35"/>
        <v>58539.493670886077</v>
      </c>
      <c r="N119" s="63">
        <f t="shared" si="36"/>
        <v>47234.992815189828</v>
      </c>
      <c r="O119" s="78">
        <f t="shared" si="37"/>
        <v>1</v>
      </c>
      <c r="P119" t="b">
        <f t="shared" si="39"/>
        <v>1</v>
      </c>
    </row>
    <row r="120" spans="3:16" x14ac:dyDescent="0.25">
      <c r="C120" s="10">
        <v>80</v>
      </c>
      <c r="D120" s="10" t="str">
        <f t="shared" si="27"/>
        <v>CVCF</v>
      </c>
      <c r="E120" s="11">
        <f t="shared" si="28"/>
        <v>1</v>
      </c>
      <c r="F120" s="11">
        <f t="shared" si="29"/>
        <v>3</v>
      </c>
      <c r="G120" s="12">
        <f t="shared" si="30"/>
        <v>97.17036881394462</v>
      </c>
      <c r="H120" s="12">
        <f t="shared" si="31"/>
        <v>157.13042577147496</v>
      </c>
      <c r="I120" s="59">
        <f t="shared" si="32"/>
        <v>125.06299194056172</v>
      </c>
      <c r="J120" s="12">
        <f t="shared" si="33"/>
        <v>32.067433830913259</v>
      </c>
      <c r="K120" s="50">
        <f t="shared" si="34"/>
        <v>40217</v>
      </c>
      <c r="L120" s="50">
        <f t="shared" si="38"/>
        <v>46003.595132013397</v>
      </c>
      <c r="M120" s="63">
        <f t="shared" si="35"/>
        <v>57807.75</v>
      </c>
      <c r="N120" s="63">
        <f t="shared" si="36"/>
        <v>46003.595132013397</v>
      </c>
      <c r="O120" s="78">
        <f t="shared" si="37"/>
        <v>1</v>
      </c>
      <c r="P120" t="b">
        <f t="shared" si="39"/>
        <v>1</v>
      </c>
    </row>
    <row r="121" spans="3:16" x14ac:dyDescent="0.25">
      <c r="C121" s="10">
        <v>81</v>
      </c>
      <c r="D121" s="10" t="str">
        <f t="shared" si="27"/>
        <v>CVCF</v>
      </c>
      <c r="E121" s="11">
        <f t="shared" si="28"/>
        <v>1</v>
      </c>
      <c r="F121" s="11">
        <f t="shared" si="29"/>
        <v>3</v>
      </c>
      <c r="G121" s="12">
        <f t="shared" si="30"/>
        <v>97.588261256406426</v>
      </c>
      <c r="H121" s="12">
        <f t="shared" si="31"/>
        <v>155.19054397182714</v>
      </c>
      <c r="I121" s="59">
        <f t="shared" si="32"/>
        <v>123.51900438573996</v>
      </c>
      <c r="J121" s="12">
        <f t="shared" si="33"/>
        <v>31.671539586087167</v>
      </c>
      <c r="K121" s="50">
        <f t="shared" si="34"/>
        <v>40217</v>
      </c>
      <c r="L121" s="50">
        <f t="shared" si="38"/>
        <v>44819.004474109126</v>
      </c>
      <c r="M121" s="63">
        <f t="shared" si="35"/>
        <v>57094.074074074073</v>
      </c>
      <c r="N121" s="63">
        <f t="shared" si="36"/>
        <v>44819.004474109126</v>
      </c>
      <c r="O121" s="78">
        <f t="shared" si="37"/>
        <v>1</v>
      </c>
      <c r="P121" t="b">
        <f t="shared" si="39"/>
        <v>1</v>
      </c>
    </row>
    <row r="122" spans="3:16" x14ac:dyDescent="0.25">
      <c r="C122" s="10">
        <v>82</v>
      </c>
      <c r="D122" s="10" t="str">
        <f t="shared" si="27"/>
        <v>CVCF</v>
      </c>
      <c r="E122" s="11">
        <f t="shared" si="28"/>
        <v>1</v>
      </c>
      <c r="F122" s="11">
        <f t="shared" si="29"/>
        <v>3</v>
      </c>
      <c r="G122" s="12">
        <f t="shared" si="30"/>
        <v>98.015809656059105</v>
      </c>
      <c r="H122" s="12">
        <f t="shared" si="31"/>
        <v>153.2979763624146</v>
      </c>
      <c r="I122" s="59">
        <f t="shared" si="32"/>
        <v>122.01267506396265</v>
      </c>
      <c r="J122" s="12">
        <f t="shared" si="33"/>
        <v>31.285301298451959</v>
      </c>
      <c r="K122" s="50">
        <f t="shared" si="34"/>
        <v>40217</v>
      </c>
      <c r="L122" s="50">
        <f t="shared" si="38"/>
        <v>43678.896246662276</v>
      </c>
      <c r="M122" s="63">
        <f t="shared" si="35"/>
        <v>56397.804878048781</v>
      </c>
      <c r="N122" s="63">
        <f t="shared" si="36"/>
        <v>43678.896246662276</v>
      </c>
      <c r="O122" s="78">
        <f t="shared" si="37"/>
        <v>1</v>
      </c>
      <c r="P122" t="b">
        <f t="shared" si="39"/>
        <v>1</v>
      </c>
    </row>
    <row r="123" spans="3:16" x14ac:dyDescent="0.25">
      <c r="C123" s="10">
        <v>83</v>
      </c>
      <c r="D123" s="10" t="str">
        <f t="shared" si="27"/>
        <v>CVCF</v>
      </c>
      <c r="E123" s="11">
        <f t="shared" si="28"/>
        <v>3</v>
      </c>
      <c r="F123" s="11">
        <f t="shared" si="29"/>
        <v>3</v>
      </c>
      <c r="G123" s="12">
        <f t="shared" si="30"/>
        <v>98.013841517366288</v>
      </c>
      <c r="H123" s="12">
        <f t="shared" si="31"/>
        <v>151.45101279178311</v>
      </c>
      <c r="I123" s="59">
        <f t="shared" si="32"/>
        <v>120.54264283427635</v>
      </c>
      <c r="J123" s="12">
        <f t="shared" si="33"/>
        <v>30.908369957506753</v>
      </c>
      <c r="K123" s="50">
        <f t="shared" si="34"/>
        <v>39942.697687254768</v>
      </c>
      <c r="L123" s="50">
        <f t="shared" si="38"/>
        <v>42581.087739404669</v>
      </c>
      <c r="M123" s="63">
        <f t="shared" si="35"/>
        <v>55718.313253012049</v>
      </c>
      <c r="N123" s="63">
        <f t="shared" si="36"/>
        <v>42581.087739404669</v>
      </c>
      <c r="O123" s="78">
        <f t="shared" si="37"/>
        <v>1</v>
      </c>
      <c r="P123" t="b">
        <f t="shared" si="39"/>
        <v>1</v>
      </c>
    </row>
    <row r="124" spans="3:16" x14ac:dyDescent="0.25">
      <c r="C124" s="10">
        <v>84</v>
      </c>
      <c r="D124" s="10" t="str">
        <f t="shared" si="27"/>
        <v>CVCF</v>
      </c>
      <c r="E124" s="11">
        <f t="shared" si="28"/>
        <v>3</v>
      </c>
      <c r="F124" s="11">
        <f t="shared" si="29"/>
        <v>3</v>
      </c>
      <c r="G124" s="12">
        <f t="shared" si="30"/>
        <v>96.847010070730974</v>
      </c>
      <c r="H124" s="12">
        <f t="shared" si="31"/>
        <v>149.64802454426186</v>
      </c>
      <c r="I124" s="59">
        <f t="shared" si="32"/>
        <v>119.10761137196353</v>
      </c>
      <c r="J124" s="12">
        <f t="shared" si="33"/>
        <v>30.54041317229834</v>
      </c>
      <c r="K124" s="50">
        <f t="shared" si="34"/>
        <v>38950.665882757567</v>
      </c>
      <c r="L124" s="50">
        <f t="shared" si="38"/>
        <v>41523.527891085905</v>
      </c>
      <c r="M124" s="63">
        <f t="shared" si="35"/>
        <v>55055</v>
      </c>
      <c r="N124" s="63">
        <f t="shared" si="36"/>
        <v>41523.527891085905</v>
      </c>
      <c r="O124" s="78">
        <f t="shared" si="37"/>
        <v>1</v>
      </c>
      <c r="P124" t="b">
        <f t="shared" si="39"/>
        <v>1</v>
      </c>
    </row>
    <row r="125" spans="3:16" x14ac:dyDescent="0.25">
      <c r="C125" s="10">
        <v>85</v>
      </c>
      <c r="D125" s="10" t="str">
        <f t="shared" si="27"/>
        <v>CVCF</v>
      </c>
      <c r="E125" s="11">
        <f t="shared" si="28"/>
        <v>3</v>
      </c>
      <c r="F125" s="11">
        <f t="shared" si="29"/>
        <v>3</v>
      </c>
      <c r="G125" s="12">
        <f t="shared" si="30"/>
        <v>95.707633481663549</v>
      </c>
      <c r="H125" s="12">
        <f t="shared" si="31"/>
        <v>147.88745954962351</v>
      </c>
      <c r="I125" s="59">
        <f t="shared" si="32"/>
        <v>117.70634535582279</v>
      </c>
      <c r="J125" s="12">
        <f t="shared" si="33"/>
        <v>30.181114193800713</v>
      </c>
      <c r="K125" s="50">
        <f t="shared" si="34"/>
        <v>37994.579580993035</v>
      </c>
      <c r="L125" s="50">
        <f t="shared" si="38"/>
        <v>40504.287903325421</v>
      </c>
      <c r="M125" s="63">
        <f t="shared" si="35"/>
        <v>54407.294117647056</v>
      </c>
      <c r="N125" s="63">
        <f t="shared" si="36"/>
        <v>40504.287903325421</v>
      </c>
      <c r="O125" s="78">
        <f t="shared" si="37"/>
        <v>1</v>
      </c>
      <c r="P125" t="b">
        <f t="shared" si="39"/>
        <v>1</v>
      </c>
    </row>
    <row r="126" spans="3:16" x14ac:dyDescent="0.25">
      <c r="C126" s="10">
        <v>86</v>
      </c>
      <c r="D126" s="10" t="str">
        <f t="shared" si="27"/>
        <v>CVCF</v>
      </c>
      <c r="E126" s="11">
        <f t="shared" si="28"/>
        <v>3</v>
      </c>
      <c r="F126" s="11">
        <f t="shared" si="29"/>
        <v>3</v>
      </c>
      <c r="G126" s="12">
        <f t="shared" si="30"/>
        <v>94.594754022574435</v>
      </c>
      <c r="H126" s="12">
        <f t="shared" si="31"/>
        <v>146.16783792695344</v>
      </c>
      <c r="I126" s="59">
        <f t="shared" si="32"/>
        <v>116.33766692145275</v>
      </c>
      <c r="J126" s="12">
        <f t="shared" si="33"/>
        <v>29.830171005500702</v>
      </c>
      <c r="K126" s="50">
        <f t="shared" si="34"/>
        <v>37072.736099812551</v>
      </c>
      <c r="L126" s="50">
        <f t="shared" si="38"/>
        <v>39521.552624364282</v>
      </c>
      <c r="M126" s="63">
        <f t="shared" si="35"/>
        <v>53774.651162790695</v>
      </c>
      <c r="N126" s="63">
        <f t="shared" si="36"/>
        <v>39521.552624364282</v>
      </c>
      <c r="O126" s="78">
        <f t="shared" si="37"/>
        <v>1</v>
      </c>
      <c r="P126" t="b">
        <f t="shared" si="39"/>
        <v>1</v>
      </c>
    </row>
    <row r="127" spans="3:16" x14ac:dyDescent="0.25">
      <c r="C127" s="10">
        <v>87</v>
      </c>
      <c r="D127" s="10" t="str">
        <f t="shared" si="27"/>
        <v>CVCF</v>
      </c>
      <c r="E127" s="11">
        <f t="shared" si="28"/>
        <v>3</v>
      </c>
      <c r="F127" s="11">
        <f t="shared" si="29"/>
        <v>3</v>
      </c>
      <c r="G127" s="12">
        <f t="shared" si="30"/>
        <v>93.507457999326462</v>
      </c>
      <c r="H127" s="12">
        <f t="shared" si="31"/>
        <v>144.48774783583906</v>
      </c>
      <c r="I127" s="59">
        <f t="shared" si="32"/>
        <v>115.0004523591372</v>
      </c>
      <c r="J127" s="12">
        <f t="shared" si="33"/>
        <v>29.487295476701846</v>
      </c>
      <c r="K127" s="50">
        <f t="shared" si="34"/>
        <v>36183.531934981431</v>
      </c>
      <c r="L127" s="50">
        <f t="shared" si="38"/>
        <v>38573.612631492957</v>
      </c>
      <c r="M127" s="63">
        <f t="shared" si="35"/>
        <v>53156.551724137928</v>
      </c>
      <c r="N127" s="63">
        <f t="shared" si="36"/>
        <v>38573.612631492957</v>
      </c>
      <c r="O127" s="78">
        <f t="shared" si="37"/>
        <v>1</v>
      </c>
      <c r="P127" t="b">
        <f t="shared" si="39"/>
        <v>1</v>
      </c>
    </row>
    <row r="128" spans="3:16" x14ac:dyDescent="0.25">
      <c r="C128" s="10">
        <v>88</v>
      </c>
      <c r="D128" s="10" t="str">
        <f t="shared" si="27"/>
        <v>CVCF</v>
      </c>
      <c r="E128" s="11">
        <f t="shared" si="28"/>
        <v>3</v>
      </c>
      <c r="F128" s="11">
        <f t="shared" si="29"/>
        <v>3</v>
      </c>
      <c r="G128" s="12">
        <f t="shared" si="30"/>
        <v>92.444873249334108</v>
      </c>
      <c r="H128" s="12">
        <f t="shared" si="31"/>
        <v>142.84584161043179</v>
      </c>
      <c r="I128" s="59">
        <f t="shared" si="32"/>
        <v>113.69362903687428</v>
      </c>
      <c r="J128" s="12">
        <f t="shared" si="33"/>
        <v>29.152212573557506</v>
      </c>
      <c r="K128" s="50">
        <f t="shared" si="34"/>
        <v>35325.455928635107</v>
      </c>
      <c r="L128" s="50">
        <f t="shared" si="38"/>
        <v>37658.856948254026</v>
      </c>
      <c r="M128" s="63">
        <f t="shared" si="35"/>
        <v>52552.5</v>
      </c>
      <c r="N128" s="63">
        <f t="shared" si="36"/>
        <v>37658.856948254026</v>
      </c>
      <c r="O128" s="78">
        <f t="shared" si="37"/>
        <v>1</v>
      </c>
      <c r="P128" t="b">
        <f t="shared" si="39"/>
        <v>1</v>
      </c>
    </row>
    <row r="129" spans="3:16" x14ac:dyDescent="0.25">
      <c r="C129" s="10">
        <v>89</v>
      </c>
      <c r="D129" s="10" t="str">
        <f t="shared" si="27"/>
        <v>CVCF</v>
      </c>
      <c r="E129" s="11">
        <f t="shared" si="28"/>
        <v>3</v>
      </c>
      <c r="F129" s="11">
        <f t="shared" si="29"/>
        <v>3</v>
      </c>
      <c r="G129" s="12">
        <f t="shared" si="30"/>
        <v>91.406166808330354</v>
      </c>
      <c r="H129" s="12">
        <f t="shared" si="31"/>
        <v>141.24083215413481</v>
      </c>
      <c r="I129" s="59">
        <f t="shared" si="32"/>
        <v>112.41617253084199</v>
      </c>
      <c r="J129" s="12">
        <f t="shared" si="33"/>
        <v>28.824659623292813</v>
      </c>
      <c r="K129" s="50">
        <f t="shared" si="34"/>
        <v>34497.082979323306</v>
      </c>
      <c r="L129" s="50">
        <f t="shared" si="38"/>
        <v>36775.766339007307</v>
      </c>
      <c r="M129" s="63">
        <f t="shared" si="35"/>
        <v>51962.02247191011</v>
      </c>
      <c r="N129" s="63">
        <f t="shared" si="36"/>
        <v>36775.766339007307</v>
      </c>
      <c r="O129" s="78">
        <f t="shared" si="37"/>
        <v>1</v>
      </c>
      <c r="P129" t="b">
        <f t="shared" si="39"/>
        <v>1</v>
      </c>
    </row>
    <row r="130" spans="3:16" x14ac:dyDescent="0.25">
      <c r="C130" s="10">
        <v>90</v>
      </c>
      <c r="D130" s="10" t="str">
        <f t="shared" si="27"/>
        <v>CVCF</v>
      </c>
      <c r="E130" s="11">
        <f t="shared" si="28"/>
        <v>3</v>
      </c>
      <c r="F130" s="11">
        <f t="shared" si="29"/>
        <v>3</v>
      </c>
      <c r="G130" s="12">
        <f t="shared" si="30"/>
        <v>90.390542732682235</v>
      </c>
      <c r="H130" s="12">
        <f t="shared" si="31"/>
        <v>139.67148957464443</v>
      </c>
      <c r="I130" s="59">
        <f t="shared" si="32"/>
        <v>111.16710394716597</v>
      </c>
      <c r="J130" s="12">
        <f t="shared" si="33"/>
        <v>28.504385627478449</v>
      </c>
      <c r="K130" s="50">
        <f t="shared" si="34"/>
        <v>33697.068245201575</v>
      </c>
      <c r="L130" s="50">
        <f t="shared" si="38"/>
        <v>35922.907129216794</v>
      </c>
      <c r="M130" s="63">
        <f t="shared" si="35"/>
        <v>51384.666666666664</v>
      </c>
      <c r="N130" s="63">
        <f t="shared" si="36"/>
        <v>35922.907129216794</v>
      </c>
      <c r="O130" s="78">
        <f t="shared" si="37"/>
        <v>1</v>
      </c>
      <c r="P130" t="b">
        <f t="shared" si="39"/>
        <v>1</v>
      </c>
    </row>
    <row r="131" spans="3:16" x14ac:dyDescent="0.25">
      <c r="C131" s="10">
        <v>91</v>
      </c>
      <c r="D131" s="10" t="str">
        <f t="shared" si="27"/>
        <v>CVCF</v>
      </c>
      <c r="E131" s="11">
        <f t="shared" si="28"/>
        <v>3</v>
      </c>
      <c r="F131" s="11">
        <f t="shared" si="29"/>
        <v>3</v>
      </c>
      <c r="G131" s="12">
        <f t="shared" si="30"/>
        <v>89.397240065290134</v>
      </c>
      <c r="H131" s="12">
        <f t="shared" si="31"/>
        <v>138.13663804085712</v>
      </c>
      <c r="I131" s="59">
        <f t="shared" si="32"/>
        <v>109.94548742027403</v>
      </c>
      <c r="J131" s="12">
        <f t="shared" si="33"/>
        <v>28.191150620583084</v>
      </c>
      <c r="K131" s="50">
        <f t="shared" si="34"/>
        <v>32924.141796743163</v>
      </c>
      <c r="L131" s="50">
        <f t="shared" si="38"/>
        <v>35098.92550495069</v>
      </c>
      <c r="M131" s="63">
        <f t="shared" si="35"/>
        <v>50820</v>
      </c>
      <c r="N131" s="63">
        <f t="shared" si="36"/>
        <v>35098.92550495069</v>
      </c>
      <c r="O131" s="78">
        <f t="shared" si="37"/>
        <v>1</v>
      </c>
      <c r="P131" t="b">
        <f t="shared" si="39"/>
        <v>1</v>
      </c>
    </row>
    <row r="132" spans="3:16" x14ac:dyDescent="0.25">
      <c r="C132" s="10">
        <v>92</v>
      </c>
      <c r="D132" s="10" t="str">
        <f t="shared" si="27"/>
        <v>CVCF</v>
      </c>
      <c r="E132" s="11">
        <f t="shared" si="28"/>
        <v>3</v>
      </c>
      <c r="F132" s="11">
        <f t="shared" si="29"/>
        <v>3</v>
      </c>
      <c r="G132" s="12">
        <f t="shared" si="30"/>
        <v>88.425530934145669</v>
      </c>
      <c r="H132" s="12">
        <f t="shared" si="31"/>
        <v>136.63515284476085</v>
      </c>
      <c r="I132" s="59">
        <f t="shared" si="32"/>
        <v>108.75042777440149</v>
      </c>
      <c r="J132" s="12">
        <f t="shared" si="33"/>
        <v>27.884725070359355</v>
      </c>
      <c r="K132" s="50">
        <f t="shared" si="34"/>
        <v>32177.103679631928</v>
      </c>
      <c r="L132" s="50">
        <f t="shared" si="38"/>
        <v>34302.542249656864</v>
      </c>
      <c r="M132" s="63">
        <f t="shared" si="35"/>
        <v>50267.608695652176</v>
      </c>
      <c r="N132" s="63">
        <f t="shared" si="36"/>
        <v>34302.542249656864</v>
      </c>
      <c r="O132" s="78">
        <f t="shared" si="37"/>
        <v>1</v>
      </c>
      <c r="P132" t="b">
        <f t="shared" si="39"/>
        <v>1</v>
      </c>
    </row>
    <row r="133" spans="3:16" x14ac:dyDescent="0.25">
      <c r="C133" s="10">
        <v>93</v>
      </c>
      <c r="D133" s="10" t="str">
        <f t="shared" si="27"/>
        <v>CVCF</v>
      </c>
      <c r="E133" s="11">
        <f t="shared" si="28"/>
        <v>3</v>
      </c>
      <c r="F133" s="11">
        <f t="shared" si="29"/>
        <v>3</v>
      </c>
      <c r="G133" s="12">
        <f t="shared" si="30"/>
        <v>87.474718773563467</v>
      </c>
      <c r="H133" s="12">
        <f t="shared" si="31"/>
        <v>135.1659576528817</v>
      </c>
      <c r="I133" s="59">
        <f t="shared" si="32"/>
        <v>107.58106833596706</v>
      </c>
      <c r="J133" s="12">
        <f t="shared" si="33"/>
        <v>27.58488931691463</v>
      </c>
      <c r="K133" s="50">
        <f t="shared" si="34"/>
        <v>31454.819352325787</v>
      </c>
      <c r="L133" s="50">
        <f t="shared" si="38"/>
        <v>33532.547880357321</v>
      </c>
      <c r="M133" s="63">
        <f t="shared" si="35"/>
        <v>49727.096774193546</v>
      </c>
      <c r="N133" s="63">
        <f t="shared" si="36"/>
        <v>33532.547880357321</v>
      </c>
      <c r="O133" s="78">
        <f t="shared" si="37"/>
        <v>1</v>
      </c>
      <c r="P133" t="b">
        <f t="shared" si="39"/>
        <v>1</v>
      </c>
    </row>
    <row r="134" spans="3:16" x14ac:dyDescent="0.25">
      <c r="C134" s="10">
        <v>94</v>
      </c>
      <c r="D134" s="10" t="str">
        <f t="shared" si="27"/>
        <v>CVCF</v>
      </c>
      <c r="E134" s="11">
        <f t="shared" si="28"/>
        <v>3</v>
      </c>
      <c r="F134" s="11">
        <f t="shared" si="29"/>
        <v>3</v>
      </c>
      <c r="G134" s="12">
        <f t="shared" si="30"/>
        <v>86.544136658951089</v>
      </c>
      <c r="H134" s="12">
        <f t="shared" si="31"/>
        <v>133.72802193317017</v>
      </c>
      <c r="I134" s="59">
        <f t="shared" si="32"/>
        <v>106.43658888558443</v>
      </c>
      <c r="J134" s="12">
        <f t="shared" si="33"/>
        <v>27.291433047585752</v>
      </c>
      <c r="K134" s="50">
        <f t="shared" si="34"/>
        <v>30756.215466195135</v>
      </c>
      <c r="L134" s="50">
        <f t="shared" si="38"/>
        <v>32787.798149046357</v>
      </c>
      <c r="M134" s="63">
        <f t="shared" si="35"/>
        <v>49198.085106382976</v>
      </c>
      <c r="N134" s="63">
        <f t="shared" si="36"/>
        <v>32787.798149046357</v>
      </c>
      <c r="O134" s="78">
        <f t="shared" si="37"/>
        <v>1</v>
      </c>
      <c r="P134" t="b">
        <f t="shared" si="39"/>
        <v>1</v>
      </c>
    </row>
    <row r="135" spans="3:16" x14ac:dyDescent="0.25">
      <c r="C135" s="10">
        <v>95</v>
      </c>
      <c r="D135" s="10" t="str">
        <f t="shared" si="27"/>
        <v>CVCF</v>
      </c>
      <c r="E135" s="11">
        <f t="shared" si="28"/>
        <v>3</v>
      </c>
      <c r="F135" s="11">
        <f t="shared" si="29"/>
        <v>3</v>
      </c>
      <c r="G135" s="12">
        <f t="shared" si="30"/>
        <v>85.633145746751595</v>
      </c>
      <c r="H135" s="12">
        <f t="shared" si="31"/>
        <v>132.32035854439997</v>
      </c>
      <c r="I135" s="59">
        <f t="shared" si="32"/>
        <v>105.31620373942039</v>
      </c>
      <c r="J135" s="12">
        <f t="shared" si="33"/>
        <v>27.004154804979585</v>
      </c>
      <c r="K135" s="50">
        <f t="shared" si="34"/>
        <v>30080.27595919868</v>
      </c>
      <c r="L135" s="50">
        <f t="shared" si="38"/>
        <v>32067.209878336482</v>
      </c>
      <c r="M135" s="63">
        <f t="shared" si="35"/>
        <v>48680.210526315786</v>
      </c>
      <c r="N135" s="63">
        <f t="shared" si="36"/>
        <v>32067.209878336482</v>
      </c>
      <c r="O135" s="78">
        <f t="shared" si="37"/>
        <v>1</v>
      </c>
      <c r="P135" t="b">
        <f t="shared" si="39"/>
        <v>1</v>
      </c>
    </row>
    <row r="136" spans="3:16" x14ac:dyDescent="0.25">
      <c r="C136" s="10">
        <v>96</v>
      </c>
      <c r="D136" s="10" t="str">
        <f t="shared" ref="D136:D190" si="40">VLOOKUP(F136,$B$36:$C$39,2,0)</f>
        <v>CVCF</v>
      </c>
      <c r="E136" s="11">
        <f t="shared" si="28"/>
        <v>3</v>
      </c>
      <c r="F136" s="11">
        <f t="shared" si="29"/>
        <v>3</v>
      </c>
      <c r="G136" s="12">
        <f t="shared" si="30"/>
        <v>84.741133811889597</v>
      </c>
      <c r="H136" s="12">
        <f t="shared" si="31"/>
        <v>130.94202147622914</v>
      </c>
      <c r="I136" s="59">
        <f t="shared" si="32"/>
        <v>104.2191599504681</v>
      </c>
      <c r="J136" s="12">
        <f t="shared" si="33"/>
        <v>26.722861525761047</v>
      </c>
      <c r="K136" s="50">
        <f t="shared" si="34"/>
        <v>29426.038436795061</v>
      </c>
      <c r="L136" s="50">
        <f t="shared" si="38"/>
        <v>31369.757103313525</v>
      </c>
      <c r="M136" s="63">
        <f t="shared" si="35"/>
        <v>48173.125</v>
      </c>
      <c r="N136" s="63">
        <f t="shared" si="36"/>
        <v>31369.757103313525</v>
      </c>
      <c r="O136" s="78">
        <f t="shared" si="37"/>
        <v>1</v>
      </c>
      <c r="P136" t="b">
        <f t="shared" si="39"/>
        <v>1</v>
      </c>
    </row>
    <row r="137" spans="3:16" x14ac:dyDescent="0.25">
      <c r="C137" s="10">
        <v>97</v>
      </c>
      <c r="D137" s="10" t="str">
        <f t="shared" si="40"/>
        <v>CVCF</v>
      </c>
      <c r="E137" s="11">
        <f t="shared" ref="E137:E190" si="41">IF(Speed&lt;E$12,0,IF(Speed&lt;=E$20,1,IF(Speed&lt;=E$26,2,3)))</f>
        <v>3</v>
      </c>
      <c r="F137" s="11">
        <f t="shared" ref="F137:F190" si="42">IF(Speed&lt;F$12,0,IF(Speed&lt;=F$20,1,IF(Speed&lt;=F$31,2,3)))</f>
        <v>3</v>
      </c>
      <c r="G137" s="12">
        <f t="shared" ref="G137:G190" si="43">IF(E137=0,E$16,IF(E137&lt;3,E$16+(E$22-E$16)*(Speed-E$12)/(E$26-E$12),E$22*E$26/Speed))*$O137+NoLoadCurrent</f>
        <v>83.867513875684551</v>
      </c>
      <c r="H137" s="12">
        <f t="shared" ref="H137:H168" si="44">IF(F137=0,F$16,IF(F137=1,F$16*Speed/F$12,IF(F137=2,F$32,I137)))*$O137+NoLoadCurrent</f>
        <v>129.59210372905153</v>
      </c>
      <c r="I137" s="59">
        <f t="shared" ref="I137:I190" si="45">F$22*F$26/Speed</f>
        <v>103.14473562108182</v>
      </c>
      <c r="J137" s="12">
        <f t="shared" ref="J137:J190" si="46">IF(Speed&lt;F$20,$F$15,$F$15*F$20/Speed)*$O137</f>
        <v>26.447368107969695</v>
      </c>
      <c r="K137" s="50">
        <f t="shared" ref="K137:K190" si="47">IF(E137&lt;3,E$11,(E$11*E$26/Speed)*(E$26^(F$30-1)/Speed^(F$30-1)))*$O137</f>
        <v>28792.590816241791</v>
      </c>
      <c r="L137" s="50">
        <f t="shared" si="38"/>
        <v>30694.467494176715</v>
      </c>
      <c r="M137" s="63">
        <f t="shared" ref="M137:M190" si="48">F$11*F$20/Speed</f>
        <v>47676.494845360823</v>
      </c>
      <c r="N137" s="63">
        <f t="shared" ref="N137:N190" si="49">(F$11*F$26/Speed)*(F$26^(F$30-1)/Speed^(F$30-1))</f>
        <v>30694.467494176715</v>
      </c>
      <c r="O137" s="78">
        <f t="shared" ref="O137:O190" si="50">1-IF(Speed&lt;F$14,(F$14-Speed)/F$14,0)</f>
        <v>1</v>
      </c>
      <c r="P137" t="b">
        <f t="shared" si="39"/>
        <v>1</v>
      </c>
    </row>
    <row r="138" spans="3:16" x14ac:dyDescent="0.25">
      <c r="C138" s="10">
        <v>98</v>
      </c>
      <c r="D138" s="10" t="str">
        <f t="shared" si="40"/>
        <v>CVCF</v>
      </c>
      <c r="E138" s="11">
        <f t="shared" si="41"/>
        <v>3</v>
      </c>
      <c r="F138" s="11">
        <f t="shared" si="42"/>
        <v>3</v>
      </c>
      <c r="G138" s="12">
        <f t="shared" si="43"/>
        <v>83.011722917769404</v>
      </c>
      <c r="H138" s="12">
        <f t="shared" si="44"/>
        <v>128.26973532365304</v>
      </c>
      <c r="I138" s="59">
        <f t="shared" si="45"/>
        <v>102.09223831882589</v>
      </c>
      <c r="J138" s="12">
        <f t="shared" si="46"/>
        <v>26.177497004827149</v>
      </c>
      <c r="K138" s="50">
        <f t="shared" si="47"/>
        <v>28179.068212635368</v>
      </c>
      <c r="L138" s="50">
        <f t="shared" si="38"/>
        <v>30040.419036588206</v>
      </c>
      <c r="M138" s="63">
        <f t="shared" si="48"/>
        <v>47190</v>
      </c>
      <c r="N138" s="63">
        <f t="shared" si="49"/>
        <v>30040.419036588206</v>
      </c>
      <c r="O138" s="78">
        <f t="shared" si="50"/>
        <v>1</v>
      </c>
      <c r="P138" t="b">
        <f t="shared" si="39"/>
        <v>1</v>
      </c>
    </row>
    <row r="139" spans="3:16" x14ac:dyDescent="0.25">
      <c r="C139" s="10">
        <v>99</v>
      </c>
      <c r="D139" s="10" t="str">
        <f t="shared" si="40"/>
        <v>CVCF</v>
      </c>
      <c r="E139" s="11">
        <f t="shared" si="41"/>
        <v>3</v>
      </c>
      <c r="F139" s="11">
        <f t="shared" si="42"/>
        <v>3</v>
      </c>
      <c r="G139" s="12">
        <f t="shared" si="43"/>
        <v>82.173220666074769</v>
      </c>
      <c r="H139" s="12">
        <f t="shared" si="44"/>
        <v>126.97408143149492</v>
      </c>
      <c r="I139" s="59">
        <f t="shared" si="45"/>
        <v>101.0610035883327</v>
      </c>
      <c r="J139" s="12">
        <f t="shared" si="46"/>
        <v>25.913077843162228</v>
      </c>
      <c r="K139" s="50">
        <f t="shared" si="47"/>
        <v>27584.65004702477</v>
      </c>
      <c r="L139" s="50">
        <f t="shared" si="38"/>
        <v>29406.736948764745</v>
      </c>
      <c r="M139" s="63">
        <f t="shared" si="48"/>
        <v>46713.333333333336</v>
      </c>
      <c r="N139" s="63">
        <f t="shared" si="49"/>
        <v>29406.736948764745</v>
      </c>
      <c r="O139" s="78">
        <f t="shared" si="50"/>
        <v>1</v>
      </c>
      <c r="P139" t="b">
        <f t="shared" si="39"/>
        <v>1</v>
      </c>
    </row>
    <row r="140" spans="3:16" x14ac:dyDescent="0.25">
      <c r="C140" s="10">
        <v>100</v>
      </c>
      <c r="D140" s="10" t="str">
        <f t="shared" si="40"/>
        <v>CVCF</v>
      </c>
      <c r="E140" s="11">
        <f t="shared" si="41"/>
        <v>3</v>
      </c>
      <c r="F140" s="11">
        <f t="shared" si="42"/>
        <v>3</v>
      </c>
      <c r="G140" s="12">
        <f t="shared" si="43"/>
        <v>81.351488459414014</v>
      </c>
      <c r="H140" s="12">
        <f t="shared" si="44"/>
        <v>125.70434061717997</v>
      </c>
      <c r="I140" s="59">
        <f t="shared" si="45"/>
        <v>100.05039355244936</v>
      </c>
      <c r="J140" s="12">
        <f t="shared" si="46"/>
        <v>25.653947064730605</v>
      </c>
      <c r="K140" s="50">
        <f t="shared" si="47"/>
        <v>27008.557358709975</v>
      </c>
      <c r="L140" s="50">
        <f t="shared" si="38"/>
        <v>28792.590816241776</v>
      </c>
      <c r="M140" s="63">
        <f t="shared" si="48"/>
        <v>46246.2</v>
      </c>
      <c r="N140" s="63">
        <f t="shared" si="49"/>
        <v>28792.590816241776</v>
      </c>
      <c r="O140" s="78">
        <f t="shared" si="50"/>
        <v>1</v>
      </c>
      <c r="P140" t="b">
        <f t="shared" si="39"/>
        <v>1</v>
      </c>
    </row>
    <row r="141" spans="3:16" x14ac:dyDescent="0.25">
      <c r="C141" s="10">
        <v>101</v>
      </c>
      <c r="D141" s="10" t="str">
        <f t="shared" si="40"/>
        <v>CVCF</v>
      </c>
      <c r="E141" s="11">
        <f t="shared" si="41"/>
        <v>3</v>
      </c>
      <c r="F141" s="11">
        <f t="shared" si="42"/>
        <v>3</v>
      </c>
      <c r="G141" s="12">
        <f t="shared" si="43"/>
        <v>80.546028177637638</v>
      </c>
      <c r="H141" s="12">
        <f t="shared" si="44"/>
        <v>124.4597431853267</v>
      </c>
      <c r="I141" s="59">
        <f t="shared" si="45"/>
        <v>99.05979559648452</v>
      </c>
      <c r="J141" s="12">
        <f t="shared" si="46"/>
        <v>25.399947588842185</v>
      </c>
      <c r="K141" s="50">
        <f t="shared" si="47"/>
        <v>26450.050305441087</v>
      </c>
      <c r="L141" s="50">
        <f t="shared" si="38"/>
        <v>28197.191926949745</v>
      </c>
      <c r="M141" s="63">
        <f t="shared" si="48"/>
        <v>45788.316831683165</v>
      </c>
      <c r="N141" s="63">
        <f t="shared" si="49"/>
        <v>28197.191926949745</v>
      </c>
      <c r="O141" s="78">
        <f t="shared" si="50"/>
        <v>1</v>
      </c>
      <c r="P141" t="b">
        <f t="shared" si="39"/>
        <v>1</v>
      </c>
    </row>
    <row r="142" spans="3:16" x14ac:dyDescent="0.25">
      <c r="C142" s="10">
        <v>102</v>
      </c>
      <c r="D142" s="10" t="str">
        <f t="shared" si="40"/>
        <v>CVCF</v>
      </c>
      <c r="E142" s="11">
        <f t="shared" si="41"/>
        <v>3</v>
      </c>
      <c r="F142" s="11">
        <f t="shared" si="42"/>
        <v>3</v>
      </c>
      <c r="G142" s="12">
        <f t="shared" si="43"/>
        <v>79.756361234719634</v>
      </c>
      <c r="H142" s="12">
        <f t="shared" si="44"/>
        <v>123.23954962468625</v>
      </c>
      <c r="I142" s="59">
        <f t="shared" si="45"/>
        <v>98.088621129852328</v>
      </c>
      <c r="J142" s="12">
        <f t="shared" si="46"/>
        <v>25.150928494833927</v>
      </c>
      <c r="K142" s="50">
        <f t="shared" si="47"/>
        <v>25908.425836676677</v>
      </c>
      <c r="L142" s="50">
        <f t="shared" si="38"/>
        <v>27619.790790780993</v>
      </c>
      <c r="M142" s="63">
        <f t="shared" si="48"/>
        <v>45339.411764705881</v>
      </c>
      <c r="N142" s="63">
        <f t="shared" si="49"/>
        <v>27619.790790780993</v>
      </c>
      <c r="O142" s="78">
        <f t="shared" si="50"/>
        <v>1</v>
      </c>
      <c r="P142" t="b">
        <f t="shared" si="39"/>
        <v>1</v>
      </c>
    </row>
    <row r="143" spans="3:16" x14ac:dyDescent="0.25">
      <c r="C143" s="10">
        <v>103</v>
      </c>
      <c r="D143" s="10" t="str">
        <f t="shared" si="40"/>
        <v>CVCF</v>
      </c>
      <c r="E143" s="11">
        <f t="shared" si="41"/>
        <v>3</v>
      </c>
      <c r="F143" s="11">
        <f t="shared" si="42"/>
        <v>3</v>
      </c>
      <c r="G143" s="12">
        <f t="shared" si="43"/>
        <v>78.982027630499047</v>
      </c>
      <c r="H143" s="12">
        <f t="shared" si="44"/>
        <v>122.04304914289318</v>
      </c>
      <c r="I143" s="59">
        <f t="shared" si="45"/>
        <v>97.136304419853758</v>
      </c>
      <c r="J143" s="12">
        <f t="shared" si="46"/>
        <v>24.906744723039424</v>
      </c>
      <c r="K143" s="50">
        <f t="shared" si="47"/>
        <v>25383.015526366311</v>
      </c>
      <c r="L143" s="50">
        <f t="shared" si="38"/>
        <v>27059.674829218075</v>
      </c>
      <c r="M143" s="63">
        <f t="shared" si="48"/>
        <v>44899.223300970873</v>
      </c>
      <c r="N143" s="63">
        <f t="shared" si="49"/>
        <v>27059.674829218075</v>
      </c>
      <c r="O143" s="78">
        <f t="shared" si="50"/>
        <v>1</v>
      </c>
      <c r="P143" t="b">
        <f t="shared" si="39"/>
        <v>1</v>
      </c>
    </row>
    <row r="144" spans="3:16" x14ac:dyDescent="0.25">
      <c r="C144" s="10">
        <v>104</v>
      </c>
      <c r="D144" s="10" t="str">
        <f t="shared" si="40"/>
        <v>CVCF</v>
      </c>
      <c r="E144" s="11">
        <f t="shared" si="41"/>
        <v>3</v>
      </c>
      <c r="F144" s="11">
        <f t="shared" si="42"/>
        <v>3</v>
      </c>
      <c r="G144" s="12">
        <f t="shared" si="43"/>
        <v>78.222585057128867</v>
      </c>
      <c r="H144" s="12">
        <f t="shared" si="44"/>
        <v>120.86955828574997</v>
      </c>
      <c r="I144" s="59">
        <f t="shared" si="45"/>
        <v>96.202301492739778</v>
      </c>
      <c r="J144" s="12">
        <f t="shared" si="46"/>
        <v>24.667256793010196</v>
      </c>
      <c r="K144" s="50">
        <f t="shared" si="47"/>
        <v>24873.183552898634</v>
      </c>
      <c r="L144" s="50">
        <f t="shared" si="38"/>
        <v>26516.166221848569</v>
      </c>
      <c r="M144" s="63">
        <f t="shared" si="48"/>
        <v>44467.5</v>
      </c>
      <c r="N144" s="63">
        <f t="shared" si="49"/>
        <v>26516.166221848569</v>
      </c>
      <c r="O144" s="78">
        <f t="shared" si="50"/>
        <v>1</v>
      </c>
      <c r="P144" t="b">
        <f t="shared" si="39"/>
        <v>1</v>
      </c>
    </row>
    <row r="145" spans="3:16" x14ac:dyDescent="0.25">
      <c r="C145" s="10">
        <v>105</v>
      </c>
      <c r="D145" s="10" t="str">
        <f t="shared" si="40"/>
        <v>CVCF</v>
      </c>
      <c r="E145" s="11">
        <f t="shared" si="41"/>
        <v>3</v>
      </c>
      <c r="F145" s="11">
        <f t="shared" si="42"/>
        <v>3</v>
      </c>
      <c r="G145" s="12">
        <f t="shared" si="43"/>
        <v>77.477608056584771</v>
      </c>
      <c r="H145" s="12">
        <f t="shared" si="44"/>
        <v>119.71841963540949</v>
      </c>
      <c r="I145" s="59">
        <f t="shared" si="45"/>
        <v>95.286089097570823</v>
      </c>
      <c r="J145" s="12">
        <f t="shared" si="46"/>
        <v>24.43233053783867</v>
      </c>
      <c r="K145" s="50">
        <f t="shared" si="47"/>
        <v>24378.324814922027</v>
      </c>
      <c r="L145" s="50">
        <f t="shared" si="38"/>
        <v>25988.619897727436</v>
      </c>
      <c r="M145" s="63">
        <f t="shared" si="48"/>
        <v>44044</v>
      </c>
      <c r="N145" s="63">
        <f t="shared" si="49"/>
        <v>25988.619897727436</v>
      </c>
      <c r="O145" s="78">
        <f t="shared" si="50"/>
        <v>1</v>
      </c>
      <c r="P145" t="b">
        <f t="shared" si="39"/>
        <v>1</v>
      </c>
    </row>
    <row r="146" spans="3:16" x14ac:dyDescent="0.25">
      <c r="C146" s="10">
        <v>106</v>
      </c>
      <c r="D146" s="10" t="str">
        <f t="shared" si="40"/>
        <v>CVCF</v>
      </c>
      <c r="E146" s="11">
        <f t="shared" si="41"/>
        <v>3</v>
      </c>
      <c r="F146" s="11">
        <f t="shared" si="42"/>
        <v>3</v>
      </c>
      <c r="G146" s="12">
        <f t="shared" si="43"/>
        <v>76.746687225862274</v>
      </c>
      <c r="H146" s="12">
        <f t="shared" si="44"/>
        <v>118.58900058224526</v>
      </c>
      <c r="I146" s="59">
        <f t="shared" si="45"/>
        <v>94.387163728725824</v>
      </c>
      <c r="J146" s="12">
        <f t="shared" si="46"/>
        <v>24.201836853519438</v>
      </c>
      <c r="K146" s="50">
        <f t="shared" si="47"/>
        <v>23897.863172710004</v>
      </c>
      <c r="L146" s="50">
        <f t="shared" si="38"/>
        <v>25476.421660576903</v>
      </c>
      <c r="M146" s="63">
        <f t="shared" si="48"/>
        <v>43628.490566037734</v>
      </c>
      <c r="N146" s="63">
        <f t="shared" si="49"/>
        <v>25476.421660576903</v>
      </c>
      <c r="O146" s="78">
        <f t="shared" si="50"/>
        <v>1</v>
      </c>
      <c r="P146" t="b">
        <f t="shared" si="39"/>
        <v>1</v>
      </c>
    </row>
    <row r="147" spans="3:16" x14ac:dyDescent="0.25">
      <c r="C147" s="10">
        <v>107</v>
      </c>
      <c r="D147" s="10" t="str">
        <f t="shared" si="40"/>
        <v>CVCF</v>
      </c>
      <c r="E147" s="11">
        <f t="shared" si="41"/>
        <v>3</v>
      </c>
      <c r="F147" s="11">
        <f t="shared" si="42"/>
        <v>3</v>
      </c>
      <c r="G147" s="12">
        <f t="shared" si="43"/>
        <v>76.029428466742075</v>
      </c>
      <c r="H147" s="12">
        <f t="shared" si="44"/>
        <v>117.48069216558876</v>
      </c>
      <c r="I147" s="59">
        <f t="shared" si="45"/>
        <v>93.505040703223713</v>
      </c>
      <c r="J147" s="12">
        <f t="shared" si="46"/>
        <v>23.97565146236505</v>
      </c>
      <c r="K147" s="50">
        <f t="shared" si="47"/>
        <v>23431.249805616524</v>
      </c>
      <c r="L147" s="50">
        <f t="shared" si="38"/>
        <v>24978.986437744512</v>
      </c>
      <c r="M147" s="63">
        <f t="shared" si="48"/>
        <v>43220.747663551403</v>
      </c>
      <c r="N147" s="63">
        <f t="shared" si="49"/>
        <v>24978.986437744512</v>
      </c>
      <c r="O147" s="78">
        <f t="shared" si="50"/>
        <v>1</v>
      </c>
      <c r="P147" t="b">
        <f t="shared" si="39"/>
        <v>1</v>
      </c>
    </row>
    <row r="148" spans="3:16" x14ac:dyDescent="0.25">
      <c r="C148" s="10">
        <v>108</v>
      </c>
      <c r="D148" s="10" t="str">
        <f t="shared" si="40"/>
        <v>CVCF</v>
      </c>
      <c r="E148" s="11">
        <f t="shared" si="41"/>
        <v>3</v>
      </c>
      <c r="F148" s="11">
        <f t="shared" si="42"/>
        <v>3</v>
      </c>
      <c r="G148" s="12">
        <f t="shared" si="43"/>
        <v>75.3254522772352</v>
      </c>
      <c r="H148" s="12">
        <f t="shared" si="44"/>
        <v>116.39290797887035</v>
      </c>
      <c r="I148" s="59">
        <f t="shared" si="45"/>
        <v>92.639253289304975</v>
      </c>
      <c r="J148" s="12">
        <f t="shared" si="46"/>
        <v>23.753654689565376</v>
      </c>
      <c r="K148" s="50">
        <f t="shared" si="47"/>
        <v>22977.961676959265</v>
      </c>
      <c r="L148" s="50">
        <f t="shared" si="38"/>
        <v>24495.756643685203</v>
      </c>
      <c r="M148" s="63">
        <f t="shared" si="48"/>
        <v>42820.555555555555</v>
      </c>
      <c r="N148" s="63">
        <f t="shared" si="49"/>
        <v>24495.756643685203</v>
      </c>
      <c r="O148" s="78">
        <f t="shared" si="50"/>
        <v>1</v>
      </c>
      <c r="P148" t="b">
        <f t="shared" si="39"/>
        <v>1</v>
      </c>
    </row>
    <row r="149" spans="3:16" x14ac:dyDescent="0.25">
      <c r="C149" s="10">
        <v>109</v>
      </c>
      <c r="D149" s="10" t="str">
        <f t="shared" si="40"/>
        <v>CVCF</v>
      </c>
      <c r="E149" s="11">
        <f t="shared" si="41"/>
        <v>3</v>
      </c>
      <c r="F149" s="11">
        <f t="shared" si="42"/>
        <v>3</v>
      </c>
      <c r="G149" s="12">
        <f t="shared" si="43"/>
        <v>74.63439308203121</v>
      </c>
      <c r="H149" s="12">
        <f t="shared" si="44"/>
        <v>115.3250831350275</v>
      </c>
      <c r="I149" s="59">
        <f t="shared" si="45"/>
        <v>91.789351882981066</v>
      </c>
      <c r="J149" s="12">
        <f t="shared" si="46"/>
        <v>23.535731252046428</v>
      </c>
      <c r="K149" s="50">
        <f t="shared" si="47"/>
        <v>22537.500098388427</v>
      </c>
      <c r="L149" s="50">
        <f t="shared" si="38"/>
        <v>24026.200649500406</v>
      </c>
      <c r="M149" s="63">
        <f t="shared" si="48"/>
        <v>42427.706422018346</v>
      </c>
      <c r="N149" s="63">
        <f t="shared" si="49"/>
        <v>24026.200649500406</v>
      </c>
      <c r="O149" s="78">
        <f t="shared" si="50"/>
        <v>1</v>
      </c>
      <c r="P149" t="b">
        <f t="shared" si="39"/>
        <v>1</v>
      </c>
    </row>
    <row r="150" spans="3:16" x14ac:dyDescent="0.25">
      <c r="C150" s="10">
        <v>110</v>
      </c>
      <c r="D150" s="10" t="str">
        <f t="shared" si="40"/>
        <v>CVCF</v>
      </c>
      <c r="E150" s="11">
        <f t="shared" si="41"/>
        <v>3</v>
      </c>
      <c r="F150" s="11">
        <f t="shared" si="42"/>
        <v>3</v>
      </c>
      <c r="G150" s="12">
        <f t="shared" si="43"/>
        <v>73.95589859946729</v>
      </c>
      <c r="H150" s="12">
        <f t="shared" si="44"/>
        <v>114.27667328834542</v>
      </c>
      <c r="I150" s="59">
        <f t="shared" si="45"/>
        <v>90.954903229499422</v>
      </c>
      <c r="J150" s="12">
        <f t="shared" si="46"/>
        <v>23.321770058846006</v>
      </c>
      <c r="K150" s="50">
        <f t="shared" si="47"/>
        <v>22109.389386452058</v>
      </c>
      <c r="L150" s="50">
        <f t="shared" si="38"/>
        <v>23569.811350763626</v>
      </c>
      <c r="M150" s="63">
        <f t="shared" si="48"/>
        <v>42042</v>
      </c>
      <c r="N150" s="63">
        <f t="shared" si="49"/>
        <v>23569.811350763626</v>
      </c>
      <c r="O150" s="78">
        <f t="shared" si="50"/>
        <v>1</v>
      </c>
      <c r="P150" t="b">
        <f t="shared" si="39"/>
        <v>1</v>
      </c>
    </row>
    <row r="151" spans="3:16" x14ac:dyDescent="0.25">
      <c r="C151" s="10">
        <v>111</v>
      </c>
      <c r="D151" s="10" t="str">
        <f t="shared" si="40"/>
        <v>CVCF</v>
      </c>
      <c r="E151" s="11">
        <f t="shared" si="41"/>
        <v>3</v>
      </c>
      <c r="F151" s="11">
        <f t="shared" si="42"/>
        <v>3</v>
      </c>
      <c r="G151" s="12">
        <f t="shared" si="43"/>
        <v>73.289629242715336</v>
      </c>
      <c r="H151" s="12">
        <f t="shared" si="44"/>
        <v>113.24715370917114</v>
      </c>
      <c r="I151" s="59">
        <f t="shared" si="45"/>
        <v>90.135489686891319</v>
      </c>
      <c r="J151" s="12">
        <f t="shared" si="46"/>
        <v>23.111664022279825</v>
      </c>
      <c r="K151" s="50">
        <f t="shared" si="47"/>
        <v>21693.175604664018</v>
      </c>
      <c r="L151" s="50">
        <f t="shared" si="38"/>
        <v>23126.104826496459</v>
      </c>
      <c r="M151" s="63">
        <f t="shared" si="48"/>
        <v>41663.24324324324</v>
      </c>
      <c r="N151" s="63">
        <f t="shared" si="49"/>
        <v>23126.104826496459</v>
      </c>
      <c r="O151" s="78">
        <f t="shared" si="50"/>
        <v>1</v>
      </c>
      <c r="P151" t="b">
        <f t="shared" si="39"/>
        <v>1</v>
      </c>
    </row>
    <row r="152" spans="3:16" x14ac:dyDescent="0.25">
      <c r="C152" s="10">
        <v>112</v>
      </c>
      <c r="D152" s="10" t="str">
        <f t="shared" si="40"/>
        <v>CVCF</v>
      </c>
      <c r="E152" s="11">
        <f t="shared" si="41"/>
        <v>3</v>
      </c>
      <c r="F152" s="11">
        <f t="shared" si="42"/>
        <v>3</v>
      </c>
      <c r="G152" s="12">
        <f t="shared" si="43"/>
        <v>72.635257553048234</v>
      </c>
      <c r="H152" s="12">
        <f t="shared" si="44"/>
        <v>112.2360184081964</v>
      </c>
      <c r="I152" s="59">
        <f t="shared" si="45"/>
        <v>89.33070852897265</v>
      </c>
      <c r="J152" s="12">
        <f t="shared" si="46"/>
        <v>22.905309879223754</v>
      </c>
      <c r="K152" s="50">
        <f t="shared" si="47"/>
        <v>21288.425384921171</v>
      </c>
      <c r="L152" s="50">
        <f t="shared" si="38"/>
        <v>22694.619082735269</v>
      </c>
      <c r="M152" s="63">
        <f t="shared" si="48"/>
        <v>41291.25</v>
      </c>
      <c r="N152" s="63">
        <f t="shared" si="49"/>
        <v>22694.619082735269</v>
      </c>
      <c r="O152" s="78">
        <f t="shared" si="50"/>
        <v>1</v>
      </c>
      <c r="P152" t="b">
        <f t="shared" si="39"/>
        <v>1</v>
      </c>
    </row>
    <row r="153" spans="3:16" x14ac:dyDescent="0.25">
      <c r="C153" s="10">
        <v>113</v>
      </c>
      <c r="D153" s="10" t="str">
        <f t="shared" si="40"/>
        <v>CVCF</v>
      </c>
      <c r="E153" s="11">
        <f t="shared" si="41"/>
        <v>3</v>
      </c>
      <c r="F153" s="11">
        <f t="shared" si="42"/>
        <v>3</v>
      </c>
      <c r="G153" s="12">
        <f t="shared" si="43"/>
        <v>71.992467663198241</v>
      </c>
      <c r="H153" s="12">
        <f t="shared" si="44"/>
        <v>111.24277930723892</v>
      </c>
      <c r="I153" s="59">
        <f t="shared" si="45"/>
        <v>88.540171285353424</v>
      </c>
      <c r="J153" s="12">
        <f t="shared" si="46"/>
        <v>22.702608021885492</v>
      </c>
      <c r="K153" s="50">
        <f t="shared" si="47"/>
        <v>20894.724822610173</v>
      </c>
      <c r="L153" s="50">
        <f t="shared" si="38"/>
        <v>22274.912874654918</v>
      </c>
      <c r="M153" s="63">
        <f t="shared" si="48"/>
        <v>40925.840707964599</v>
      </c>
      <c r="N153" s="63">
        <f t="shared" si="49"/>
        <v>22274.912874654918</v>
      </c>
      <c r="O153" s="78">
        <f t="shared" si="50"/>
        <v>1</v>
      </c>
      <c r="P153" t="b">
        <f t="shared" si="39"/>
        <v>1</v>
      </c>
    </row>
    <row r="154" spans="3:16" x14ac:dyDescent="0.25">
      <c r="C154" s="10">
        <v>114</v>
      </c>
      <c r="D154" s="10" t="str">
        <f t="shared" si="40"/>
        <v>CVCF</v>
      </c>
      <c r="E154" s="11">
        <f t="shared" si="41"/>
        <v>3</v>
      </c>
      <c r="F154" s="11">
        <f t="shared" si="42"/>
        <v>3</v>
      </c>
      <c r="G154" s="12">
        <f t="shared" si="43"/>
        <v>71.360954788959674</v>
      </c>
      <c r="H154" s="12">
        <f t="shared" si="44"/>
        <v>110.26696545366664</v>
      </c>
      <c r="I154" s="59">
        <f t="shared" si="45"/>
        <v>87.763503116183657</v>
      </c>
      <c r="J154" s="12">
        <f t="shared" si="46"/>
        <v>22.503462337482986</v>
      </c>
      <c r="K154" s="50">
        <f t="shared" si="47"/>
        <v>20511.678440193373</v>
      </c>
      <c r="L154" s="50">
        <f t="shared" si="38"/>
        <v>21866.564601694983</v>
      </c>
      <c r="M154" s="63">
        <f t="shared" si="48"/>
        <v>40566.84210526316</v>
      </c>
      <c r="N154" s="63">
        <f t="shared" si="49"/>
        <v>21866.564601694983</v>
      </c>
      <c r="O154" s="78">
        <f t="shared" si="50"/>
        <v>1</v>
      </c>
      <c r="P154" t="b">
        <f t="shared" si="39"/>
        <v>1</v>
      </c>
    </row>
    <row r="155" spans="3:16" x14ac:dyDescent="0.25">
      <c r="C155" s="10">
        <v>115</v>
      </c>
      <c r="D155" s="10" t="str">
        <f t="shared" si="40"/>
        <v>CVCF</v>
      </c>
      <c r="E155" s="11">
        <f t="shared" si="41"/>
        <v>3</v>
      </c>
      <c r="F155" s="11">
        <f t="shared" si="42"/>
        <v>3</v>
      </c>
      <c r="G155" s="12">
        <f t="shared" si="43"/>
        <v>70.740424747316538</v>
      </c>
      <c r="H155" s="12">
        <f t="shared" si="44"/>
        <v>109.30812227580867</v>
      </c>
      <c r="I155" s="59">
        <f t="shared" si="45"/>
        <v>87.000342219521187</v>
      </c>
      <c r="J155" s="12">
        <f t="shared" si="46"/>
        <v>22.307780056287484</v>
      </c>
      <c r="K155" s="50">
        <f t="shared" si="47"/>
        <v>20138.908214473802</v>
      </c>
      <c r="L155" s="50">
        <f t="shared" si="38"/>
        <v>21469.17127057134</v>
      </c>
      <c r="M155" s="63">
        <f t="shared" si="48"/>
        <v>40214.086956521736</v>
      </c>
      <c r="N155" s="63">
        <f t="shared" si="49"/>
        <v>21469.17127057134</v>
      </c>
      <c r="O155" s="78">
        <f t="shared" si="50"/>
        <v>1</v>
      </c>
      <c r="P155" t="b">
        <f t="shared" si="39"/>
        <v>1</v>
      </c>
    </row>
    <row r="156" spans="3:16" x14ac:dyDescent="0.25">
      <c r="C156" s="10">
        <v>116</v>
      </c>
      <c r="D156" s="10" t="str">
        <f t="shared" si="40"/>
        <v>CVCF</v>
      </c>
      <c r="E156" s="11">
        <f t="shared" si="41"/>
        <v>3</v>
      </c>
      <c r="F156" s="11">
        <f t="shared" si="42"/>
        <v>3</v>
      </c>
      <c r="G156" s="12">
        <f t="shared" si="43"/>
        <v>70.13059349949485</v>
      </c>
      <c r="H156" s="12">
        <f t="shared" si="44"/>
        <v>108.36581087687929</v>
      </c>
      <c r="I156" s="59">
        <f t="shared" si="45"/>
        <v>86.250339269352907</v>
      </c>
      <c r="J156" s="12">
        <f t="shared" si="46"/>
        <v>22.115471607526384</v>
      </c>
      <c r="K156" s="50">
        <f t="shared" si="47"/>
        <v>19776.052663113842</v>
      </c>
      <c r="L156" s="50">
        <f t="shared" si="38"/>
        <v>21082.347521455406</v>
      </c>
      <c r="M156" s="63">
        <f t="shared" si="48"/>
        <v>39867.413793103449</v>
      </c>
      <c r="N156" s="63">
        <f t="shared" si="49"/>
        <v>21082.347521455406</v>
      </c>
      <c r="O156" s="78">
        <f t="shared" si="50"/>
        <v>1</v>
      </c>
      <c r="P156" t="b">
        <f t="shared" si="39"/>
        <v>1</v>
      </c>
    </row>
    <row r="157" spans="3:16" x14ac:dyDescent="0.25">
      <c r="C157" s="10">
        <v>117</v>
      </c>
      <c r="D157" s="10" t="str">
        <f t="shared" si="40"/>
        <v>CVCF</v>
      </c>
      <c r="E157" s="11">
        <f t="shared" si="41"/>
        <v>3</v>
      </c>
      <c r="F157" s="11">
        <f t="shared" si="42"/>
        <v>3</v>
      </c>
      <c r="G157" s="12">
        <f t="shared" si="43"/>
        <v>69.531186717447881</v>
      </c>
      <c r="H157" s="12">
        <f t="shared" si="44"/>
        <v>107.43960736511109</v>
      </c>
      <c r="I157" s="59">
        <f t="shared" si="45"/>
        <v>85.513156882435354</v>
      </c>
      <c r="J157" s="12">
        <f t="shared" si="46"/>
        <v>21.92645048267573</v>
      </c>
      <c r="K157" s="50">
        <f t="shared" si="47"/>
        <v>19422.765986325103</v>
      </c>
      <c r="L157" s="50">
        <f t="shared" si="38"/>
        <v>20705.724712968826</v>
      </c>
      <c r="M157" s="63">
        <f t="shared" si="48"/>
        <v>39526.666666666664</v>
      </c>
      <c r="N157" s="63">
        <f t="shared" si="49"/>
        <v>20705.724712968826</v>
      </c>
      <c r="O157" s="78">
        <f t="shared" si="50"/>
        <v>1</v>
      </c>
      <c r="P157" t="b">
        <f t="shared" si="39"/>
        <v>1</v>
      </c>
    </row>
    <row r="158" spans="3:16" x14ac:dyDescent="0.25">
      <c r="C158" s="10">
        <v>118</v>
      </c>
      <c r="D158" s="10" t="str">
        <f t="shared" si="40"/>
        <v>CVCF</v>
      </c>
      <c r="E158" s="11">
        <f t="shared" si="41"/>
        <v>3</v>
      </c>
      <c r="F158" s="11">
        <f t="shared" si="42"/>
        <v>3</v>
      </c>
      <c r="G158" s="12">
        <f t="shared" si="43"/>
        <v>68.941939372384766</v>
      </c>
      <c r="H158" s="12">
        <f t="shared" si="44"/>
        <v>106.52910221794913</v>
      </c>
      <c r="I158" s="59">
        <f t="shared" si="45"/>
        <v>84.788469112245224</v>
      </c>
      <c r="J158" s="12">
        <f t="shared" si="46"/>
        <v>21.740633105703903</v>
      </c>
      <c r="K158" s="50">
        <f t="shared" si="47"/>
        <v>19078.717259959925</v>
      </c>
      <c r="L158" s="50">
        <f t="shared" si="38"/>
        <v>20338.950061975222</v>
      </c>
      <c r="M158" s="63">
        <f t="shared" si="48"/>
        <v>39191.694915254237</v>
      </c>
      <c r="N158" s="63">
        <f t="shared" si="49"/>
        <v>20338.950061975222</v>
      </c>
      <c r="O158" s="78">
        <f t="shared" si="50"/>
        <v>1</v>
      </c>
      <c r="P158" t="b">
        <f t="shared" si="39"/>
        <v>1</v>
      </c>
    </row>
    <row r="159" spans="3:16" x14ac:dyDescent="0.25">
      <c r="C159" s="10">
        <v>119</v>
      </c>
      <c r="D159" s="10" t="str">
        <f t="shared" si="40"/>
        <v>CVCF</v>
      </c>
      <c r="E159" s="11">
        <f t="shared" si="41"/>
        <v>3</v>
      </c>
      <c r="F159" s="11">
        <f t="shared" si="42"/>
        <v>3</v>
      </c>
      <c r="G159" s="12">
        <f t="shared" si="43"/>
        <v>68.362595344045388</v>
      </c>
      <c r="H159" s="12">
        <f t="shared" si="44"/>
        <v>105.6338996783025</v>
      </c>
      <c r="I159" s="59">
        <f t="shared" si="45"/>
        <v>84.075960968444846</v>
      </c>
      <c r="J159" s="12">
        <f t="shared" si="46"/>
        <v>21.557938709857652</v>
      </c>
      <c r="K159" s="50">
        <f t="shared" si="47"/>
        <v>18743.589676522115</v>
      </c>
      <c r="L159" s="50">
        <f t="shared" si="38"/>
        <v>19981.685834456264</v>
      </c>
      <c r="M159" s="63">
        <f t="shared" si="48"/>
        <v>38862.352941176468</v>
      </c>
      <c r="N159" s="63">
        <f t="shared" si="49"/>
        <v>19981.685834456264</v>
      </c>
      <c r="O159" s="78">
        <f t="shared" si="50"/>
        <v>1</v>
      </c>
      <c r="P159" t="b">
        <f t="shared" si="39"/>
        <v>1</v>
      </c>
    </row>
    <row r="160" spans="3:16" x14ac:dyDescent="0.25">
      <c r="C160" s="10">
        <v>120</v>
      </c>
      <c r="D160" s="10" t="str">
        <f t="shared" si="40"/>
        <v>CVCF</v>
      </c>
      <c r="E160" s="11">
        <f t="shared" si="41"/>
        <v>3</v>
      </c>
      <c r="F160" s="11">
        <f t="shared" si="42"/>
        <v>3</v>
      </c>
      <c r="G160" s="12">
        <f t="shared" si="43"/>
        <v>67.792907049511683</v>
      </c>
      <c r="H160" s="12">
        <f t="shared" si="44"/>
        <v>104.75361718098331</v>
      </c>
      <c r="I160" s="59">
        <f t="shared" si="45"/>
        <v>83.375327960374477</v>
      </c>
      <c r="J160" s="12">
        <f t="shared" si="46"/>
        <v>21.378289220608838</v>
      </c>
      <c r="K160" s="50">
        <f t="shared" si="47"/>
        <v>18417.079830877199</v>
      </c>
      <c r="L160" s="50">
        <f t="shared" si="38"/>
        <v>19633.608584040063</v>
      </c>
      <c r="M160" s="63">
        <f t="shared" si="48"/>
        <v>38538.5</v>
      </c>
      <c r="N160" s="63">
        <f t="shared" si="49"/>
        <v>19633.608584040063</v>
      </c>
      <c r="O160" s="78">
        <f t="shared" si="50"/>
        <v>1</v>
      </c>
      <c r="P160" t="b">
        <f t="shared" si="39"/>
        <v>1</v>
      </c>
    </row>
    <row r="161" spans="3:16" x14ac:dyDescent="0.25">
      <c r="C161" s="10">
        <v>121</v>
      </c>
      <c r="D161" s="10" t="str">
        <f t="shared" si="40"/>
        <v>CVCF</v>
      </c>
      <c r="E161" s="11">
        <f t="shared" si="41"/>
        <v>3</v>
      </c>
      <c r="F161" s="11">
        <f t="shared" si="42"/>
        <v>3</v>
      </c>
      <c r="G161" s="12">
        <f t="shared" si="43"/>
        <v>67.232635090424807</v>
      </c>
      <c r="H161" s="12">
        <f t="shared" si="44"/>
        <v>103.88788480758674</v>
      </c>
      <c r="I161" s="59">
        <f t="shared" si="45"/>
        <v>82.686275663181291</v>
      </c>
      <c r="J161" s="12">
        <f t="shared" si="46"/>
        <v>21.20160914440546</v>
      </c>
      <c r="K161" s="50">
        <f t="shared" si="47"/>
        <v>18098.897047683957</v>
      </c>
      <c r="L161" s="50">
        <f t="shared" si="38"/>
        <v>19294.408435006491</v>
      </c>
      <c r="M161" s="63">
        <f t="shared" si="48"/>
        <v>38220</v>
      </c>
      <c r="N161" s="63">
        <f t="shared" si="49"/>
        <v>19294.408435006491</v>
      </c>
      <c r="O161" s="78">
        <f t="shared" si="50"/>
        <v>1</v>
      </c>
      <c r="P161" t="b">
        <f t="shared" si="39"/>
        <v>1</v>
      </c>
    </row>
    <row r="162" spans="3:16" x14ac:dyDescent="0.25">
      <c r="C162" s="10">
        <v>122</v>
      </c>
      <c r="D162" s="10" t="str">
        <f t="shared" si="40"/>
        <v>CVCF</v>
      </c>
      <c r="E162" s="11">
        <f t="shared" si="41"/>
        <v>3</v>
      </c>
      <c r="F162" s="11">
        <f t="shared" si="42"/>
        <v>3</v>
      </c>
      <c r="G162" s="12">
        <f t="shared" si="43"/>
        <v>66.681547917552479</v>
      </c>
      <c r="H162" s="12">
        <f t="shared" si="44"/>
        <v>103.03634476818031</v>
      </c>
      <c r="I162" s="59">
        <f t="shared" si="45"/>
        <v>82.00851930528637</v>
      </c>
      <c r="J162" s="12">
        <f t="shared" si="46"/>
        <v>21.02782546289394</v>
      </c>
      <c r="K162" s="50">
        <f t="shared" si="47"/>
        <v>17788.762747789424</v>
      </c>
      <c r="L162" s="50">
        <f t="shared" si="38"/>
        <v>18963.788406829939</v>
      </c>
      <c r="M162" s="63">
        <f t="shared" si="48"/>
        <v>37906.721311475412</v>
      </c>
      <c r="N162" s="63">
        <f t="shared" si="49"/>
        <v>18963.788406829939</v>
      </c>
      <c r="O162" s="78">
        <f t="shared" si="50"/>
        <v>1</v>
      </c>
      <c r="P162" t="b">
        <f t="shared" si="39"/>
        <v>1</v>
      </c>
    </row>
    <row r="163" spans="3:16" x14ac:dyDescent="0.25">
      <c r="C163" s="10">
        <v>123</v>
      </c>
      <c r="D163" s="10" t="str">
        <f t="shared" si="40"/>
        <v>CVCF</v>
      </c>
      <c r="E163" s="11">
        <f t="shared" si="41"/>
        <v>3</v>
      </c>
      <c r="F163" s="11">
        <f t="shared" si="42"/>
        <v>3</v>
      </c>
      <c r="G163" s="12">
        <f t="shared" si="43"/>
        <v>66.139421511718709</v>
      </c>
      <c r="H163" s="12">
        <f t="shared" si="44"/>
        <v>102.19865090827641</v>
      </c>
      <c r="I163" s="59">
        <f t="shared" si="45"/>
        <v>81.341783375975098</v>
      </c>
      <c r="J163" s="12">
        <f t="shared" si="46"/>
        <v>20.856867532301305</v>
      </c>
      <c r="K163" s="50">
        <f t="shared" si="47"/>
        <v>17486.409851033222</v>
      </c>
      <c r="L163" s="50">
        <f t="shared" si="38"/>
        <v>18641.463777536126</v>
      </c>
      <c r="M163" s="63">
        <f t="shared" si="48"/>
        <v>37598.536585365851</v>
      </c>
      <c r="N163" s="63">
        <f t="shared" si="49"/>
        <v>18641.463777536126</v>
      </c>
      <c r="O163" s="78">
        <f t="shared" si="50"/>
        <v>1</v>
      </c>
      <c r="P163" t="b">
        <f t="shared" si="39"/>
        <v>1</v>
      </c>
    </row>
    <row r="164" spans="3:16" x14ac:dyDescent="0.25">
      <c r="C164" s="10">
        <v>124</v>
      </c>
      <c r="D164" s="10" t="str">
        <f t="shared" si="40"/>
        <v>CVCF</v>
      </c>
      <c r="E164" s="11">
        <f t="shared" si="41"/>
        <v>3</v>
      </c>
      <c r="F164" s="11">
        <f t="shared" si="42"/>
        <v>3</v>
      </c>
      <c r="G164" s="12">
        <f t="shared" si="43"/>
        <v>65.606039080172593</v>
      </c>
      <c r="H164" s="12">
        <f t="shared" si="44"/>
        <v>101.37446823966127</v>
      </c>
      <c r="I164" s="59">
        <f t="shared" si="45"/>
        <v>80.685801251975292</v>
      </c>
      <c r="J164" s="12">
        <f t="shared" si="46"/>
        <v>20.688666987685973</v>
      </c>
      <c r="K164" s="50">
        <f t="shared" si="47"/>
        <v>17191.582213093498</v>
      </c>
      <c r="L164" s="50">
        <f t="shared" si="38"/>
        <v>18327.161483349355</v>
      </c>
      <c r="M164" s="63">
        <f t="shared" si="48"/>
        <v>37295.322580645159</v>
      </c>
      <c r="N164" s="63">
        <f t="shared" si="49"/>
        <v>18327.161483349355</v>
      </c>
      <c r="O164" s="78">
        <f t="shared" si="50"/>
        <v>1</v>
      </c>
      <c r="P164" t="b">
        <f t="shared" si="39"/>
        <v>1</v>
      </c>
    </row>
    <row r="165" spans="3:16" x14ac:dyDescent="0.25">
      <c r="C165" s="10">
        <v>125</v>
      </c>
      <c r="D165" s="10" t="str">
        <f t="shared" si="40"/>
        <v>CVCF</v>
      </c>
      <c r="E165" s="11">
        <f t="shared" si="41"/>
        <v>3</v>
      </c>
      <c r="F165" s="11">
        <f t="shared" si="42"/>
        <v>3</v>
      </c>
      <c r="G165" s="12">
        <f t="shared" si="43"/>
        <v>65.081190767531211</v>
      </c>
      <c r="H165" s="12">
        <f t="shared" si="44"/>
        <v>100.56347249374399</v>
      </c>
      <c r="I165" s="59">
        <f t="shared" si="45"/>
        <v>80.0403148419595</v>
      </c>
      <c r="J165" s="12">
        <f t="shared" si="46"/>
        <v>20.523157651784484</v>
      </c>
      <c r="K165" s="50">
        <f t="shared" si="47"/>
        <v>16904.034094178391</v>
      </c>
      <c r="L165" s="50">
        <f t="shared" si="38"/>
        <v>18020.619552288652</v>
      </c>
      <c r="M165" s="63">
        <f t="shared" si="48"/>
        <v>36996.959999999999</v>
      </c>
      <c r="N165" s="63">
        <f t="shared" si="49"/>
        <v>18020.619552288652</v>
      </c>
      <c r="O165" s="78">
        <f t="shared" si="50"/>
        <v>1</v>
      </c>
      <c r="P165" t="b">
        <f t="shared" si="39"/>
        <v>1</v>
      </c>
    </row>
    <row r="166" spans="3:16" x14ac:dyDescent="0.25">
      <c r="C166" s="10">
        <v>126</v>
      </c>
      <c r="D166" s="10" t="str">
        <f t="shared" si="40"/>
        <v>CVCF</v>
      </c>
      <c r="E166" s="11">
        <f t="shared" si="41"/>
        <v>3</v>
      </c>
      <c r="F166" s="11">
        <f t="shared" si="42"/>
        <v>3</v>
      </c>
      <c r="G166" s="12">
        <f t="shared" si="43"/>
        <v>64.564673380487321</v>
      </c>
      <c r="H166" s="12">
        <f t="shared" si="44"/>
        <v>99.765349696174582</v>
      </c>
      <c r="I166" s="59">
        <f t="shared" si="45"/>
        <v>79.405074247975691</v>
      </c>
      <c r="J166" s="12">
        <f t="shared" si="46"/>
        <v>20.360275448198895</v>
      </c>
      <c r="K166" s="50">
        <f t="shared" si="47"/>
        <v>16623.529657524734</v>
      </c>
      <c r="L166" s="50">
        <f t="shared" si="38"/>
        <v>17721.586569540148</v>
      </c>
      <c r="M166" s="63">
        <f t="shared" si="48"/>
        <v>36703.333333333336</v>
      </c>
      <c r="N166" s="63">
        <f t="shared" si="49"/>
        <v>17721.586569540148</v>
      </c>
      <c r="O166" s="78">
        <f t="shared" si="50"/>
        <v>1</v>
      </c>
      <c r="P166" t="b">
        <f t="shared" si="39"/>
        <v>1</v>
      </c>
    </row>
    <row r="167" spans="3:16" x14ac:dyDescent="0.25">
      <c r="C167" s="10">
        <v>127</v>
      </c>
      <c r="D167" s="10" t="str">
        <f t="shared" si="40"/>
        <v>CVCF</v>
      </c>
      <c r="E167" s="11">
        <f t="shared" si="41"/>
        <v>3</v>
      </c>
      <c r="F167" s="11">
        <f t="shared" si="42"/>
        <v>3</v>
      </c>
      <c r="G167" s="12">
        <f t="shared" si="43"/>
        <v>64.05629012552285</v>
      </c>
      <c r="H167" s="12">
        <f t="shared" si="44"/>
        <v>98.979795761559032</v>
      </c>
      <c r="I167" s="59">
        <f t="shared" si="45"/>
        <v>78.779837442873514</v>
      </c>
      <c r="J167" s="12">
        <f t="shared" si="46"/>
        <v>20.199958318685518</v>
      </c>
      <c r="K167" s="50">
        <f t="shared" si="47"/>
        <v>16349.842495811128</v>
      </c>
      <c r="L167" s="50">
        <f t="shared" si="38"/>
        <v>17429.821172587643</v>
      </c>
      <c r="M167" s="63">
        <f t="shared" si="48"/>
        <v>36414.330708661415</v>
      </c>
      <c r="N167" s="63">
        <f t="shared" si="49"/>
        <v>17429.821172587643</v>
      </c>
      <c r="O167" s="78">
        <f t="shared" si="50"/>
        <v>1</v>
      </c>
      <c r="P167" t="b">
        <f t="shared" si="39"/>
        <v>1</v>
      </c>
    </row>
    <row r="168" spans="3:16" x14ac:dyDescent="0.25">
      <c r="C168" s="10">
        <v>128</v>
      </c>
      <c r="D168" s="10" t="str">
        <f t="shared" si="40"/>
        <v>CVCF</v>
      </c>
      <c r="E168" s="11">
        <f t="shared" si="41"/>
        <v>3</v>
      </c>
      <c r="F168" s="11">
        <f t="shared" si="42"/>
        <v>3</v>
      </c>
      <c r="G168" s="12">
        <f t="shared" si="43"/>
        <v>63.555850358917198</v>
      </c>
      <c r="H168" s="12">
        <f t="shared" si="44"/>
        <v>98.206516107171851</v>
      </c>
      <c r="I168" s="59">
        <f t="shared" si="45"/>
        <v>78.164369962851069</v>
      </c>
      <c r="J168" s="12">
        <f t="shared" si="46"/>
        <v>20.042146144320785</v>
      </c>
      <c r="K168" s="50">
        <f t="shared" si="47"/>
        <v>16082.755183726926</v>
      </c>
      <c r="L168" s="50">
        <f t="shared" si="38"/>
        <v>17145.091574226837</v>
      </c>
      <c r="M168" s="63">
        <f t="shared" si="48"/>
        <v>36129.84375</v>
      </c>
      <c r="N168" s="63">
        <f t="shared" si="49"/>
        <v>17145.091574226837</v>
      </c>
      <c r="O168" s="78">
        <f t="shared" si="50"/>
        <v>1</v>
      </c>
      <c r="P168" t="b">
        <f t="shared" si="39"/>
        <v>1</v>
      </c>
    </row>
    <row r="169" spans="3:16" x14ac:dyDescent="0.25">
      <c r="C169" s="10">
        <v>129</v>
      </c>
      <c r="D169" s="10" t="str">
        <f t="shared" si="40"/>
        <v>CVCF</v>
      </c>
      <c r="E169" s="11">
        <f t="shared" si="41"/>
        <v>3</v>
      </c>
      <c r="F169" s="11">
        <f t="shared" si="42"/>
        <v>3</v>
      </c>
      <c r="G169" s="12">
        <f t="shared" si="43"/>
        <v>63.063169348382957</v>
      </c>
      <c r="H169" s="12">
        <f t="shared" ref="H169:H190" si="51">IF(F169=0,F$16,IF(F169=1,F$16*Speed/F$12,IF(F169=2,F$32,I169)))*$O169+NoLoadCurrent</f>
        <v>97.44522528463564</v>
      </c>
      <c r="I169" s="59">
        <f t="shared" si="45"/>
        <v>77.558444614301834</v>
      </c>
      <c r="J169" s="12">
        <f t="shared" si="46"/>
        <v>19.886780670333803</v>
      </c>
      <c r="K169" s="50">
        <f t="shared" si="47"/>
        <v>15822.058855061385</v>
      </c>
      <c r="L169" s="50">
        <f t="shared" si="38"/>
        <v>16867.175111719345</v>
      </c>
      <c r="M169" s="63">
        <f t="shared" si="48"/>
        <v>35849.767441860466</v>
      </c>
      <c r="N169" s="63">
        <f t="shared" si="49"/>
        <v>16867.175111719345</v>
      </c>
      <c r="O169" s="78">
        <f t="shared" si="50"/>
        <v>1</v>
      </c>
      <c r="P169" t="b">
        <f t="shared" si="39"/>
        <v>1</v>
      </c>
    </row>
    <row r="170" spans="3:16" x14ac:dyDescent="0.25">
      <c r="C170" s="10">
        <v>130</v>
      </c>
      <c r="D170" s="10" t="str">
        <f t="shared" ref="D170:D189" si="52">VLOOKUP(F170,$B$36:$C$39,2,0)</f>
        <v>CVCF</v>
      </c>
      <c r="E170" s="11">
        <f t="shared" si="41"/>
        <v>3</v>
      </c>
      <c r="F170" s="11">
        <f t="shared" si="42"/>
        <v>3</v>
      </c>
      <c r="G170" s="12">
        <f t="shared" ref="G170:G189" si="53">IF(E170=0,E$16,IF(E170&lt;3,E$16+(E$22-E$16)*(Speed-E$12)/(E$26-E$12),E$22*E$26/Speed))*$O170+NoLoadCurrent</f>
        <v>62.578068045703091</v>
      </c>
      <c r="H170" s="12">
        <f t="shared" ref="H170:H189" si="54">IF(F170=0,F$16,IF(F170=1,F$16*Speed/F$12,IF(F170=2,F$32,I170)))*$O170+NoLoadCurrent</f>
        <v>96.695646628599974</v>
      </c>
      <c r="I170" s="59">
        <f t="shared" ref="I170:I189" si="55">F$22*F$26/Speed</f>
        <v>76.96184119419182</v>
      </c>
      <c r="J170" s="12">
        <f t="shared" ref="J170:J189" si="56">IF(Speed&lt;F$20,$F$15,$F$15*F$20/Speed)*$O170</f>
        <v>19.733805434408158</v>
      </c>
      <c r="K170" s="50">
        <f t="shared" ref="K170:K189" si="57">IF(E170&lt;3,E$11,(E$11*E$26/Speed)*(E$26^(F$30-1)/Speed^(F$30-1)))*$O170</f>
        <v>15567.552802792065</v>
      </c>
      <c r="L170" s="50">
        <f t="shared" ref="L170:L189" si="58">IF(F170&lt;2,F$11,IF(M170&lt;N170,M170,N170))*$O170</f>
        <v>16595.857820465193</v>
      </c>
      <c r="M170" s="63">
        <f t="shared" ref="M170:M189" si="59">F$11*F$20/Speed</f>
        <v>35574</v>
      </c>
      <c r="N170" s="63">
        <f t="shared" ref="N170:N189" si="60">(F$11*F$26/Speed)*(F$26^(F$30-1)/Speed^(F$30-1))</f>
        <v>16595.857820465193</v>
      </c>
      <c r="O170" s="78">
        <f t="shared" ref="O170:O189" si="61">1-IF(Speed&lt;F$14,(F$14-Speed)/F$14,0)</f>
        <v>1</v>
      </c>
      <c r="P170" t="b">
        <f t="shared" ref="P170:P189" si="62">AND(G170&lt;=H170,K170&lt;=L170)</f>
        <v>1</v>
      </c>
    </row>
    <row r="171" spans="3:16" x14ac:dyDescent="0.25">
      <c r="C171" s="10">
        <v>131</v>
      </c>
      <c r="D171" s="10" t="str">
        <f t="shared" si="52"/>
        <v>CVCF</v>
      </c>
      <c r="E171" s="11">
        <f t="shared" si="41"/>
        <v>3</v>
      </c>
      <c r="F171" s="11">
        <f t="shared" si="42"/>
        <v>3</v>
      </c>
      <c r="G171" s="12">
        <f t="shared" si="53"/>
        <v>62.100372869781694</v>
      </c>
      <c r="H171" s="12">
        <f t="shared" si="54"/>
        <v>95.957511921511426</v>
      </c>
      <c r="I171" s="59">
        <f t="shared" si="55"/>
        <v>76.374346223243791</v>
      </c>
      <c r="J171" s="12">
        <f t="shared" si="56"/>
        <v>19.583165698267639</v>
      </c>
      <c r="K171" s="50">
        <f t="shared" si="57"/>
        <v>15319.044100756131</v>
      </c>
      <c r="L171" s="50">
        <f t="shared" si="58"/>
        <v>16330.934030683862</v>
      </c>
      <c r="M171" s="63">
        <f t="shared" si="59"/>
        <v>35302.442748091606</v>
      </c>
      <c r="N171" s="63">
        <f t="shared" si="60"/>
        <v>16330.934030683862</v>
      </c>
      <c r="O171" s="78">
        <f t="shared" si="61"/>
        <v>1</v>
      </c>
      <c r="P171" t="b">
        <f t="shared" si="62"/>
        <v>1</v>
      </c>
    </row>
    <row r="172" spans="3:16" x14ac:dyDescent="0.25">
      <c r="C172" s="10">
        <v>132</v>
      </c>
      <c r="D172" s="10" t="str">
        <f t="shared" si="52"/>
        <v>CVCF</v>
      </c>
      <c r="E172" s="11">
        <f t="shared" si="41"/>
        <v>3</v>
      </c>
      <c r="F172" s="11">
        <f t="shared" si="42"/>
        <v>3</v>
      </c>
      <c r="G172" s="12">
        <f t="shared" si="53"/>
        <v>61.629915499556077</v>
      </c>
      <c r="H172" s="12">
        <f t="shared" si="54"/>
        <v>95.230561073621189</v>
      </c>
      <c r="I172" s="59">
        <f t="shared" si="55"/>
        <v>75.795752691249518</v>
      </c>
      <c r="J172" s="12">
        <f t="shared" si="56"/>
        <v>19.434808382371671</v>
      </c>
      <c r="K172" s="50">
        <f t="shared" si="57"/>
        <v>15076.347245585926</v>
      </c>
      <c r="L172" s="50">
        <f t="shared" si="58"/>
        <v>16072.205985698112</v>
      </c>
      <c r="M172" s="63">
        <f t="shared" si="59"/>
        <v>35035</v>
      </c>
      <c r="N172" s="63">
        <f t="shared" si="60"/>
        <v>16072.205985698112</v>
      </c>
      <c r="O172" s="78">
        <f t="shared" si="61"/>
        <v>1</v>
      </c>
      <c r="P172" t="b">
        <f t="shared" si="62"/>
        <v>1</v>
      </c>
    </row>
    <row r="173" spans="3:16" x14ac:dyDescent="0.25">
      <c r="C173" s="10">
        <v>133</v>
      </c>
      <c r="D173" s="10" t="str">
        <f t="shared" si="52"/>
        <v>CVCF</v>
      </c>
      <c r="E173" s="11">
        <f t="shared" si="41"/>
        <v>3</v>
      </c>
      <c r="F173" s="11">
        <f t="shared" si="42"/>
        <v>3</v>
      </c>
      <c r="G173" s="12">
        <f t="shared" si="53"/>
        <v>61.166532676251137</v>
      </c>
      <c r="H173" s="12">
        <f t="shared" si="54"/>
        <v>94.514541817428551</v>
      </c>
      <c r="I173" s="59">
        <f t="shared" si="55"/>
        <v>75.225859813871708</v>
      </c>
      <c r="J173" s="12">
        <f t="shared" si="56"/>
        <v>19.288682003556847</v>
      </c>
      <c r="K173" s="50">
        <f t="shared" si="57"/>
        <v>14839.283817679681</v>
      </c>
      <c r="L173" s="50">
        <f t="shared" si="58"/>
        <v>15819.483480510364</v>
      </c>
      <c r="M173" s="63">
        <f t="shared" si="59"/>
        <v>34771.57894736842</v>
      </c>
      <c r="N173" s="63">
        <f t="shared" si="60"/>
        <v>15819.483480510364</v>
      </c>
      <c r="O173" s="78">
        <f t="shared" si="61"/>
        <v>1</v>
      </c>
      <c r="P173" t="b">
        <f t="shared" si="62"/>
        <v>1</v>
      </c>
    </row>
    <row r="174" spans="3:16" x14ac:dyDescent="0.25">
      <c r="C174" s="10">
        <v>134</v>
      </c>
      <c r="D174" s="10" t="str">
        <f t="shared" si="52"/>
        <v>CVCF</v>
      </c>
      <c r="E174" s="11">
        <f t="shared" si="41"/>
        <v>3</v>
      </c>
      <c r="F174" s="11">
        <f t="shared" si="42"/>
        <v>3</v>
      </c>
      <c r="G174" s="12">
        <f t="shared" si="53"/>
        <v>60.710066014488078</v>
      </c>
      <c r="H174" s="12">
        <f t="shared" si="54"/>
        <v>93.809209415805952</v>
      </c>
      <c r="I174" s="59">
        <f t="shared" si="55"/>
        <v>74.664472800335346</v>
      </c>
      <c r="J174" s="12">
        <f t="shared" si="56"/>
        <v>19.144736615470602</v>
      </c>
      <c r="K174" s="50">
        <f t="shared" si="57"/>
        <v>14607.682160061584</v>
      </c>
      <c r="L174" s="50">
        <f t="shared" si="58"/>
        <v>15572.583519450038</v>
      </c>
      <c r="M174" s="63">
        <f t="shared" si="59"/>
        <v>34512.089552238809</v>
      </c>
      <c r="N174" s="63">
        <f t="shared" si="60"/>
        <v>15572.583519450038</v>
      </c>
      <c r="O174" s="78">
        <f t="shared" si="61"/>
        <v>1</v>
      </c>
      <c r="P174" t="b">
        <f t="shared" si="62"/>
        <v>1</v>
      </c>
    </row>
    <row r="175" spans="3:16" x14ac:dyDescent="0.25">
      <c r="C175" s="10">
        <v>135</v>
      </c>
      <c r="D175" s="10" t="str">
        <f t="shared" si="52"/>
        <v>CVCF</v>
      </c>
      <c r="E175" s="11">
        <f t="shared" si="41"/>
        <v>3</v>
      </c>
      <c r="F175" s="11">
        <f t="shared" si="42"/>
        <v>3</v>
      </c>
      <c r="G175" s="12">
        <f t="shared" si="53"/>
        <v>60.260361821788166</v>
      </c>
      <c r="H175" s="12">
        <f t="shared" si="54"/>
        <v>93.114326383096284</v>
      </c>
      <c r="I175" s="59">
        <f t="shared" si="55"/>
        <v>74.11140263144398</v>
      </c>
      <c r="J175" s="12">
        <f t="shared" si="56"/>
        <v>19.0029237516523</v>
      </c>
      <c r="K175" s="50">
        <f t="shared" si="57"/>
        <v>14381.377074062126</v>
      </c>
      <c r="L175" s="50">
        <f t="shared" si="58"/>
        <v>15331.329991752249</v>
      </c>
      <c r="M175" s="63">
        <f t="shared" si="59"/>
        <v>34256.444444444445</v>
      </c>
      <c r="N175" s="63">
        <f t="shared" si="60"/>
        <v>15331.329991752249</v>
      </c>
      <c r="O175" s="78">
        <f t="shared" si="61"/>
        <v>1</v>
      </c>
      <c r="P175" t="b">
        <f t="shared" si="62"/>
        <v>1</v>
      </c>
    </row>
    <row r="176" spans="3:16" x14ac:dyDescent="0.25">
      <c r="C176" s="10">
        <v>136</v>
      </c>
      <c r="D176" s="10" t="str">
        <f t="shared" si="52"/>
        <v>CVCF</v>
      </c>
      <c r="E176" s="11">
        <f t="shared" si="41"/>
        <v>3</v>
      </c>
      <c r="F176" s="11">
        <f t="shared" si="42"/>
        <v>3</v>
      </c>
      <c r="G176" s="12">
        <f t="shared" si="53"/>
        <v>59.817270926039711</v>
      </c>
      <c r="H176" s="12">
        <f t="shared" si="54"/>
        <v>92.429662218514679</v>
      </c>
      <c r="I176" s="59">
        <f t="shared" si="55"/>
        <v>73.566465847389239</v>
      </c>
      <c r="J176" s="12">
        <f t="shared" si="56"/>
        <v>18.863196371125444</v>
      </c>
      <c r="K176" s="50">
        <f t="shared" si="57"/>
        <v>14160.209530821176</v>
      </c>
      <c r="L176" s="50">
        <f t="shared" si="58"/>
        <v>15095.553364004432</v>
      </c>
      <c r="M176" s="63">
        <f t="shared" si="59"/>
        <v>34004.558823529413</v>
      </c>
      <c r="N176" s="63">
        <f t="shared" si="60"/>
        <v>15095.553364004432</v>
      </c>
      <c r="O176" s="78">
        <f t="shared" si="61"/>
        <v>1</v>
      </c>
      <c r="P176" t="b">
        <f t="shared" si="62"/>
        <v>1</v>
      </c>
    </row>
    <row r="177" spans="3:16" x14ac:dyDescent="0.25">
      <c r="C177" s="10">
        <v>137</v>
      </c>
      <c r="D177" s="10" t="str">
        <f t="shared" si="52"/>
        <v>CVCF</v>
      </c>
      <c r="E177" s="11">
        <f t="shared" si="41"/>
        <v>3</v>
      </c>
      <c r="F177" s="11">
        <f t="shared" si="42"/>
        <v>3</v>
      </c>
      <c r="G177" s="12">
        <f t="shared" si="53"/>
        <v>59.380648510521183</v>
      </c>
      <c r="H177" s="12">
        <f t="shared" si="54"/>
        <v>91.754993151226259</v>
      </c>
      <c r="I177" s="59">
        <f t="shared" si="55"/>
        <v>73.029484344853557</v>
      </c>
      <c r="J177" s="12">
        <f t="shared" si="56"/>
        <v>18.725508806372705</v>
      </c>
      <c r="K177" s="50">
        <f t="shared" si="57"/>
        <v>13944.02639768187</v>
      </c>
      <c r="L177" s="50">
        <f t="shared" si="58"/>
        <v>14865.090388467315</v>
      </c>
      <c r="M177" s="63">
        <f t="shared" si="59"/>
        <v>33756.350364963502</v>
      </c>
      <c r="N177" s="63">
        <f t="shared" si="60"/>
        <v>14865.090388467315</v>
      </c>
      <c r="O177" s="78">
        <f t="shared" si="61"/>
        <v>1</v>
      </c>
      <c r="P177" t="b">
        <f t="shared" si="62"/>
        <v>1</v>
      </c>
    </row>
    <row r="178" spans="3:16" x14ac:dyDescent="0.25">
      <c r="C178" s="10">
        <v>138</v>
      </c>
      <c r="D178" s="10" t="str">
        <f t="shared" si="52"/>
        <v>CVCF</v>
      </c>
      <c r="E178" s="11">
        <f t="shared" si="41"/>
        <v>3</v>
      </c>
      <c r="F178" s="11">
        <f t="shared" si="42"/>
        <v>3</v>
      </c>
      <c r="G178" s="12">
        <f t="shared" si="53"/>
        <v>58.950353956097111</v>
      </c>
      <c r="H178" s="12">
        <f t="shared" si="54"/>
        <v>91.090101896507221</v>
      </c>
      <c r="I178" s="59">
        <f t="shared" si="55"/>
        <v>72.50028518293432</v>
      </c>
      <c r="J178" s="12">
        <f t="shared" si="56"/>
        <v>18.589816713572901</v>
      </c>
      <c r="K178" s="50">
        <f t="shared" si="57"/>
        <v>13732.680178604973</v>
      </c>
      <c r="L178" s="50">
        <f t="shared" si="58"/>
        <v>14639.783826342535</v>
      </c>
      <c r="M178" s="63">
        <f t="shared" si="59"/>
        <v>33511.739130434784</v>
      </c>
      <c r="N178" s="63">
        <f t="shared" si="60"/>
        <v>14639.783826342535</v>
      </c>
      <c r="O178" s="78">
        <f t="shared" si="61"/>
        <v>1</v>
      </c>
      <c r="P178" t="b">
        <f t="shared" si="62"/>
        <v>1</v>
      </c>
    </row>
    <row r="179" spans="3:16" x14ac:dyDescent="0.25">
      <c r="C179" s="10">
        <v>139</v>
      </c>
      <c r="D179" s="10" t="str">
        <f t="shared" si="52"/>
        <v>CVCF</v>
      </c>
      <c r="E179" s="11">
        <f t="shared" si="41"/>
        <v>3</v>
      </c>
      <c r="F179" s="11">
        <f t="shared" si="42"/>
        <v>3</v>
      </c>
      <c r="G179" s="12">
        <f t="shared" si="53"/>
        <v>58.526250690225908</v>
      </c>
      <c r="H179" s="12">
        <f t="shared" si="54"/>
        <v>90.434777422431637</v>
      </c>
      <c r="I179" s="59">
        <f t="shared" si="55"/>
        <v>71.978700397445593</v>
      </c>
      <c r="J179" s="12">
        <f t="shared" si="56"/>
        <v>18.456077024986048</v>
      </c>
      <c r="K179" s="50">
        <f t="shared" si="57"/>
        <v>13526.028767789885</v>
      </c>
      <c r="L179" s="50">
        <f t="shared" si="58"/>
        <v>14419.482185119219</v>
      </c>
      <c r="M179" s="63">
        <f t="shared" si="59"/>
        <v>33270.647482014385</v>
      </c>
      <c r="N179" s="63">
        <f t="shared" si="60"/>
        <v>14419.482185119219</v>
      </c>
      <c r="O179" s="78">
        <f t="shared" si="61"/>
        <v>1</v>
      </c>
      <c r="P179" t="b">
        <f t="shared" si="62"/>
        <v>1</v>
      </c>
    </row>
    <row r="180" spans="3:16" x14ac:dyDescent="0.25">
      <c r="C180" s="10">
        <v>140</v>
      </c>
      <c r="D180" s="10" t="str">
        <f t="shared" si="52"/>
        <v>CVCF</v>
      </c>
      <c r="E180" s="11">
        <f t="shared" si="41"/>
        <v>3</v>
      </c>
      <c r="F180" s="11">
        <f t="shared" si="42"/>
        <v>3</v>
      </c>
      <c r="G180" s="12">
        <f t="shared" si="53"/>
        <v>58.108206042438582</v>
      </c>
      <c r="H180" s="12">
        <f t="shared" si="54"/>
        <v>89.788814726557121</v>
      </c>
      <c r="I180" s="59">
        <f t="shared" si="55"/>
        <v>71.464566823178117</v>
      </c>
      <c r="J180" s="12">
        <f t="shared" si="56"/>
        <v>18.324247903379003</v>
      </c>
      <c r="K180" s="50">
        <f t="shared" si="57"/>
        <v>13323.935215741134</v>
      </c>
      <c r="L180" s="50">
        <f t="shared" si="58"/>
        <v>14204.039469188148</v>
      </c>
      <c r="M180" s="63">
        <f t="shared" si="59"/>
        <v>33033</v>
      </c>
      <c r="N180" s="63">
        <f t="shared" si="60"/>
        <v>14204.039469188148</v>
      </c>
      <c r="O180" s="78">
        <f t="shared" si="61"/>
        <v>1</v>
      </c>
      <c r="P180" t="b">
        <f t="shared" si="62"/>
        <v>1</v>
      </c>
    </row>
    <row r="181" spans="3:16" x14ac:dyDescent="0.25">
      <c r="C181" s="10">
        <v>141</v>
      </c>
      <c r="D181" s="10" t="str">
        <f t="shared" si="52"/>
        <v>CVCF</v>
      </c>
      <c r="E181" s="11">
        <f t="shared" si="41"/>
        <v>3</v>
      </c>
      <c r="F181" s="11">
        <f t="shared" si="42"/>
        <v>3</v>
      </c>
      <c r="G181" s="12">
        <f t="shared" si="53"/>
        <v>57.69609110596739</v>
      </c>
      <c r="H181" s="12">
        <f t="shared" si="54"/>
        <v>89.152014622113455</v>
      </c>
      <c r="I181" s="59">
        <f t="shared" si="55"/>
        <v>70.957725923722961</v>
      </c>
      <c r="J181" s="12">
        <f t="shared" si="56"/>
        <v>18.194288698390501</v>
      </c>
      <c r="K181" s="50">
        <f t="shared" si="57"/>
        <v>13126.267507068336</v>
      </c>
      <c r="L181" s="50">
        <f t="shared" si="58"/>
        <v>13993.314942964442</v>
      </c>
      <c r="M181" s="63">
        <f t="shared" si="59"/>
        <v>32798.723404255317</v>
      </c>
      <c r="N181" s="63">
        <f t="shared" si="60"/>
        <v>13993.314942964442</v>
      </c>
      <c r="O181" s="78">
        <f t="shared" si="61"/>
        <v>1</v>
      </c>
      <c r="P181" t="b">
        <f t="shared" si="62"/>
        <v>1</v>
      </c>
    </row>
    <row r="182" spans="3:16" x14ac:dyDescent="0.25">
      <c r="C182" s="10">
        <v>142</v>
      </c>
      <c r="D182" s="10" t="str">
        <f t="shared" si="52"/>
        <v>CVCF</v>
      </c>
      <c r="E182" s="11">
        <f t="shared" si="41"/>
        <v>3</v>
      </c>
      <c r="F182" s="11">
        <f t="shared" si="42"/>
        <v>3</v>
      </c>
      <c r="G182" s="12">
        <f t="shared" si="53"/>
        <v>57.289780605221139</v>
      </c>
      <c r="H182" s="12">
        <f t="shared" si="54"/>
        <v>88.524183533225326</v>
      </c>
      <c r="I182" s="59">
        <f t="shared" si="55"/>
        <v>70.458023628485464</v>
      </c>
      <c r="J182" s="12">
        <f t="shared" si="56"/>
        <v>18.066159904739862</v>
      </c>
      <c r="K182" s="50">
        <f t="shared" si="57"/>
        <v>12932.898349352921</v>
      </c>
      <c r="L182" s="50">
        <f t="shared" si="58"/>
        <v>13787.172905807993</v>
      </c>
      <c r="M182" s="63">
        <f t="shared" si="59"/>
        <v>32567.74647887324</v>
      </c>
      <c r="N182" s="63">
        <f t="shared" si="60"/>
        <v>13787.172905807993</v>
      </c>
      <c r="O182" s="78">
        <f t="shared" si="61"/>
        <v>1</v>
      </c>
      <c r="P182" t="b">
        <f t="shared" si="62"/>
        <v>1</v>
      </c>
    </row>
    <row r="183" spans="3:16" x14ac:dyDescent="0.25">
      <c r="C183" s="10">
        <v>143</v>
      </c>
      <c r="D183" s="10" t="str">
        <f t="shared" si="52"/>
        <v>CVCF</v>
      </c>
      <c r="E183" s="11">
        <f t="shared" si="41"/>
        <v>3</v>
      </c>
      <c r="F183" s="11">
        <f t="shared" si="42"/>
        <v>3</v>
      </c>
      <c r="G183" s="12">
        <f t="shared" si="53"/>
        <v>56.889152768820992</v>
      </c>
      <c r="H183" s="12">
        <f t="shared" si="54"/>
        <v>87.905133298727264</v>
      </c>
      <c r="I183" s="59">
        <f t="shared" si="55"/>
        <v>69.965310176538026</v>
      </c>
      <c r="J183" s="12">
        <f t="shared" si="56"/>
        <v>17.939823122189235</v>
      </c>
      <c r="K183" s="50">
        <f t="shared" si="57"/>
        <v>12743.704972457012</v>
      </c>
      <c r="L183" s="50">
        <f t="shared" si="58"/>
        <v>13585.48247807583</v>
      </c>
      <c r="M183" s="63">
        <f t="shared" si="59"/>
        <v>32340</v>
      </c>
      <c r="N183" s="63">
        <f t="shared" si="60"/>
        <v>13585.48247807583</v>
      </c>
      <c r="O183" s="78">
        <f t="shared" si="61"/>
        <v>1</v>
      </c>
      <c r="P183" t="b">
        <f t="shared" si="62"/>
        <v>1</v>
      </c>
    </row>
    <row r="184" spans="3:16" x14ac:dyDescent="0.25">
      <c r="C184" s="10">
        <v>144</v>
      </c>
      <c r="D184" s="10" t="str">
        <f t="shared" si="52"/>
        <v>CVCF</v>
      </c>
      <c r="E184" s="11">
        <f t="shared" si="41"/>
        <v>3</v>
      </c>
      <c r="F184" s="11">
        <f t="shared" si="42"/>
        <v>3</v>
      </c>
      <c r="G184" s="12">
        <f t="shared" si="53"/>
        <v>56.4940892079264</v>
      </c>
      <c r="H184" s="12">
        <f t="shared" si="54"/>
        <v>87.294680984152762</v>
      </c>
      <c r="I184" s="59">
        <f t="shared" si="55"/>
        <v>69.479439966978731</v>
      </c>
      <c r="J184" s="12">
        <f t="shared" si="56"/>
        <v>17.815241017174031</v>
      </c>
      <c r="K184" s="50">
        <f t="shared" si="57"/>
        <v>12558.568937689608</v>
      </c>
      <c r="L184" s="50">
        <f t="shared" si="58"/>
        <v>13388.11739768288</v>
      </c>
      <c r="M184" s="63">
        <f t="shared" si="59"/>
        <v>32115.416666666668</v>
      </c>
      <c r="N184" s="63">
        <f t="shared" si="60"/>
        <v>13388.11739768288</v>
      </c>
      <c r="O184" s="78">
        <f t="shared" si="61"/>
        <v>1</v>
      </c>
      <c r="P184" t="b">
        <f t="shared" si="62"/>
        <v>1</v>
      </c>
    </row>
    <row r="185" spans="3:16" x14ac:dyDescent="0.25">
      <c r="C185" s="10">
        <v>145</v>
      </c>
      <c r="D185" s="10" t="str">
        <f t="shared" si="52"/>
        <v>CVCF</v>
      </c>
      <c r="E185" s="11">
        <f t="shared" si="41"/>
        <v>3</v>
      </c>
      <c r="F185" s="11">
        <f t="shared" si="42"/>
        <v>3</v>
      </c>
      <c r="G185" s="12">
        <f t="shared" si="53"/>
        <v>56.10447479959587</v>
      </c>
      <c r="H185" s="12">
        <f t="shared" si="54"/>
        <v>86.69264870150343</v>
      </c>
      <c r="I185" s="59">
        <f t="shared" si="55"/>
        <v>69.000271415482317</v>
      </c>
      <c r="J185" s="12">
        <f t="shared" si="56"/>
        <v>17.692377286021106</v>
      </c>
      <c r="K185" s="50">
        <f t="shared" si="57"/>
        <v>12377.375956281394</v>
      </c>
      <c r="L185" s="50">
        <f t="shared" si="58"/>
        <v>13194.95582658626</v>
      </c>
      <c r="M185" s="63">
        <f t="shared" si="59"/>
        <v>31893.931034482757</v>
      </c>
      <c r="N185" s="63">
        <f t="shared" si="60"/>
        <v>13194.95582658626</v>
      </c>
      <c r="O185" s="78">
        <f t="shared" si="61"/>
        <v>1</v>
      </c>
      <c r="P185" t="b">
        <f t="shared" si="62"/>
        <v>1</v>
      </c>
    </row>
    <row r="186" spans="3:16" x14ac:dyDescent="0.25">
      <c r="C186" s="10">
        <v>146</v>
      </c>
      <c r="D186" s="10" t="str">
        <f t="shared" si="52"/>
        <v>CVCF</v>
      </c>
      <c r="E186" s="11">
        <f t="shared" si="41"/>
        <v>3</v>
      </c>
      <c r="F186" s="11">
        <f t="shared" si="42"/>
        <v>3</v>
      </c>
      <c r="G186" s="12">
        <f t="shared" si="53"/>
        <v>55.720197574941103</v>
      </c>
      <c r="H186" s="12">
        <f t="shared" si="54"/>
        <v>86.098863436424637</v>
      </c>
      <c r="I186" s="59">
        <f t="shared" si="55"/>
        <v>68.527666816746148</v>
      </c>
      <c r="J186" s="12">
        <f t="shared" si="56"/>
        <v>17.571196619678496</v>
      </c>
      <c r="K186" s="50">
        <f t="shared" si="57"/>
        <v>12200.015716653576</v>
      </c>
      <c r="L186" s="50">
        <f t="shared" si="58"/>
        <v>13005.880166644451</v>
      </c>
      <c r="M186" s="63">
        <f t="shared" si="59"/>
        <v>31675.479452054795</v>
      </c>
      <c r="N186" s="63">
        <f t="shared" si="60"/>
        <v>13005.880166644451</v>
      </c>
      <c r="O186" s="78">
        <f t="shared" si="61"/>
        <v>1</v>
      </c>
      <c r="P186" t="b">
        <f t="shared" si="62"/>
        <v>1</v>
      </c>
    </row>
    <row r="187" spans="3:16" x14ac:dyDescent="0.25">
      <c r="C187" s="10">
        <v>147</v>
      </c>
      <c r="D187" s="10" t="str">
        <f t="shared" si="52"/>
        <v>CVCF</v>
      </c>
      <c r="E187" s="11">
        <f t="shared" si="41"/>
        <v>3</v>
      </c>
      <c r="F187" s="11">
        <f t="shared" si="42"/>
        <v>3</v>
      </c>
      <c r="G187" s="12">
        <f t="shared" si="53"/>
        <v>55.341148611846272</v>
      </c>
      <c r="H187" s="12">
        <f t="shared" si="54"/>
        <v>85.513156882435354</v>
      </c>
      <c r="I187" s="59">
        <f t="shared" si="55"/>
        <v>68.06149221255059</v>
      </c>
      <c r="J187" s="12">
        <f t="shared" si="56"/>
        <v>17.451664669884764</v>
      </c>
      <c r="K187" s="50">
        <f t="shared" si="57"/>
        <v>12026.381719998299</v>
      </c>
      <c r="L187" s="50">
        <f t="shared" si="58"/>
        <v>12820.77688433708</v>
      </c>
      <c r="M187" s="63">
        <f t="shared" si="59"/>
        <v>31460</v>
      </c>
      <c r="N187" s="63">
        <f t="shared" si="60"/>
        <v>12820.77688433708</v>
      </c>
      <c r="O187" s="78">
        <f t="shared" si="61"/>
        <v>1</v>
      </c>
      <c r="P187" t="b">
        <f t="shared" si="62"/>
        <v>1</v>
      </c>
    </row>
    <row r="188" spans="3:16" x14ac:dyDescent="0.25">
      <c r="C188" s="10">
        <v>148</v>
      </c>
      <c r="D188" s="10" t="str">
        <f t="shared" si="52"/>
        <v>CVCF</v>
      </c>
      <c r="E188" s="11">
        <f t="shared" si="41"/>
        <v>3</v>
      </c>
      <c r="F188" s="11">
        <f t="shared" si="42"/>
        <v>3</v>
      </c>
      <c r="G188" s="12">
        <f t="shared" si="53"/>
        <v>54.967221932036502</v>
      </c>
      <c r="H188" s="12">
        <f t="shared" si="54"/>
        <v>84.935365281878347</v>
      </c>
      <c r="I188" s="59">
        <f t="shared" si="55"/>
        <v>67.601617265168485</v>
      </c>
      <c r="J188" s="12">
        <f t="shared" si="56"/>
        <v>17.333748016709869</v>
      </c>
      <c r="K188" s="50">
        <f t="shared" si="57"/>
        <v>11856.371123717181</v>
      </c>
      <c r="L188" s="50">
        <f t="shared" si="58"/>
        <v>12639.536343861897</v>
      </c>
      <c r="M188" s="63">
        <f t="shared" si="59"/>
        <v>31247.432432432433</v>
      </c>
      <c r="N188" s="63">
        <f t="shared" si="60"/>
        <v>12639.536343861897</v>
      </c>
      <c r="O188" s="78">
        <f t="shared" si="61"/>
        <v>1</v>
      </c>
      <c r="P188" t="b">
        <f t="shared" si="62"/>
        <v>1</v>
      </c>
    </row>
    <row r="189" spans="3:16" x14ac:dyDescent="0.25">
      <c r="C189" s="10">
        <v>149</v>
      </c>
      <c r="D189" s="10" t="str">
        <f t="shared" si="52"/>
        <v>CVCF</v>
      </c>
      <c r="E189" s="11">
        <f t="shared" si="41"/>
        <v>3</v>
      </c>
      <c r="F189" s="11">
        <f t="shared" si="42"/>
        <v>3</v>
      </c>
      <c r="G189" s="12">
        <f t="shared" si="53"/>
        <v>54.598314402291287</v>
      </c>
      <c r="H189" s="12">
        <f t="shared" si="54"/>
        <v>84.365329273275137</v>
      </c>
      <c r="I189" s="59">
        <f t="shared" si="55"/>
        <v>67.147915135872054</v>
      </c>
      <c r="J189" s="12">
        <f t="shared" si="56"/>
        <v>17.21741413740309</v>
      </c>
      <c r="K189" s="50">
        <f t="shared" si="57"/>
        <v>11689.884592292454</v>
      </c>
      <c r="L189" s="50">
        <f t="shared" si="58"/>
        <v>12462.052648155299</v>
      </c>
      <c r="M189" s="63">
        <f t="shared" si="59"/>
        <v>31037.71812080537</v>
      </c>
      <c r="N189" s="63">
        <f t="shared" si="60"/>
        <v>12462.052648155299</v>
      </c>
      <c r="O189" s="78">
        <f t="shared" si="61"/>
        <v>1</v>
      </c>
      <c r="P189" t="b">
        <f t="shared" si="62"/>
        <v>1</v>
      </c>
    </row>
    <row r="190" spans="3:16" x14ac:dyDescent="0.25">
      <c r="C190" s="10">
        <v>150</v>
      </c>
      <c r="D190" s="10" t="str">
        <f t="shared" si="40"/>
        <v>CVCF</v>
      </c>
      <c r="E190" s="11">
        <f t="shared" si="41"/>
        <v>3</v>
      </c>
      <c r="F190" s="11">
        <f t="shared" si="42"/>
        <v>3</v>
      </c>
      <c r="G190" s="12">
        <f t="shared" si="43"/>
        <v>54.234325639609352</v>
      </c>
      <c r="H190" s="12">
        <f t="shared" si="51"/>
        <v>83.802893744786644</v>
      </c>
      <c r="I190" s="59">
        <f t="shared" si="45"/>
        <v>66.700262368299576</v>
      </c>
      <c r="J190" s="12">
        <f t="shared" si="46"/>
        <v>17.102631376487071</v>
      </c>
      <c r="K190" s="50">
        <f t="shared" si="47"/>
        <v>11526.826155190958</v>
      </c>
      <c r="L190" s="50">
        <f t="shared" ref="L190" si="63">IF(F190&lt;2,F$11,IF(M190&lt;N190,M190,N190))*$O190</f>
        <v>12288.223487410243</v>
      </c>
      <c r="M190" s="63">
        <f t="shared" si="48"/>
        <v>30830.799999999999</v>
      </c>
      <c r="N190" s="63">
        <f t="shared" si="49"/>
        <v>12288.223487410243</v>
      </c>
      <c r="O190" s="78">
        <f t="shared" si="50"/>
        <v>1</v>
      </c>
      <c r="P190" t="b">
        <f t="shared" ref="P190" si="64">AND(G190&lt;=H190,K190&lt;=L190)</f>
        <v>1</v>
      </c>
    </row>
  </sheetData>
  <phoneticPr fontId="3"/>
  <conditionalFormatting sqref="C40:H41 C42:F169 J40:L169 E41:H169 D190:H190 J190:L190 C170:C190">
    <cfRule type="expression" dxfId="19" priority="21" stopIfTrue="1">
      <formula>$C40=#REF!</formula>
    </cfRule>
    <cfRule type="expression" dxfId="18" priority="22" stopIfTrue="1">
      <formula>$C40=#REF!</formula>
    </cfRule>
  </conditionalFormatting>
  <conditionalFormatting sqref="I40:I169 I190">
    <cfRule type="expression" dxfId="17" priority="17" stopIfTrue="1">
      <formula>$C40=#REF!</formula>
    </cfRule>
    <cfRule type="expression" dxfId="16" priority="18" stopIfTrue="1">
      <formula>$C40=#REF!</formula>
    </cfRule>
  </conditionalFormatting>
  <conditionalFormatting sqref="M40:N169 M190:N190">
    <cfRule type="expression" dxfId="15" priority="15" stopIfTrue="1">
      <formula>$C40=#REF!</formula>
    </cfRule>
    <cfRule type="expression" dxfId="14" priority="16" stopIfTrue="1">
      <formula>$C40=#REF!</formula>
    </cfRule>
  </conditionalFormatting>
  <conditionalFormatting sqref="G42:H169 G41:G169 G190:H190">
    <cfRule type="expression" dxfId="13" priority="13" stopIfTrue="1">
      <formula>$C41=#REF!</formula>
    </cfRule>
    <cfRule type="expression" dxfId="12" priority="14" stopIfTrue="1">
      <formula>$C41=#REF!</formula>
    </cfRule>
  </conditionalFormatting>
  <conditionalFormatting sqref="I42:I169 I190">
    <cfRule type="expression" dxfId="11" priority="11" stopIfTrue="1">
      <formula>$C42=#REF!</formula>
    </cfRule>
    <cfRule type="expression" dxfId="10" priority="12" stopIfTrue="1">
      <formula>$C42=#REF!</formula>
    </cfRule>
  </conditionalFormatting>
  <conditionalFormatting sqref="D170:H189 J170:L189">
    <cfRule type="expression" dxfId="9" priority="9" stopIfTrue="1">
      <formula>$C170=#REF!</formula>
    </cfRule>
    <cfRule type="expression" dxfId="8" priority="10" stopIfTrue="1">
      <formula>$C170=#REF!</formula>
    </cfRule>
  </conditionalFormatting>
  <conditionalFormatting sqref="I170:I189">
    <cfRule type="expression" dxfId="7" priority="7" stopIfTrue="1">
      <formula>$C170=#REF!</formula>
    </cfRule>
    <cfRule type="expression" dxfId="6" priority="8" stopIfTrue="1">
      <formula>$C170=#REF!</formula>
    </cfRule>
  </conditionalFormatting>
  <conditionalFormatting sqref="M170:N189">
    <cfRule type="expression" dxfId="5" priority="5" stopIfTrue="1">
      <formula>$C170=#REF!</formula>
    </cfRule>
    <cfRule type="expression" dxfId="4" priority="6" stopIfTrue="1">
      <formula>$C170=#REF!</formula>
    </cfRule>
  </conditionalFormatting>
  <conditionalFormatting sqref="G170:H189">
    <cfRule type="expression" dxfId="3" priority="3" stopIfTrue="1">
      <formula>$C170=#REF!</formula>
    </cfRule>
    <cfRule type="expression" dxfId="2" priority="4" stopIfTrue="1">
      <formula>$C170=#REF!</formula>
    </cfRule>
  </conditionalFormatting>
  <conditionalFormatting sqref="I170:I189">
    <cfRule type="expression" dxfId="1" priority="1" stopIfTrue="1">
      <formula>$C170=#REF!</formula>
    </cfRule>
    <cfRule type="expression" dxfId="0" priority="2" stopIfTrue="1">
      <formula>$C170=#REF!</formula>
    </cfRule>
  </conditionalFormatting>
  <dataValidations count="1">
    <dataValidation imeMode="off" allowBlank="1" showInputMessage="1" showErrorMessage="1" sqref="F10 F12 F30 F14:F16 F26 F21" xr:uid="{00000000-0002-0000-0200-000000000000}"/>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489" r:id="rId4" name="Button 297">
              <controlPr defaultSize="0" print="0" autoFill="0" autoPict="0" macro="[0]!ボタン1_Click">
                <anchor moveWithCells="1" sizeWithCells="1">
                  <from>
                    <xdr:col>2</xdr:col>
                    <xdr:colOff>83820</xdr:colOff>
                    <xdr:row>1</xdr:row>
                    <xdr:rowOff>30480</xdr:rowOff>
                  </from>
                  <to>
                    <xdr:col>3</xdr:col>
                    <xdr:colOff>297180</xdr:colOff>
                    <xdr:row>1</xdr:row>
                    <xdr:rowOff>182880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0000"/>
  </sheetPr>
  <dimension ref="A1:B153"/>
  <sheetViews>
    <sheetView workbookViewId="0">
      <pane ySplit="2" topLeftCell="A105" activePane="bottomLeft" state="frozen"/>
      <selection pane="bottomLeft"/>
    </sheetView>
  </sheetViews>
  <sheetFormatPr defaultColWidth="9.125" defaultRowHeight="11.4" x14ac:dyDescent="0.25"/>
  <sheetData>
    <row r="1" spans="1:2" x14ac:dyDescent="0.25">
      <c r="A1" t="s">
        <v>89</v>
      </c>
    </row>
    <row r="2" spans="1:2" x14ac:dyDescent="0.25">
      <c r="A2" t="s">
        <v>0</v>
      </c>
      <c r="B2" t="s">
        <v>12</v>
      </c>
    </row>
    <row r="3" spans="1:2" x14ac:dyDescent="0.25">
      <c r="A3">
        <f>性能入力!C40</f>
        <v>0</v>
      </c>
      <c r="B3">
        <f>ROUNDUP(性能入力!K40,0)</f>
        <v>1</v>
      </c>
    </row>
    <row r="4" spans="1:2" x14ac:dyDescent="0.25">
      <c r="A4">
        <f>性能入力!C41</f>
        <v>1</v>
      </c>
      <c r="B4">
        <f>ROUNDUP(性能入力!K41,0)</f>
        <v>2682</v>
      </c>
    </row>
    <row r="5" spans="1:2" x14ac:dyDescent="0.25">
      <c r="A5">
        <f>性能入力!C42</f>
        <v>2</v>
      </c>
      <c r="B5">
        <f>ROUNDUP(性能入力!K42,0)</f>
        <v>5363</v>
      </c>
    </row>
    <row r="6" spans="1:2" x14ac:dyDescent="0.25">
      <c r="A6">
        <f>性能入力!C43</f>
        <v>3</v>
      </c>
      <c r="B6">
        <f>ROUNDUP(性能入力!K43,0)</f>
        <v>8044</v>
      </c>
    </row>
    <row r="7" spans="1:2" x14ac:dyDescent="0.25">
      <c r="A7">
        <f>性能入力!C44</f>
        <v>4</v>
      </c>
      <c r="B7">
        <f>ROUNDUP(性能入力!K44,0)</f>
        <v>10725</v>
      </c>
    </row>
    <row r="8" spans="1:2" x14ac:dyDescent="0.25">
      <c r="A8">
        <f>性能入力!C45</f>
        <v>5</v>
      </c>
      <c r="B8">
        <f>ROUNDUP(性能入力!K45,0)</f>
        <v>13406</v>
      </c>
    </row>
    <row r="9" spans="1:2" x14ac:dyDescent="0.25">
      <c r="A9">
        <f>性能入力!C46</f>
        <v>6</v>
      </c>
      <c r="B9">
        <f>ROUNDUP(性能入力!K46,0)</f>
        <v>16087</v>
      </c>
    </row>
    <row r="10" spans="1:2" x14ac:dyDescent="0.25">
      <c r="A10">
        <f>性能入力!C47</f>
        <v>7</v>
      </c>
      <c r="B10">
        <f>ROUNDUP(性能入力!K47,0)</f>
        <v>18768</v>
      </c>
    </row>
    <row r="11" spans="1:2" x14ac:dyDescent="0.25">
      <c r="A11">
        <f>性能入力!C48</f>
        <v>8</v>
      </c>
      <c r="B11">
        <f>ROUNDUP(性能入力!K48,0)</f>
        <v>21450</v>
      </c>
    </row>
    <row r="12" spans="1:2" x14ac:dyDescent="0.25">
      <c r="A12">
        <f>性能入力!C49</f>
        <v>9</v>
      </c>
      <c r="B12">
        <f>ROUNDUP(性能入力!K49,0)</f>
        <v>24131</v>
      </c>
    </row>
    <row r="13" spans="1:2" x14ac:dyDescent="0.25">
      <c r="A13">
        <f>性能入力!C50</f>
        <v>10</v>
      </c>
      <c r="B13">
        <f>ROUNDUP(性能入力!K50,0)</f>
        <v>26812</v>
      </c>
    </row>
    <row r="14" spans="1:2" x14ac:dyDescent="0.25">
      <c r="A14">
        <f>性能入力!C51</f>
        <v>11</v>
      </c>
      <c r="B14">
        <f>ROUNDUP(性能入力!K51,0)</f>
        <v>29493</v>
      </c>
    </row>
    <row r="15" spans="1:2" x14ac:dyDescent="0.25">
      <c r="A15">
        <f>性能入力!C52</f>
        <v>12</v>
      </c>
      <c r="B15">
        <f>ROUNDUP(性能入力!K52,0)</f>
        <v>32174</v>
      </c>
    </row>
    <row r="16" spans="1:2" x14ac:dyDescent="0.25">
      <c r="A16">
        <f>性能入力!C53</f>
        <v>13</v>
      </c>
      <c r="B16">
        <f>ROUNDUP(性能入力!K53,0)</f>
        <v>34855</v>
      </c>
    </row>
    <row r="17" spans="1:2" x14ac:dyDescent="0.25">
      <c r="A17">
        <f>性能入力!C54</f>
        <v>14</v>
      </c>
      <c r="B17">
        <f>ROUNDUP(性能入力!K54,0)</f>
        <v>37536</v>
      </c>
    </row>
    <row r="18" spans="1:2" x14ac:dyDescent="0.25">
      <c r="A18">
        <f>性能入力!C55</f>
        <v>15</v>
      </c>
      <c r="B18">
        <f>ROUNDUP(性能入力!K55,0)</f>
        <v>40217</v>
      </c>
    </row>
    <row r="19" spans="1:2" x14ac:dyDescent="0.25">
      <c r="A19">
        <f>性能入力!C56</f>
        <v>16</v>
      </c>
      <c r="B19">
        <f>ROUNDUP(性能入力!K56,0)</f>
        <v>40217</v>
      </c>
    </row>
    <row r="20" spans="1:2" x14ac:dyDescent="0.25">
      <c r="A20">
        <f>性能入力!C57</f>
        <v>17</v>
      </c>
      <c r="B20">
        <f>ROUNDUP(性能入力!K57,0)</f>
        <v>40217</v>
      </c>
    </row>
    <row r="21" spans="1:2" x14ac:dyDescent="0.25">
      <c r="A21">
        <f>性能入力!C58</f>
        <v>18</v>
      </c>
      <c r="B21">
        <f>ROUNDUP(性能入力!K58,0)</f>
        <v>40217</v>
      </c>
    </row>
    <row r="22" spans="1:2" x14ac:dyDescent="0.25">
      <c r="A22">
        <f>性能入力!C59</f>
        <v>19</v>
      </c>
      <c r="B22">
        <f>ROUNDUP(性能入力!K59,0)</f>
        <v>40217</v>
      </c>
    </row>
    <row r="23" spans="1:2" x14ac:dyDescent="0.25">
      <c r="A23">
        <f>性能入力!C60</f>
        <v>20</v>
      </c>
      <c r="B23">
        <f>ROUNDUP(性能入力!K60,0)</f>
        <v>40217</v>
      </c>
    </row>
    <row r="24" spans="1:2" x14ac:dyDescent="0.25">
      <c r="A24">
        <f>性能入力!C61</f>
        <v>21</v>
      </c>
      <c r="B24">
        <f>ROUNDUP(性能入力!K61,0)</f>
        <v>40217</v>
      </c>
    </row>
    <row r="25" spans="1:2" x14ac:dyDescent="0.25">
      <c r="A25">
        <f>性能入力!C62</f>
        <v>22</v>
      </c>
      <c r="B25">
        <f>ROUNDUP(性能入力!K62,0)</f>
        <v>40217</v>
      </c>
    </row>
    <row r="26" spans="1:2" x14ac:dyDescent="0.25">
      <c r="A26">
        <f>性能入力!C63</f>
        <v>23</v>
      </c>
      <c r="B26">
        <f>ROUNDUP(性能入力!K63,0)</f>
        <v>40217</v>
      </c>
    </row>
    <row r="27" spans="1:2" x14ac:dyDescent="0.25">
      <c r="A27">
        <f>性能入力!C64</f>
        <v>24</v>
      </c>
      <c r="B27">
        <f>ROUNDUP(性能入力!K64,0)</f>
        <v>40217</v>
      </c>
    </row>
    <row r="28" spans="1:2" x14ac:dyDescent="0.25">
      <c r="A28">
        <f>性能入力!C65</f>
        <v>25</v>
      </c>
      <c r="B28">
        <f>ROUNDUP(性能入力!K65,0)</f>
        <v>40217</v>
      </c>
    </row>
    <row r="29" spans="1:2" x14ac:dyDescent="0.25">
      <c r="A29">
        <f>性能入力!C66</f>
        <v>26</v>
      </c>
      <c r="B29">
        <f>ROUNDUP(性能入力!K66,0)</f>
        <v>40217</v>
      </c>
    </row>
    <row r="30" spans="1:2" x14ac:dyDescent="0.25">
      <c r="A30">
        <f>性能入力!C67</f>
        <v>27</v>
      </c>
      <c r="B30">
        <f>ROUNDUP(性能入力!K67,0)</f>
        <v>40217</v>
      </c>
    </row>
    <row r="31" spans="1:2" x14ac:dyDescent="0.25">
      <c r="A31">
        <f>性能入力!C68</f>
        <v>28</v>
      </c>
      <c r="B31">
        <f>ROUNDUP(性能入力!K68,0)</f>
        <v>40217</v>
      </c>
    </row>
    <row r="32" spans="1:2" x14ac:dyDescent="0.25">
      <c r="A32">
        <f>性能入力!C69</f>
        <v>29</v>
      </c>
      <c r="B32">
        <f>ROUNDUP(性能入力!K69,0)</f>
        <v>40217</v>
      </c>
    </row>
    <row r="33" spans="1:2" x14ac:dyDescent="0.25">
      <c r="A33">
        <f>性能入力!C70</f>
        <v>30</v>
      </c>
      <c r="B33">
        <f>ROUNDUP(性能入力!K70,0)</f>
        <v>40217</v>
      </c>
    </row>
    <row r="34" spans="1:2" x14ac:dyDescent="0.25">
      <c r="A34">
        <f>性能入力!C71</f>
        <v>31</v>
      </c>
      <c r="B34">
        <f>ROUNDUP(性能入力!K71,0)</f>
        <v>40217</v>
      </c>
    </row>
    <row r="35" spans="1:2" x14ac:dyDescent="0.25">
      <c r="A35">
        <f>性能入力!C72</f>
        <v>32</v>
      </c>
      <c r="B35">
        <f>ROUNDUP(性能入力!K72,0)</f>
        <v>40217</v>
      </c>
    </row>
    <row r="36" spans="1:2" x14ac:dyDescent="0.25">
      <c r="A36">
        <f>性能入力!C73</f>
        <v>33</v>
      </c>
      <c r="B36">
        <f>ROUNDUP(性能入力!K73,0)</f>
        <v>40217</v>
      </c>
    </row>
    <row r="37" spans="1:2" x14ac:dyDescent="0.25">
      <c r="A37">
        <f>性能入力!C74</f>
        <v>34</v>
      </c>
      <c r="B37">
        <f>ROUNDUP(性能入力!K74,0)</f>
        <v>40217</v>
      </c>
    </row>
    <row r="38" spans="1:2" x14ac:dyDescent="0.25">
      <c r="A38">
        <f>性能入力!C75</f>
        <v>35</v>
      </c>
      <c r="B38">
        <f>ROUNDUP(性能入力!K75,0)</f>
        <v>40217</v>
      </c>
    </row>
    <row r="39" spans="1:2" x14ac:dyDescent="0.25">
      <c r="A39">
        <f>性能入力!C76</f>
        <v>36</v>
      </c>
      <c r="B39">
        <f>ROUNDUP(性能入力!K76,0)</f>
        <v>40217</v>
      </c>
    </row>
    <row r="40" spans="1:2" x14ac:dyDescent="0.25">
      <c r="A40">
        <f>性能入力!C77</f>
        <v>37</v>
      </c>
      <c r="B40">
        <f>ROUNDUP(性能入力!K77,0)</f>
        <v>40217</v>
      </c>
    </row>
    <row r="41" spans="1:2" x14ac:dyDescent="0.25">
      <c r="A41">
        <f>性能入力!C78</f>
        <v>38</v>
      </c>
      <c r="B41">
        <f>ROUNDUP(性能入力!K78,0)</f>
        <v>40217</v>
      </c>
    </row>
    <row r="42" spans="1:2" x14ac:dyDescent="0.25">
      <c r="A42">
        <f>性能入力!C79</f>
        <v>39</v>
      </c>
      <c r="B42">
        <f>ROUNDUP(性能入力!K79,0)</f>
        <v>40217</v>
      </c>
    </row>
    <row r="43" spans="1:2" x14ac:dyDescent="0.25">
      <c r="A43">
        <f>性能入力!C80</f>
        <v>40</v>
      </c>
      <c r="B43">
        <f>ROUNDUP(性能入力!K80,0)</f>
        <v>40217</v>
      </c>
    </row>
    <row r="44" spans="1:2" x14ac:dyDescent="0.25">
      <c r="A44">
        <f>性能入力!C81</f>
        <v>41</v>
      </c>
      <c r="B44">
        <f>ROUNDUP(性能入力!K81,0)</f>
        <v>40217</v>
      </c>
    </row>
    <row r="45" spans="1:2" x14ac:dyDescent="0.25">
      <c r="A45">
        <f>性能入力!C82</f>
        <v>42</v>
      </c>
      <c r="B45">
        <f>ROUNDUP(性能入力!K82,0)</f>
        <v>40217</v>
      </c>
    </row>
    <row r="46" spans="1:2" x14ac:dyDescent="0.25">
      <c r="A46">
        <f>性能入力!C83</f>
        <v>43</v>
      </c>
      <c r="B46">
        <f>ROUNDUP(性能入力!K83,0)</f>
        <v>40217</v>
      </c>
    </row>
    <row r="47" spans="1:2" x14ac:dyDescent="0.25">
      <c r="A47">
        <f>性能入力!C84</f>
        <v>44</v>
      </c>
      <c r="B47">
        <f>ROUNDUP(性能入力!K84,0)</f>
        <v>40217</v>
      </c>
    </row>
    <row r="48" spans="1:2" x14ac:dyDescent="0.25">
      <c r="A48">
        <f>性能入力!C85</f>
        <v>45</v>
      </c>
      <c r="B48">
        <f>ROUNDUP(性能入力!K85,0)</f>
        <v>40217</v>
      </c>
    </row>
    <row r="49" spans="1:2" x14ac:dyDescent="0.25">
      <c r="A49">
        <f>性能入力!C86</f>
        <v>46</v>
      </c>
      <c r="B49">
        <f>ROUNDUP(性能入力!K86,0)</f>
        <v>40217</v>
      </c>
    </row>
    <row r="50" spans="1:2" x14ac:dyDescent="0.25">
      <c r="A50">
        <f>性能入力!C87</f>
        <v>47</v>
      </c>
      <c r="B50">
        <f>ROUNDUP(性能入力!K87,0)</f>
        <v>40217</v>
      </c>
    </row>
    <row r="51" spans="1:2" x14ac:dyDescent="0.25">
      <c r="A51">
        <f>性能入力!C88</f>
        <v>48</v>
      </c>
      <c r="B51">
        <f>ROUNDUP(性能入力!K88,0)</f>
        <v>40217</v>
      </c>
    </row>
    <row r="52" spans="1:2" x14ac:dyDescent="0.25">
      <c r="A52">
        <f>性能入力!C89</f>
        <v>49</v>
      </c>
      <c r="B52">
        <f>ROUNDUP(性能入力!K89,0)</f>
        <v>40217</v>
      </c>
    </row>
    <row r="53" spans="1:2" x14ac:dyDescent="0.25">
      <c r="A53">
        <f>性能入力!C90</f>
        <v>50</v>
      </c>
      <c r="B53">
        <f>ROUNDUP(性能入力!K90,0)</f>
        <v>40217</v>
      </c>
    </row>
    <row r="54" spans="1:2" x14ac:dyDescent="0.25">
      <c r="A54">
        <f>性能入力!C91</f>
        <v>51</v>
      </c>
      <c r="B54">
        <f>ROUNDUP(性能入力!K91,0)</f>
        <v>40217</v>
      </c>
    </row>
    <row r="55" spans="1:2" x14ac:dyDescent="0.25">
      <c r="A55">
        <f>性能入力!C92</f>
        <v>52</v>
      </c>
      <c r="B55">
        <f>ROUNDUP(性能入力!K92,0)</f>
        <v>40217</v>
      </c>
    </row>
    <row r="56" spans="1:2" x14ac:dyDescent="0.25">
      <c r="A56">
        <f>性能入力!C93</f>
        <v>53</v>
      </c>
      <c r="B56">
        <f>ROUNDUP(性能入力!K93,0)</f>
        <v>40217</v>
      </c>
    </row>
    <row r="57" spans="1:2" x14ac:dyDescent="0.25">
      <c r="A57">
        <f>性能入力!C94</f>
        <v>54</v>
      </c>
      <c r="B57">
        <f>ROUNDUP(性能入力!K94,0)</f>
        <v>40217</v>
      </c>
    </row>
    <row r="58" spans="1:2" x14ac:dyDescent="0.25">
      <c r="A58">
        <f>性能入力!C95</f>
        <v>55</v>
      </c>
      <c r="B58">
        <f>ROUNDUP(性能入力!K95,0)</f>
        <v>40217</v>
      </c>
    </row>
    <row r="59" spans="1:2" x14ac:dyDescent="0.25">
      <c r="A59">
        <f>性能入力!C96</f>
        <v>56</v>
      </c>
      <c r="B59">
        <f>ROUNDUP(性能入力!K96,0)</f>
        <v>40217</v>
      </c>
    </row>
    <row r="60" spans="1:2" x14ac:dyDescent="0.25">
      <c r="A60">
        <f>性能入力!C97</f>
        <v>57</v>
      </c>
      <c r="B60">
        <f>ROUNDUP(性能入力!K97,0)</f>
        <v>40217</v>
      </c>
    </row>
    <row r="61" spans="1:2" x14ac:dyDescent="0.25">
      <c r="A61">
        <f>性能入力!C98</f>
        <v>58</v>
      </c>
      <c r="B61">
        <f>ROUNDUP(性能入力!K98,0)</f>
        <v>40217</v>
      </c>
    </row>
    <row r="62" spans="1:2" x14ac:dyDescent="0.25">
      <c r="A62">
        <f>性能入力!C99</f>
        <v>59</v>
      </c>
      <c r="B62">
        <f>ROUNDUP(性能入力!K99,0)</f>
        <v>40217</v>
      </c>
    </row>
    <row r="63" spans="1:2" x14ac:dyDescent="0.25">
      <c r="A63">
        <f>性能入力!C100</f>
        <v>60</v>
      </c>
      <c r="B63">
        <f>ROUNDUP(性能入力!K100,0)</f>
        <v>40217</v>
      </c>
    </row>
    <row r="64" spans="1:2" x14ac:dyDescent="0.25">
      <c r="A64">
        <f>性能入力!C101</f>
        <v>61</v>
      </c>
      <c r="B64">
        <f>ROUNDUP(性能入力!K101,0)</f>
        <v>40217</v>
      </c>
    </row>
    <row r="65" spans="1:2" x14ac:dyDescent="0.25">
      <c r="A65">
        <f>性能入力!C102</f>
        <v>62</v>
      </c>
      <c r="B65">
        <f>ROUNDUP(性能入力!K102,0)</f>
        <v>40217</v>
      </c>
    </row>
    <row r="66" spans="1:2" x14ac:dyDescent="0.25">
      <c r="A66">
        <f>性能入力!C103</f>
        <v>63</v>
      </c>
      <c r="B66">
        <f>ROUNDUP(性能入力!K103,0)</f>
        <v>40217</v>
      </c>
    </row>
    <row r="67" spans="1:2" x14ac:dyDescent="0.25">
      <c r="A67">
        <f>性能入力!C104</f>
        <v>64</v>
      </c>
      <c r="B67">
        <f>ROUNDUP(性能入力!K104,0)</f>
        <v>40217</v>
      </c>
    </row>
    <row r="68" spans="1:2" x14ac:dyDescent="0.25">
      <c r="A68">
        <f>性能入力!C105</f>
        <v>65</v>
      </c>
      <c r="B68">
        <f>ROUNDUP(性能入力!K105,0)</f>
        <v>40217</v>
      </c>
    </row>
    <row r="69" spans="1:2" x14ac:dyDescent="0.25">
      <c r="A69">
        <f>性能入力!C106</f>
        <v>66</v>
      </c>
      <c r="B69">
        <f>ROUNDUP(性能入力!K106,0)</f>
        <v>40217</v>
      </c>
    </row>
    <row r="70" spans="1:2" x14ac:dyDescent="0.25">
      <c r="A70">
        <f>性能入力!C107</f>
        <v>67</v>
      </c>
      <c r="B70">
        <f>ROUNDUP(性能入力!K107,0)</f>
        <v>40217</v>
      </c>
    </row>
    <row r="71" spans="1:2" x14ac:dyDescent="0.25">
      <c r="A71">
        <f>性能入力!C108</f>
        <v>68</v>
      </c>
      <c r="B71">
        <f>ROUNDUP(性能入力!K108,0)</f>
        <v>40217</v>
      </c>
    </row>
    <row r="72" spans="1:2" x14ac:dyDescent="0.25">
      <c r="A72">
        <f>性能入力!C109</f>
        <v>69</v>
      </c>
      <c r="B72">
        <f>ROUNDUP(性能入力!K109,0)</f>
        <v>40217</v>
      </c>
    </row>
    <row r="73" spans="1:2" x14ac:dyDescent="0.25">
      <c r="A73">
        <f>性能入力!C110</f>
        <v>70</v>
      </c>
      <c r="B73">
        <f>ROUNDUP(性能入力!K110,0)</f>
        <v>40217</v>
      </c>
    </row>
    <row r="74" spans="1:2" x14ac:dyDescent="0.25">
      <c r="A74">
        <f>性能入力!C111</f>
        <v>71</v>
      </c>
      <c r="B74">
        <f>ROUNDUP(性能入力!K111,0)</f>
        <v>40217</v>
      </c>
    </row>
    <row r="75" spans="1:2" x14ac:dyDescent="0.25">
      <c r="A75">
        <f>性能入力!C112</f>
        <v>72</v>
      </c>
      <c r="B75">
        <f>ROUNDUP(性能入力!K112,0)</f>
        <v>40217</v>
      </c>
    </row>
    <row r="76" spans="1:2" x14ac:dyDescent="0.25">
      <c r="A76">
        <f>性能入力!C113</f>
        <v>73</v>
      </c>
      <c r="B76">
        <f>ROUNDUP(性能入力!K113,0)</f>
        <v>40217</v>
      </c>
    </row>
    <row r="77" spans="1:2" x14ac:dyDescent="0.25">
      <c r="A77">
        <f>性能入力!C114</f>
        <v>74</v>
      </c>
      <c r="B77">
        <f>ROUNDUP(性能入力!K114,0)</f>
        <v>40217</v>
      </c>
    </row>
    <row r="78" spans="1:2" x14ac:dyDescent="0.25">
      <c r="A78">
        <f>性能入力!C115</f>
        <v>75</v>
      </c>
      <c r="B78">
        <f>ROUNDUP(性能入力!K115,0)</f>
        <v>40217</v>
      </c>
    </row>
    <row r="79" spans="1:2" x14ac:dyDescent="0.25">
      <c r="A79">
        <f>性能入力!C116</f>
        <v>76</v>
      </c>
      <c r="B79">
        <f>ROUNDUP(性能入力!K116,0)</f>
        <v>40217</v>
      </c>
    </row>
    <row r="80" spans="1:2" x14ac:dyDescent="0.25">
      <c r="A80">
        <f>性能入力!C117</f>
        <v>77</v>
      </c>
      <c r="B80">
        <f>ROUNDUP(性能入力!K117,0)</f>
        <v>40217</v>
      </c>
    </row>
    <row r="81" spans="1:2" x14ac:dyDescent="0.25">
      <c r="A81">
        <f>性能入力!C118</f>
        <v>78</v>
      </c>
      <c r="B81">
        <f>ROUNDUP(性能入力!K118,0)</f>
        <v>40217</v>
      </c>
    </row>
    <row r="82" spans="1:2" x14ac:dyDescent="0.25">
      <c r="A82">
        <f>性能入力!C119</f>
        <v>79</v>
      </c>
      <c r="B82">
        <f>ROUNDUP(性能入力!K119,0)</f>
        <v>40217</v>
      </c>
    </row>
    <row r="83" spans="1:2" x14ac:dyDescent="0.25">
      <c r="A83">
        <f>性能入力!C120</f>
        <v>80</v>
      </c>
      <c r="B83">
        <f>ROUNDUP(性能入力!K120,0)</f>
        <v>40217</v>
      </c>
    </row>
    <row r="84" spans="1:2" x14ac:dyDescent="0.25">
      <c r="A84">
        <f>性能入力!C121</f>
        <v>81</v>
      </c>
      <c r="B84">
        <f>ROUNDUP(性能入力!K121,0)</f>
        <v>40217</v>
      </c>
    </row>
    <row r="85" spans="1:2" x14ac:dyDescent="0.25">
      <c r="A85">
        <f>性能入力!C122</f>
        <v>82</v>
      </c>
      <c r="B85">
        <f>ROUNDUP(性能入力!K122,0)</f>
        <v>40217</v>
      </c>
    </row>
    <row r="86" spans="1:2" x14ac:dyDescent="0.25">
      <c r="A86">
        <f>性能入力!C123</f>
        <v>83</v>
      </c>
      <c r="B86">
        <f>ROUNDUP(性能入力!K123,0)</f>
        <v>39943</v>
      </c>
    </row>
    <row r="87" spans="1:2" x14ac:dyDescent="0.25">
      <c r="A87">
        <f>性能入力!C124</f>
        <v>84</v>
      </c>
      <c r="B87">
        <f>ROUNDUP(性能入力!K124,0)</f>
        <v>38951</v>
      </c>
    </row>
    <row r="88" spans="1:2" x14ac:dyDescent="0.25">
      <c r="A88">
        <f>性能入力!C125</f>
        <v>85</v>
      </c>
      <c r="B88">
        <f>ROUNDUP(性能入力!K125,0)</f>
        <v>37995</v>
      </c>
    </row>
    <row r="89" spans="1:2" x14ac:dyDescent="0.25">
      <c r="A89">
        <f>性能入力!C126</f>
        <v>86</v>
      </c>
      <c r="B89">
        <f>ROUNDUP(性能入力!K126,0)</f>
        <v>37073</v>
      </c>
    </row>
    <row r="90" spans="1:2" x14ac:dyDescent="0.25">
      <c r="A90">
        <f>性能入力!C127</f>
        <v>87</v>
      </c>
      <c r="B90">
        <f>ROUNDUP(性能入力!K127,0)</f>
        <v>36184</v>
      </c>
    </row>
    <row r="91" spans="1:2" x14ac:dyDescent="0.25">
      <c r="A91">
        <f>性能入力!C128</f>
        <v>88</v>
      </c>
      <c r="B91">
        <f>ROUNDUP(性能入力!K128,0)</f>
        <v>35326</v>
      </c>
    </row>
    <row r="92" spans="1:2" x14ac:dyDescent="0.25">
      <c r="A92">
        <f>性能入力!C129</f>
        <v>89</v>
      </c>
      <c r="B92">
        <f>ROUNDUP(性能入力!K129,0)</f>
        <v>34498</v>
      </c>
    </row>
    <row r="93" spans="1:2" x14ac:dyDescent="0.25">
      <c r="A93">
        <f>性能入力!C130</f>
        <v>90</v>
      </c>
      <c r="B93">
        <f>ROUNDUP(性能入力!K130,0)</f>
        <v>33698</v>
      </c>
    </row>
    <row r="94" spans="1:2" x14ac:dyDescent="0.25">
      <c r="A94">
        <f>性能入力!C131</f>
        <v>91</v>
      </c>
      <c r="B94">
        <f>ROUNDUP(性能入力!K131,0)</f>
        <v>32925</v>
      </c>
    </row>
    <row r="95" spans="1:2" x14ac:dyDescent="0.25">
      <c r="A95">
        <f>性能入力!C132</f>
        <v>92</v>
      </c>
      <c r="B95">
        <f>ROUNDUP(性能入力!K132,0)</f>
        <v>32178</v>
      </c>
    </row>
    <row r="96" spans="1:2" x14ac:dyDescent="0.25">
      <c r="A96">
        <f>性能入力!C133</f>
        <v>93</v>
      </c>
      <c r="B96">
        <f>ROUNDUP(性能入力!K133,0)</f>
        <v>31455</v>
      </c>
    </row>
    <row r="97" spans="1:2" x14ac:dyDescent="0.25">
      <c r="A97">
        <f>性能入力!C134</f>
        <v>94</v>
      </c>
      <c r="B97">
        <f>ROUNDUP(性能入力!K134,0)</f>
        <v>30757</v>
      </c>
    </row>
    <row r="98" spans="1:2" x14ac:dyDescent="0.25">
      <c r="A98">
        <f>性能入力!C135</f>
        <v>95</v>
      </c>
      <c r="B98">
        <f>ROUNDUP(性能入力!K135,0)</f>
        <v>30081</v>
      </c>
    </row>
    <row r="99" spans="1:2" x14ac:dyDescent="0.25">
      <c r="A99">
        <f>性能入力!C136</f>
        <v>96</v>
      </c>
      <c r="B99">
        <f>ROUNDUP(性能入力!K136,0)</f>
        <v>29427</v>
      </c>
    </row>
    <row r="100" spans="1:2" x14ac:dyDescent="0.25">
      <c r="A100">
        <f>性能入力!C137</f>
        <v>97</v>
      </c>
      <c r="B100">
        <f>ROUNDUP(性能入力!K137,0)</f>
        <v>28793</v>
      </c>
    </row>
    <row r="101" spans="1:2" x14ac:dyDescent="0.25">
      <c r="A101">
        <f>性能入力!C138</f>
        <v>98</v>
      </c>
      <c r="B101">
        <f>ROUNDUP(性能入力!K138,0)</f>
        <v>28180</v>
      </c>
    </row>
    <row r="102" spans="1:2" x14ac:dyDescent="0.25">
      <c r="A102">
        <f>性能入力!C139</f>
        <v>99</v>
      </c>
      <c r="B102">
        <f>ROUNDUP(性能入力!K139,0)</f>
        <v>27585</v>
      </c>
    </row>
    <row r="103" spans="1:2" x14ac:dyDescent="0.25">
      <c r="A103">
        <f>性能入力!C140</f>
        <v>100</v>
      </c>
      <c r="B103">
        <f>ROUNDUP(性能入力!K140,0)</f>
        <v>27009</v>
      </c>
    </row>
    <row r="104" spans="1:2" x14ac:dyDescent="0.25">
      <c r="A104">
        <f>性能入力!C141</f>
        <v>101</v>
      </c>
      <c r="B104">
        <f>ROUNDUP(性能入力!K141,0)</f>
        <v>26451</v>
      </c>
    </row>
    <row r="105" spans="1:2" x14ac:dyDescent="0.25">
      <c r="A105">
        <f>性能入力!C142</f>
        <v>102</v>
      </c>
      <c r="B105">
        <f>ROUNDUP(性能入力!K142,0)</f>
        <v>25909</v>
      </c>
    </row>
    <row r="106" spans="1:2" x14ac:dyDescent="0.25">
      <c r="A106">
        <f>性能入力!C143</f>
        <v>103</v>
      </c>
      <c r="B106">
        <f>ROUNDUP(性能入力!K143,0)</f>
        <v>25384</v>
      </c>
    </row>
    <row r="107" spans="1:2" x14ac:dyDescent="0.25">
      <c r="A107">
        <f>性能入力!C144</f>
        <v>104</v>
      </c>
      <c r="B107">
        <f>ROUNDUP(性能入力!K144,0)</f>
        <v>24874</v>
      </c>
    </row>
    <row r="108" spans="1:2" x14ac:dyDescent="0.25">
      <c r="A108">
        <f>性能入力!C145</f>
        <v>105</v>
      </c>
      <c r="B108">
        <f>ROUNDUP(性能入力!K145,0)</f>
        <v>24379</v>
      </c>
    </row>
    <row r="109" spans="1:2" x14ac:dyDescent="0.25">
      <c r="A109">
        <f>性能入力!C146</f>
        <v>106</v>
      </c>
      <c r="B109">
        <f>ROUNDUP(性能入力!K146,0)</f>
        <v>23898</v>
      </c>
    </row>
    <row r="110" spans="1:2" x14ac:dyDescent="0.25">
      <c r="A110">
        <f>性能入力!C147</f>
        <v>107</v>
      </c>
      <c r="B110">
        <f>ROUNDUP(性能入力!K147,0)</f>
        <v>23432</v>
      </c>
    </row>
    <row r="111" spans="1:2" x14ac:dyDescent="0.25">
      <c r="A111">
        <f>性能入力!C148</f>
        <v>108</v>
      </c>
      <c r="B111">
        <f>ROUNDUP(性能入力!K148,0)</f>
        <v>22978</v>
      </c>
    </row>
    <row r="112" spans="1:2" x14ac:dyDescent="0.25">
      <c r="A112">
        <f>性能入力!C149</f>
        <v>109</v>
      </c>
      <c r="B112">
        <f>ROUNDUP(性能入力!K149,0)</f>
        <v>22538</v>
      </c>
    </row>
    <row r="113" spans="1:2" x14ac:dyDescent="0.25">
      <c r="A113">
        <f>性能入力!C150</f>
        <v>110</v>
      </c>
      <c r="B113">
        <f>ROUNDUP(性能入力!K150,0)</f>
        <v>22110</v>
      </c>
    </row>
    <row r="114" spans="1:2" x14ac:dyDescent="0.25">
      <c r="A114">
        <f>性能入力!C151</f>
        <v>111</v>
      </c>
      <c r="B114">
        <f>ROUNDUP(性能入力!K151,0)</f>
        <v>21694</v>
      </c>
    </row>
    <row r="115" spans="1:2" x14ac:dyDescent="0.25">
      <c r="A115">
        <f>性能入力!C152</f>
        <v>112</v>
      </c>
      <c r="B115">
        <f>ROUNDUP(性能入力!K152,0)</f>
        <v>21289</v>
      </c>
    </row>
    <row r="116" spans="1:2" x14ac:dyDescent="0.25">
      <c r="A116">
        <f>性能入力!C153</f>
        <v>113</v>
      </c>
      <c r="B116">
        <f>ROUNDUP(性能入力!K153,0)</f>
        <v>20895</v>
      </c>
    </row>
    <row r="117" spans="1:2" x14ac:dyDescent="0.25">
      <c r="A117">
        <f>性能入力!C154</f>
        <v>114</v>
      </c>
      <c r="B117">
        <f>ROUNDUP(性能入力!K154,0)</f>
        <v>20512</v>
      </c>
    </row>
    <row r="118" spans="1:2" x14ac:dyDescent="0.25">
      <c r="A118">
        <f>性能入力!C155</f>
        <v>115</v>
      </c>
      <c r="B118">
        <f>ROUNDUP(性能入力!K155,0)</f>
        <v>20139</v>
      </c>
    </row>
    <row r="119" spans="1:2" x14ac:dyDescent="0.25">
      <c r="A119">
        <f>性能入力!C156</f>
        <v>116</v>
      </c>
      <c r="B119">
        <f>ROUNDUP(性能入力!K156,0)</f>
        <v>19777</v>
      </c>
    </row>
    <row r="120" spans="1:2" x14ac:dyDescent="0.25">
      <c r="A120">
        <f>性能入力!C157</f>
        <v>117</v>
      </c>
      <c r="B120">
        <f>ROUNDUP(性能入力!K157,0)</f>
        <v>19423</v>
      </c>
    </row>
    <row r="121" spans="1:2" x14ac:dyDescent="0.25">
      <c r="A121">
        <f>性能入力!C158</f>
        <v>118</v>
      </c>
      <c r="B121">
        <f>ROUNDUP(性能入力!K158,0)</f>
        <v>19079</v>
      </c>
    </row>
    <row r="122" spans="1:2" x14ac:dyDescent="0.25">
      <c r="A122">
        <f>性能入力!C159</f>
        <v>119</v>
      </c>
      <c r="B122">
        <f>ROUNDUP(性能入力!K159,0)</f>
        <v>18744</v>
      </c>
    </row>
    <row r="123" spans="1:2" x14ac:dyDescent="0.25">
      <c r="A123">
        <f>性能入力!C160</f>
        <v>120</v>
      </c>
      <c r="B123">
        <f>ROUNDUP(性能入力!K160,0)</f>
        <v>18418</v>
      </c>
    </row>
    <row r="124" spans="1:2" x14ac:dyDescent="0.25">
      <c r="A124">
        <f>性能入力!C161</f>
        <v>121</v>
      </c>
      <c r="B124">
        <f>ROUNDUP(性能入力!K161,0)</f>
        <v>18099</v>
      </c>
    </row>
    <row r="125" spans="1:2" x14ac:dyDescent="0.25">
      <c r="A125">
        <f>性能入力!C162</f>
        <v>122</v>
      </c>
      <c r="B125">
        <f>ROUNDUP(性能入力!K162,0)</f>
        <v>17789</v>
      </c>
    </row>
    <row r="126" spans="1:2" x14ac:dyDescent="0.25">
      <c r="A126">
        <f>性能入力!C163</f>
        <v>123</v>
      </c>
      <c r="B126">
        <f>ROUNDUP(性能入力!K163,0)</f>
        <v>17487</v>
      </c>
    </row>
    <row r="127" spans="1:2" x14ac:dyDescent="0.25">
      <c r="A127">
        <f>性能入力!C164</f>
        <v>124</v>
      </c>
      <c r="B127">
        <f>ROUNDUP(性能入力!K164,0)</f>
        <v>17192</v>
      </c>
    </row>
    <row r="128" spans="1:2" x14ac:dyDescent="0.25">
      <c r="A128">
        <f>性能入力!C165</f>
        <v>125</v>
      </c>
      <c r="B128">
        <f>ROUNDUP(性能入力!K165,0)</f>
        <v>16905</v>
      </c>
    </row>
    <row r="129" spans="1:2" x14ac:dyDescent="0.25">
      <c r="A129">
        <f>性能入力!C166</f>
        <v>126</v>
      </c>
      <c r="B129">
        <f>ROUNDUP(性能入力!K166,0)</f>
        <v>16624</v>
      </c>
    </row>
    <row r="130" spans="1:2" x14ac:dyDescent="0.25">
      <c r="A130">
        <f>性能入力!C167</f>
        <v>127</v>
      </c>
      <c r="B130">
        <f>ROUNDUP(性能入力!K167,0)</f>
        <v>16350</v>
      </c>
    </row>
    <row r="131" spans="1:2" x14ac:dyDescent="0.25">
      <c r="A131">
        <f>性能入力!C168</f>
        <v>128</v>
      </c>
      <c r="B131">
        <f>ROUNDUP(性能入力!K168,0)</f>
        <v>16083</v>
      </c>
    </row>
    <row r="132" spans="1:2" x14ac:dyDescent="0.25">
      <c r="A132">
        <f>性能入力!C169</f>
        <v>129</v>
      </c>
      <c r="B132">
        <f>ROUNDUP(性能入力!K169,0)</f>
        <v>15823</v>
      </c>
    </row>
    <row r="133" spans="1:2" x14ac:dyDescent="0.25">
      <c r="A133">
        <f>性能入力!C170</f>
        <v>130</v>
      </c>
      <c r="B133">
        <f>ROUNDUP(性能入力!K170,0)</f>
        <v>15568</v>
      </c>
    </row>
    <row r="134" spans="1:2" x14ac:dyDescent="0.25">
      <c r="A134">
        <f>性能入力!C171</f>
        <v>131</v>
      </c>
      <c r="B134">
        <f>ROUNDUP(性能入力!K171,0)</f>
        <v>15320</v>
      </c>
    </row>
    <row r="135" spans="1:2" x14ac:dyDescent="0.25">
      <c r="A135">
        <f>性能入力!C172</f>
        <v>132</v>
      </c>
      <c r="B135">
        <f>ROUNDUP(性能入力!K172,0)</f>
        <v>15077</v>
      </c>
    </row>
    <row r="136" spans="1:2" x14ac:dyDescent="0.25">
      <c r="A136">
        <f>性能入力!C173</f>
        <v>133</v>
      </c>
      <c r="B136">
        <f>ROUNDUP(性能入力!K173,0)</f>
        <v>14840</v>
      </c>
    </row>
    <row r="137" spans="1:2" x14ac:dyDescent="0.25">
      <c r="A137">
        <f>性能入力!C174</f>
        <v>134</v>
      </c>
      <c r="B137">
        <f>ROUNDUP(性能入力!K174,0)</f>
        <v>14608</v>
      </c>
    </row>
    <row r="138" spans="1:2" x14ac:dyDescent="0.25">
      <c r="A138">
        <f>性能入力!C175</f>
        <v>135</v>
      </c>
      <c r="B138">
        <f>ROUNDUP(性能入力!K175,0)</f>
        <v>14382</v>
      </c>
    </row>
    <row r="139" spans="1:2" x14ac:dyDescent="0.25">
      <c r="A139">
        <f>性能入力!C176</f>
        <v>136</v>
      </c>
      <c r="B139">
        <f>ROUNDUP(性能入力!K176,0)</f>
        <v>14161</v>
      </c>
    </row>
    <row r="140" spans="1:2" x14ac:dyDescent="0.25">
      <c r="A140">
        <f>性能入力!C177</f>
        <v>137</v>
      </c>
      <c r="B140">
        <f>ROUNDUP(性能入力!K177,0)</f>
        <v>13945</v>
      </c>
    </row>
    <row r="141" spans="1:2" x14ac:dyDescent="0.25">
      <c r="A141">
        <f>性能入力!C178</f>
        <v>138</v>
      </c>
      <c r="B141">
        <f>ROUNDUP(性能入力!K178,0)</f>
        <v>13733</v>
      </c>
    </row>
    <row r="142" spans="1:2" x14ac:dyDescent="0.25">
      <c r="A142">
        <f>性能入力!C179</f>
        <v>139</v>
      </c>
      <c r="B142">
        <f>ROUNDUP(性能入力!K179,0)</f>
        <v>13527</v>
      </c>
    </row>
    <row r="143" spans="1:2" x14ac:dyDescent="0.25">
      <c r="A143">
        <f>性能入力!C180</f>
        <v>140</v>
      </c>
      <c r="B143">
        <f>ROUNDUP(性能入力!K180,0)</f>
        <v>13324</v>
      </c>
    </row>
    <row r="144" spans="1:2" x14ac:dyDescent="0.25">
      <c r="A144">
        <f>性能入力!C181</f>
        <v>141</v>
      </c>
      <c r="B144">
        <f>ROUNDUP(性能入力!K181,0)</f>
        <v>13127</v>
      </c>
    </row>
    <row r="145" spans="1:2" x14ac:dyDescent="0.25">
      <c r="A145">
        <f>性能入力!C182</f>
        <v>142</v>
      </c>
      <c r="B145">
        <f>ROUNDUP(性能入力!K182,0)</f>
        <v>12933</v>
      </c>
    </row>
    <row r="146" spans="1:2" x14ac:dyDescent="0.25">
      <c r="A146">
        <f>性能入力!C183</f>
        <v>143</v>
      </c>
      <c r="B146">
        <f>ROUNDUP(性能入力!K183,0)</f>
        <v>12744</v>
      </c>
    </row>
    <row r="147" spans="1:2" x14ac:dyDescent="0.25">
      <c r="A147">
        <f>性能入力!C184</f>
        <v>144</v>
      </c>
      <c r="B147">
        <f>ROUNDUP(性能入力!K184,0)</f>
        <v>12559</v>
      </c>
    </row>
    <row r="148" spans="1:2" x14ac:dyDescent="0.25">
      <c r="A148">
        <f>性能入力!C185</f>
        <v>145</v>
      </c>
      <c r="B148">
        <f>ROUNDUP(性能入力!K185,0)</f>
        <v>12378</v>
      </c>
    </row>
    <row r="149" spans="1:2" x14ac:dyDescent="0.25">
      <c r="A149">
        <f>性能入力!C186</f>
        <v>146</v>
      </c>
      <c r="B149">
        <f>ROUNDUP(性能入力!K186,0)</f>
        <v>12201</v>
      </c>
    </row>
    <row r="150" spans="1:2" x14ac:dyDescent="0.25">
      <c r="A150">
        <f>性能入力!C187</f>
        <v>147</v>
      </c>
      <c r="B150">
        <f>ROUNDUP(性能入力!K187,0)</f>
        <v>12027</v>
      </c>
    </row>
    <row r="151" spans="1:2" x14ac:dyDescent="0.25">
      <c r="A151">
        <f>性能入力!C188</f>
        <v>148</v>
      </c>
      <c r="B151">
        <f>ROUNDUP(性能入力!K188,0)</f>
        <v>11857</v>
      </c>
    </row>
    <row r="152" spans="1:2" x14ac:dyDescent="0.25">
      <c r="A152">
        <f>性能入力!C189</f>
        <v>149</v>
      </c>
      <c r="B152">
        <f>ROUNDUP(性能入力!K189,0)</f>
        <v>11690</v>
      </c>
    </row>
    <row r="153" spans="1:2" x14ac:dyDescent="0.25">
      <c r="A153">
        <f>性能入力!C190</f>
        <v>150</v>
      </c>
      <c r="B153">
        <f>ROUNDUP(性能入力!K190,0)</f>
        <v>11527</v>
      </c>
    </row>
  </sheetData>
  <phoneticPr fontId="1"/>
  <pageMargins left="0.7" right="0.7" top="0.75" bottom="0.75" header="0.3" footer="0.3"/>
  <pageSetup paperSize="8"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FF0000"/>
  </sheetPr>
  <dimension ref="A1:B153"/>
  <sheetViews>
    <sheetView zoomScaleNormal="100" workbookViewId="0">
      <pane ySplit="2" topLeftCell="A106" activePane="bottomLeft" state="frozen"/>
      <selection pane="bottomLeft"/>
    </sheetView>
  </sheetViews>
  <sheetFormatPr defaultColWidth="9.125" defaultRowHeight="11.4" x14ac:dyDescent="0.25"/>
  <sheetData>
    <row r="1" spans="1:2" x14ac:dyDescent="0.25">
      <c r="A1" t="s">
        <v>89</v>
      </c>
    </row>
    <row r="2" spans="1:2" x14ac:dyDescent="0.25">
      <c r="A2" t="s">
        <v>0</v>
      </c>
      <c r="B2" t="s">
        <v>13</v>
      </c>
    </row>
    <row r="3" spans="1:2" x14ac:dyDescent="0.25">
      <c r="A3">
        <f>性能入力!C40</f>
        <v>0</v>
      </c>
      <c r="B3">
        <f>ROUNDUP(性能入力!L40,0)</f>
        <v>1</v>
      </c>
    </row>
    <row r="4" spans="1:2" x14ac:dyDescent="0.25">
      <c r="A4">
        <f>性能入力!C41</f>
        <v>1</v>
      </c>
      <c r="B4">
        <f>ROUNDUP(性能入力!L41,0)</f>
        <v>4744</v>
      </c>
    </row>
    <row r="5" spans="1:2" x14ac:dyDescent="0.25">
      <c r="A5">
        <f>性能入力!C42</f>
        <v>2</v>
      </c>
      <c r="B5">
        <f>ROUNDUP(性能入力!L42,0)</f>
        <v>9487</v>
      </c>
    </row>
    <row r="6" spans="1:2" x14ac:dyDescent="0.25">
      <c r="A6">
        <f>性能入力!C43</f>
        <v>3</v>
      </c>
      <c r="B6">
        <f>ROUNDUP(性能入力!L43,0)</f>
        <v>14230</v>
      </c>
    </row>
    <row r="7" spans="1:2" x14ac:dyDescent="0.25">
      <c r="A7">
        <f>性能入力!C44</f>
        <v>4</v>
      </c>
      <c r="B7">
        <f>ROUNDUP(性能入力!L44,0)</f>
        <v>18973</v>
      </c>
    </row>
    <row r="8" spans="1:2" x14ac:dyDescent="0.25">
      <c r="A8">
        <f>性能入力!C45</f>
        <v>5</v>
      </c>
      <c r="B8">
        <f>ROUNDUP(性能入力!L45,0)</f>
        <v>23716</v>
      </c>
    </row>
    <row r="9" spans="1:2" x14ac:dyDescent="0.25">
      <c r="A9">
        <f>性能入力!C46</f>
        <v>6</v>
      </c>
      <c r="B9">
        <f>ROUNDUP(性能入力!L46,0)</f>
        <v>28460</v>
      </c>
    </row>
    <row r="10" spans="1:2" x14ac:dyDescent="0.25">
      <c r="A10">
        <f>性能入力!C47</f>
        <v>7</v>
      </c>
      <c r="B10">
        <f>ROUNDUP(性能入力!L47,0)</f>
        <v>33203</v>
      </c>
    </row>
    <row r="11" spans="1:2" x14ac:dyDescent="0.25">
      <c r="A11">
        <f>性能入力!C48</f>
        <v>8</v>
      </c>
      <c r="B11">
        <f>ROUNDUP(性能入力!L48,0)</f>
        <v>37946</v>
      </c>
    </row>
    <row r="12" spans="1:2" x14ac:dyDescent="0.25">
      <c r="A12">
        <f>性能入力!C49</f>
        <v>9</v>
      </c>
      <c r="B12">
        <f>ROUNDUP(性能入力!L49,0)</f>
        <v>42689</v>
      </c>
    </row>
    <row r="13" spans="1:2" x14ac:dyDescent="0.25">
      <c r="A13">
        <f>性能入力!C50</f>
        <v>10</v>
      </c>
      <c r="B13">
        <f>ROUNDUP(性能入力!L50,0)</f>
        <v>47432</v>
      </c>
    </row>
    <row r="14" spans="1:2" x14ac:dyDescent="0.25">
      <c r="A14">
        <f>性能入力!C51</f>
        <v>11</v>
      </c>
      <c r="B14">
        <f>ROUNDUP(性能入力!L51,0)</f>
        <v>52176</v>
      </c>
    </row>
    <row r="15" spans="1:2" x14ac:dyDescent="0.25">
      <c r="A15">
        <f>性能入力!C52</f>
        <v>12</v>
      </c>
      <c r="B15">
        <f>ROUNDUP(性能入力!L52,0)</f>
        <v>56919</v>
      </c>
    </row>
    <row r="16" spans="1:2" x14ac:dyDescent="0.25">
      <c r="A16">
        <f>性能入力!C53</f>
        <v>13</v>
      </c>
      <c r="B16">
        <f>ROUNDUP(性能入力!L53,0)</f>
        <v>61662</v>
      </c>
    </row>
    <row r="17" spans="1:2" x14ac:dyDescent="0.25">
      <c r="A17">
        <f>性能入力!C54</f>
        <v>14</v>
      </c>
      <c r="B17">
        <f>ROUNDUP(性能入力!L54,0)</f>
        <v>66405</v>
      </c>
    </row>
    <row r="18" spans="1:2" x14ac:dyDescent="0.25">
      <c r="A18">
        <f>性能入力!C55</f>
        <v>15</v>
      </c>
      <c r="B18">
        <f>ROUNDUP(性能入力!L55,0)</f>
        <v>71148</v>
      </c>
    </row>
    <row r="19" spans="1:2" x14ac:dyDescent="0.25">
      <c r="A19">
        <f>性能入力!C56</f>
        <v>16</v>
      </c>
      <c r="B19">
        <f>ROUNDUP(性能入力!L56,0)</f>
        <v>71148</v>
      </c>
    </row>
    <row r="20" spans="1:2" x14ac:dyDescent="0.25">
      <c r="A20">
        <f>性能入力!C57</f>
        <v>17</v>
      </c>
      <c r="B20">
        <f>ROUNDUP(性能入力!L57,0)</f>
        <v>71148</v>
      </c>
    </row>
    <row r="21" spans="1:2" x14ac:dyDescent="0.25">
      <c r="A21">
        <f>性能入力!C58</f>
        <v>18</v>
      </c>
      <c r="B21">
        <f>ROUNDUP(性能入力!L58,0)</f>
        <v>71148</v>
      </c>
    </row>
    <row r="22" spans="1:2" x14ac:dyDescent="0.25">
      <c r="A22">
        <f>性能入力!C59</f>
        <v>19</v>
      </c>
      <c r="B22">
        <f>ROUNDUP(性能入力!L59,0)</f>
        <v>71148</v>
      </c>
    </row>
    <row r="23" spans="1:2" x14ac:dyDescent="0.25">
      <c r="A23">
        <f>性能入力!C60</f>
        <v>20</v>
      </c>
      <c r="B23">
        <f>ROUNDUP(性能入力!L60,0)</f>
        <v>71148</v>
      </c>
    </row>
    <row r="24" spans="1:2" x14ac:dyDescent="0.25">
      <c r="A24">
        <f>性能入力!C61</f>
        <v>21</v>
      </c>
      <c r="B24">
        <f>ROUNDUP(性能入力!L61,0)</f>
        <v>71148</v>
      </c>
    </row>
    <row r="25" spans="1:2" x14ac:dyDescent="0.25">
      <c r="A25">
        <f>性能入力!C62</f>
        <v>22</v>
      </c>
      <c r="B25">
        <f>ROUNDUP(性能入力!L62,0)</f>
        <v>71148</v>
      </c>
    </row>
    <row r="26" spans="1:2" x14ac:dyDescent="0.25">
      <c r="A26">
        <f>性能入力!C63</f>
        <v>23</v>
      </c>
      <c r="B26">
        <f>ROUNDUP(性能入力!L63,0)</f>
        <v>71148</v>
      </c>
    </row>
    <row r="27" spans="1:2" x14ac:dyDescent="0.25">
      <c r="A27">
        <f>性能入力!C64</f>
        <v>24</v>
      </c>
      <c r="B27">
        <f>ROUNDUP(性能入力!L64,0)</f>
        <v>71148</v>
      </c>
    </row>
    <row r="28" spans="1:2" x14ac:dyDescent="0.25">
      <c r="A28">
        <f>性能入力!C65</f>
        <v>25</v>
      </c>
      <c r="B28">
        <f>ROUNDUP(性能入力!L65,0)</f>
        <v>71148</v>
      </c>
    </row>
    <row r="29" spans="1:2" x14ac:dyDescent="0.25">
      <c r="A29">
        <f>性能入力!C66</f>
        <v>26</v>
      </c>
      <c r="B29">
        <f>ROUNDUP(性能入力!L66,0)</f>
        <v>71148</v>
      </c>
    </row>
    <row r="30" spans="1:2" x14ac:dyDescent="0.25">
      <c r="A30">
        <f>性能入力!C67</f>
        <v>27</v>
      </c>
      <c r="B30">
        <f>ROUNDUP(性能入力!L67,0)</f>
        <v>71148</v>
      </c>
    </row>
    <row r="31" spans="1:2" x14ac:dyDescent="0.25">
      <c r="A31">
        <f>性能入力!C68</f>
        <v>28</v>
      </c>
      <c r="B31">
        <f>ROUNDUP(性能入力!L68,0)</f>
        <v>71148</v>
      </c>
    </row>
    <row r="32" spans="1:2" x14ac:dyDescent="0.25">
      <c r="A32">
        <f>性能入力!C69</f>
        <v>29</v>
      </c>
      <c r="B32">
        <f>ROUNDUP(性能入力!L69,0)</f>
        <v>71148</v>
      </c>
    </row>
    <row r="33" spans="1:2" x14ac:dyDescent="0.25">
      <c r="A33">
        <f>性能入力!C70</f>
        <v>30</v>
      </c>
      <c r="B33">
        <f>ROUNDUP(性能入力!L70,0)</f>
        <v>71148</v>
      </c>
    </row>
    <row r="34" spans="1:2" x14ac:dyDescent="0.25">
      <c r="A34">
        <f>性能入力!C71</f>
        <v>31</v>
      </c>
      <c r="B34">
        <f>ROUNDUP(性能入力!L71,0)</f>
        <v>71148</v>
      </c>
    </row>
    <row r="35" spans="1:2" x14ac:dyDescent="0.25">
      <c r="A35">
        <f>性能入力!C72</f>
        <v>32</v>
      </c>
      <c r="B35">
        <f>ROUNDUP(性能入力!L72,0)</f>
        <v>71148</v>
      </c>
    </row>
    <row r="36" spans="1:2" x14ac:dyDescent="0.25">
      <c r="A36">
        <f>性能入力!C73</f>
        <v>33</v>
      </c>
      <c r="B36">
        <f>ROUNDUP(性能入力!L73,0)</f>
        <v>71148</v>
      </c>
    </row>
    <row r="37" spans="1:2" x14ac:dyDescent="0.25">
      <c r="A37">
        <f>性能入力!C74</f>
        <v>34</v>
      </c>
      <c r="B37">
        <f>ROUNDUP(性能入力!L74,0)</f>
        <v>71148</v>
      </c>
    </row>
    <row r="38" spans="1:2" x14ac:dyDescent="0.25">
      <c r="A38">
        <f>性能入力!C75</f>
        <v>35</v>
      </c>
      <c r="B38">
        <f>ROUNDUP(性能入力!L75,0)</f>
        <v>71148</v>
      </c>
    </row>
    <row r="39" spans="1:2" x14ac:dyDescent="0.25">
      <c r="A39">
        <f>性能入力!C76</f>
        <v>36</v>
      </c>
      <c r="B39">
        <f>ROUNDUP(性能入力!L76,0)</f>
        <v>71148</v>
      </c>
    </row>
    <row r="40" spans="1:2" x14ac:dyDescent="0.25">
      <c r="A40">
        <f>性能入力!C77</f>
        <v>37</v>
      </c>
      <c r="B40">
        <f>ROUNDUP(性能入力!L77,0)</f>
        <v>71148</v>
      </c>
    </row>
    <row r="41" spans="1:2" x14ac:dyDescent="0.25">
      <c r="A41">
        <f>性能入力!C78</f>
        <v>38</v>
      </c>
      <c r="B41">
        <f>ROUNDUP(性能入力!L78,0)</f>
        <v>71148</v>
      </c>
    </row>
    <row r="42" spans="1:2" x14ac:dyDescent="0.25">
      <c r="A42">
        <f>性能入力!C79</f>
        <v>39</v>
      </c>
      <c r="B42">
        <f>ROUNDUP(性能入力!L79,0)</f>
        <v>71148</v>
      </c>
    </row>
    <row r="43" spans="1:2" x14ac:dyDescent="0.25">
      <c r="A43">
        <f>性能入力!C80</f>
        <v>40</v>
      </c>
      <c r="B43">
        <f>ROUNDUP(性能入力!L80,0)</f>
        <v>71148</v>
      </c>
    </row>
    <row r="44" spans="1:2" x14ac:dyDescent="0.25">
      <c r="A44">
        <f>性能入力!C81</f>
        <v>41</v>
      </c>
      <c r="B44">
        <f>ROUNDUP(性能入力!L81,0)</f>
        <v>71148</v>
      </c>
    </row>
    <row r="45" spans="1:2" x14ac:dyDescent="0.25">
      <c r="A45">
        <f>性能入力!C82</f>
        <v>42</v>
      </c>
      <c r="B45">
        <f>ROUNDUP(性能入力!L82,0)</f>
        <v>71148</v>
      </c>
    </row>
    <row r="46" spans="1:2" x14ac:dyDescent="0.25">
      <c r="A46">
        <f>性能入力!C83</f>
        <v>43</v>
      </c>
      <c r="B46">
        <f>ROUNDUP(性能入力!L83,0)</f>
        <v>71148</v>
      </c>
    </row>
    <row r="47" spans="1:2" x14ac:dyDescent="0.25">
      <c r="A47">
        <f>性能入力!C84</f>
        <v>44</v>
      </c>
      <c r="B47">
        <f>ROUNDUP(性能入力!L84,0)</f>
        <v>71148</v>
      </c>
    </row>
    <row r="48" spans="1:2" x14ac:dyDescent="0.25">
      <c r="A48">
        <f>性能入力!C85</f>
        <v>45</v>
      </c>
      <c r="B48">
        <f>ROUNDUP(性能入力!L85,0)</f>
        <v>71148</v>
      </c>
    </row>
    <row r="49" spans="1:2" x14ac:dyDescent="0.25">
      <c r="A49">
        <f>性能入力!C86</f>
        <v>46</v>
      </c>
      <c r="B49">
        <f>ROUNDUP(性能入力!L86,0)</f>
        <v>71148</v>
      </c>
    </row>
    <row r="50" spans="1:2" x14ac:dyDescent="0.25">
      <c r="A50">
        <f>性能入力!C87</f>
        <v>47</v>
      </c>
      <c r="B50">
        <f>ROUNDUP(性能入力!L87,0)</f>
        <v>71148</v>
      </c>
    </row>
    <row r="51" spans="1:2" x14ac:dyDescent="0.25">
      <c r="A51">
        <f>性能入力!C88</f>
        <v>48</v>
      </c>
      <c r="B51">
        <f>ROUNDUP(性能入力!L88,0)</f>
        <v>71148</v>
      </c>
    </row>
    <row r="52" spans="1:2" x14ac:dyDescent="0.25">
      <c r="A52">
        <f>性能入力!C89</f>
        <v>49</v>
      </c>
      <c r="B52">
        <f>ROUNDUP(性能入力!L89,0)</f>
        <v>71148</v>
      </c>
    </row>
    <row r="53" spans="1:2" x14ac:dyDescent="0.25">
      <c r="A53">
        <f>性能入力!C90</f>
        <v>50</v>
      </c>
      <c r="B53">
        <f>ROUNDUP(性能入力!L90,0)</f>
        <v>71148</v>
      </c>
    </row>
    <row r="54" spans="1:2" x14ac:dyDescent="0.25">
      <c r="A54">
        <f>性能入力!C91</f>
        <v>51</v>
      </c>
      <c r="B54">
        <f>ROUNDUP(性能入力!L91,0)</f>
        <v>71148</v>
      </c>
    </row>
    <row r="55" spans="1:2" x14ac:dyDescent="0.25">
      <c r="A55">
        <f>性能入力!C92</f>
        <v>52</v>
      </c>
      <c r="B55">
        <f>ROUNDUP(性能入力!L92,0)</f>
        <v>71148</v>
      </c>
    </row>
    <row r="56" spans="1:2" x14ac:dyDescent="0.25">
      <c r="A56">
        <f>性能入力!C93</f>
        <v>53</v>
      </c>
      <c r="B56">
        <f>ROUNDUP(性能入力!L93,0)</f>
        <v>71148</v>
      </c>
    </row>
    <row r="57" spans="1:2" x14ac:dyDescent="0.25">
      <c r="A57">
        <f>性能入力!C94</f>
        <v>54</v>
      </c>
      <c r="B57">
        <f>ROUNDUP(性能入力!L94,0)</f>
        <v>71148</v>
      </c>
    </row>
    <row r="58" spans="1:2" x14ac:dyDescent="0.25">
      <c r="A58">
        <f>性能入力!C95</f>
        <v>55</v>
      </c>
      <c r="B58">
        <f>ROUNDUP(性能入力!L95,0)</f>
        <v>71148</v>
      </c>
    </row>
    <row r="59" spans="1:2" x14ac:dyDescent="0.25">
      <c r="A59">
        <f>性能入力!C96</f>
        <v>56</v>
      </c>
      <c r="B59">
        <f>ROUNDUP(性能入力!L96,0)</f>
        <v>71148</v>
      </c>
    </row>
    <row r="60" spans="1:2" x14ac:dyDescent="0.25">
      <c r="A60">
        <f>性能入力!C97</f>
        <v>57</v>
      </c>
      <c r="B60">
        <f>ROUNDUP(性能入力!L97,0)</f>
        <v>71148</v>
      </c>
    </row>
    <row r="61" spans="1:2" x14ac:dyDescent="0.25">
      <c r="A61">
        <f>性能入力!C98</f>
        <v>58</v>
      </c>
      <c r="B61">
        <f>ROUNDUP(性能入力!L98,0)</f>
        <v>71148</v>
      </c>
    </row>
    <row r="62" spans="1:2" x14ac:dyDescent="0.25">
      <c r="A62">
        <f>性能入力!C99</f>
        <v>59</v>
      </c>
      <c r="B62">
        <f>ROUNDUP(性能入力!L99,0)</f>
        <v>71148</v>
      </c>
    </row>
    <row r="63" spans="1:2" x14ac:dyDescent="0.25">
      <c r="A63">
        <f>性能入力!C100</f>
        <v>60</v>
      </c>
      <c r="B63">
        <f>ROUNDUP(性能入力!L100,0)</f>
        <v>71148</v>
      </c>
    </row>
    <row r="64" spans="1:2" x14ac:dyDescent="0.25">
      <c r="A64">
        <f>性能入力!C101</f>
        <v>61</v>
      </c>
      <c r="B64">
        <f>ROUNDUP(性能入力!L101,0)</f>
        <v>71148</v>
      </c>
    </row>
    <row r="65" spans="1:2" x14ac:dyDescent="0.25">
      <c r="A65">
        <f>性能入力!C102</f>
        <v>62</v>
      </c>
      <c r="B65">
        <f>ROUNDUP(性能入力!L102,0)</f>
        <v>71148</v>
      </c>
    </row>
    <row r="66" spans="1:2" x14ac:dyDescent="0.25">
      <c r="A66">
        <f>性能入力!C103</f>
        <v>63</v>
      </c>
      <c r="B66">
        <f>ROUNDUP(性能入力!L103,0)</f>
        <v>71148</v>
      </c>
    </row>
    <row r="67" spans="1:2" x14ac:dyDescent="0.25">
      <c r="A67">
        <f>性能入力!C104</f>
        <v>64</v>
      </c>
      <c r="B67">
        <f>ROUNDUP(性能入力!L104,0)</f>
        <v>71148</v>
      </c>
    </row>
    <row r="68" spans="1:2" x14ac:dyDescent="0.25">
      <c r="A68">
        <f>性能入力!C105</f>
        <v>65</v>
      </c>
      <c r="B68">
        <f>ROUNDUP(性能入力!L105,0)</f>
        <v>71148</v>
      </c>
    </row>
    <row r="69" spans="1:2" x14ac:dyDescent="0.25">
      <c r="A69">
        <f>性能入力!C106</f>
        <v>66</v>
      </c>
      <c r="B69">
        <f>ROUNDUP(性能入力!L106,0)</f>
        <v>68904</v>
      </c>
    </row>
    <row r="70" spans="1:2" x14ac:dyDescent="0.25">
      <c r="A70">
        <f>性能入力!C107</f>
        <v>67</v>
      </c>
      <c r="B70">
        <f>ROUNDUP(性能入力!L107,0)</f>
        <v>66762</v>
      </c>
    </row>
    <row r="71" spans="1:2" x14ac:dyDescent="0.25">
      <c r="A71">
        <f>性能入力!C108</f>
        <v>68</v>
      </c>
      <c r="B71">
        <f>ROUNDUP(性能入力!L108,0)</f>
        <v>64717</v>
      </c>
    </row>
    <row r="72" spans="1:2" x14ac:dyDescent="0.25">
      <c r="A72">
        <f>性能入力!C109</f>
        <v>69</v>
      </c>
      <c r="B72">
        <f>ROUNDUP(性能入力!L109,0)</f>
        <v>62763</v>
      </c>
    </row>
    <row r="73" spans="1:2" x14ac:dyDescent="0.25">
      <c r="A73">
        <f>性能入力!C110</f>
        <v>70</v>
      </c>
      <c r="B73">
        <f>ROUNDUP(性能入力!L110,0)</f>
        <v>60895</v>
      </c>
    </row>
    <row r="74" spans="1:2" x14ac:dyDescent="0.25">
      <c r="A74">
        <f>性能入力!C111</f>
        <v>71</v>
      </c>
      <c r="B74">
        <f>ROUNDUP(性能入力!L111,0)</f>
        <v>59107</v>
      </c>
    </row>
    <row r="75" spans="1:2" x14ac:dyDescent="0.25">
      <c r="A75">
        <f>性能入力!C112</f>
        <v>72</v>
      </c>
      <c r="B75">
        <f>ROUNDUP(性能入力!L112,0)</f>
        <v>57397</v>
      </c>
    </row>
    <row r="76" spans="1:2" x14ac:dyDescent="0.25">
      <c r="A76">
        <f>性能入力!C113</f>
        <v>73</v>
      </c>
      <c r="B76">
        <f>ROUNDUP(性能入力!L113,0)</f>
        <v>55758</v>
      </c>
    </row>
    <row r="77" spans="1:2" x14ac:dyDescent="0.25">
      <c r="A77">
        <f>性能入力!C114</f>
        <v>74</v>
      </c>
      <c r="B77">
        <f>ROUNDUP(性能入力!L114,0)</f>
        <v>54187</v>
      </c>
    </row>
    <row r="78" spans="1:2" x14ac:dyDescent="0.25">
      <c r="A78">
        <f>性能入力!C115</f>
        <v>75</v>
      </c>
      <c r="B78">
        <f>ROUNDUP(性能入力!L115,0)</f>
        <v>52681</v>
      </c>
    </row>
    <row r="79" spans="1:2" x14ac:dyDescent="0.25">
      <c r="A79">
        <f>性能入力!C116</f>
        <v>76</v>
      </c>
      <c r="B79">
        <f>ROUNDUP(性能入力!L116,0)</f>
        <v>51236</v>
      </c>
    </row>
    <row r="80" spans="1:2" x14ac:dyDescent="0.25">
      <c r="A80">
        <f>性能入力!C117</f>
        <v>77</v>
      </c>
      <c r="B80">
        <f>ROUNDUP(性能入力!L117,0)</f>
        <v>49849</v>
      </c>
    </row>
    <row r="81" spans="1:2" x14ac:dyDescent="0.25">
      <c r="A81">
        <f>性能入力!C118</f>
        <v>78</v>
      </c>
      <c r="B81">
        <f>ROUNDUP(性能入力!L118,0)</f>
        <v>48516</v>
      </c>
    </row>
    <row r="82" spans="1:2" x14ac:dyDescent="0.25">
      <c r="A82">
        <f>性能入力!C119</f>
        <v>79</v>
      </c>
      <c r="B82">
        <f>ROUNDUP(性能入力!L119,0)</f>
        <v>47235</v>
      </c>
    </row>
    <row r="83" spans="1:2" x14ac:dyDescent="0.25">
      <c r="A83">
        <f>性能入力!C120</f>
        <v>80</v>
      </c>
      <c r="B83">
        <f>ROUNDUP(性能入力!L120,0)</f>
        <v>46004</v>
      </c>
    </row>
    <row r="84" spans="1:2" x14ac:dyDescent="0.25">
      <c r="A84">
        <f>性能入力!C121</f>
        <v>81</v>
      </c>
      <c r="B84">
        <f>ROUNDUP(性能入力!L121,0)</f>
        <v>44820</v>
      </c>
    </row>
    <row r="85" spans="1:2" x14ac:dyDescent="0.25">
      <c r="A85">
        <f>性能入力!C122</f>
        <v>82</v>
      </c>
      <c r="B85">
        <f>ROUNDUP(性能入力!L122,0)</f>
        <v>43679</v>
      </c>
    </row>
    <row r="86" spans="1:2" x14ac:dyDescent="0.25">
      <c r="A86">
        <f>性能入力!C123</f>
        <v>83</v>
      </c>
      <c r="B86">
        <f>ROUNDUP(性能入力!L123,0)</f>
        <v>42582</v>
      </c>
    </row>
    <row r="87" spans="1:2" x14ac:dyDescent="0.25">
      <c r="A87">
        <f>性能入力!C124</f>
        <v>84</v>
      </c>
      <c r="B87">
        <f>ROUNDUP(性能入力!L124,0)</f>
        <v>41524</v>
      </c>
    </row>
    <row r="88" spans="1:2" x14ac:dyDescent="0.25">
      <c r="A88">
        <f>性能入力!C125</f>
        <v>85</v>
      </c>
      <c r="B88">
        <f>ROUNDUP(性能入力!L125,0)</f>
        <v>40505</v>
      </c>
    </row>
    <row r="89" spans="1:2" x14ac:dyDescent="0.25">
      <c r="A89">
        <f>性能入力!C126</f>
        <v>86</v>
      </c>
      <c r="B89">
        <f>ROUNDUP(性能入力!L126,0)</f>
        <v>39522</v>
      </c>
    </row>
    <row r="90" spans="1:2" x14ac:dyDescent="0.25">
      <c r="A90">
        <f>性能入力!C127</f>
        <v>87</v>
      </c>
      <c r="B90">
        <f>ROUNDUP(性能入力!L127,0)</f>
        <v>38574</v>
      </c>
    </row>
    <row r="91" spans="1:2" x14ac:dyDescent="0.25">
      <c r="A91">
        <f>性能入力!C128</f>
        <v>88</v>
      </c>
      <c r="B91">
        <f>ROUNDUP(性能入力!L128,0)</f>
        <v>37659</v>
      </c>
    </row>
    <row r="92" spans="1:2" x14ac:dyDescent="0.25">
      <c r="A92">
        <f>性能入力!C129</f>
        <v>89</v>
      </c>
      <c r="B92">
        <f>ROUNDUP(性能入力!L129,0)</f>
        <v>36776</v>
      </c>
    </row>
    <row r="93" spans="1:2" x14ac:dyDescent="0.25">
      <c r="A93">
        <f>性能入力!C130</f>
        <v>90</v>
      </c>
      <c r="B93">
        <f>ROUNDUP(性能入力!L130,0)</f>
        <v>35923</v>
      </c>
    </row>
    <row r="94" spans="1:2" x14ac:dyDescent="0.25">
      <c r="A94">
        <f>性能入力!C131</f>
        <v>91</v>
      </c>
      <c r="B94">
        <f>ROUNDUP(性能入力!L131,0)</f>
        <v>35099</v>
      </c>
    </row>
    <row r="95" spans="1:2" x14ac:dyDescent="0.25">
      <c r="A95">
        <f>性能入力!C132</f>
        <v>92</v>
      </c>
      <c r="B95">
        <f>ROUNDUP(性能入力!L132,0)</f>
        <v>34303</v>
      </c>
    </row>
    <row r="96" spans="1:2" x14ac:dyDescent="0.25">
      <c r="A96">
        <f>性能入力!C133</f>
        <v>93</v>
      </c>
      <c r="B96">
        <f>ROUNDUP(性能入力!L133,0)</f>
        <v>33533</v>
      </c>
    </row>
    <row r="97" spans="1:2" x14ac:dyDescent="0.25">
      <c r="A97">
        <f>性能入力!C134</f>
        <v>94</v>
      </c>
      <c r="B97">
        <f>ROUNDUP(性能入力!L134,0)</f>
        <v>32788</v>
      </c>
    </row>
    <row r="98" spans="1:2" x14ac:dyDescent="0.25">
      <c r="A98">
        <f>性能入力!C135</f>
        <v>95</v>
      </c>
      <c r="B98">
        <f>ROUNDUP(性能入力!L135,0)</f>
        <v>32068</v>
      </c>
    </row>
    <row r="99" spans="1:2" x14ac:dyDescent="0.25">
      <c r="A99">
        <f>性能入力!C136</f>
        <v>96</v>
      </c>
      <c r="B99">
        <f>ROUNDUP(性能入力!L136,0)</f>
        <v>31370</v>
      </c>
    </row>
    <row r="100" spans="1:2" x14ac:dyDescent="0.25">
      <c r="A100">
        <f>性能入力!C137</f>
        <v>97</v>
      </c>
      <c r="B100">
        <f>ROUNDUP(性能入力!L137,0)</f>
        <v>30695</v>
      </c>
    </row>
    <row r="101" spans="1:2" x14ac:dyDescent="0.25">
      <c r="A101">
        <f>性能入力!C138</f>
        <v>98</v>
      </c>
      <c r="B101">
        <f>ROUNDUP(性能入力!L138,0)</f>
        <v>30041</v>
      </c>
    </row>
    <row r="102" spans="1:2" x14ac:dyDescent="0.25">
      <c r="A102">
        <f>性能入力!C139</f>
        <v>99</v>
      </c>
      <c r="B102">
        <f>ROUNDUP(性能入力!L139,0)</f>
        <v>29407</v>
      </c>
    </row>
    <row r="103" spans="1:2" x14ac:dyDescent="0.25">
      <c r="A103">
        <f>性能入力!C140</f>
        <v>100</v>
      </c>
      <c r="B103">
        <f>ROUNDUP(性能入力!L140,0)</f>
        <v>28793</v>
      </c>
    </row>
    <row r="104" spans="1:2" x14ac:dyDescent="0.25">
      <c r="A104">
        <f>性能入力!C141</f>
        <v>101</v>
      </c>
      <c r="B104">
        <f>ROUNDUP(性能入力!L141,0)</f>
        <v>28198</v>
      </c>
    </row>
    <row r="105" spans="1:2" x14ac:dyDescent="0.25">
      <c r="A105">
        <f>性能入力!C142</f>
        <v>102</v>
      </c>
      <c r="B105">
        <f>ROUNDUP(性能入力!L142,0)</f>
        <v>27620</v>
      </c>
    </row>
    <row r="106" spans="1:2" x14ac:dyDescent="0.25">
      <c r="A106">
        <f>性能入力!C143</f>
        <v>103</v>
      </c>
      <c r="B106">
        <f>ROUNDUP(性能入力!L143,0)</f>
        <v>27060</v>
      </c>
    </row>
    <row r="107" spans="1:2" x14ac:dyDescent="0.25">
      <c r="A107">
        <f>性能入力!C144</f>
        <v>104</v>
      </c>
      <c r="B107">
        <f>ROUNDUP(性能入力!L144,0)</f>
        <v>26517</v>
      </c>
    </row>
    <row r="108" spans="1:2" x14ac:dyDescent="0.25">
      <c r="A108">
        <f>性能入力!C145</f>
        <v>105</v>
      </c>
      <c r="B108">
        <f>ROUNDUP(性能入力!L145,0)</f>
        <v>25989</v>
      </c>
    </row>
    <row r="109" spans="1:2" x14ac:dyDescent="0.25">
      <c r="A109">
        <f>性能入力!C146</f>
        <v>106</v>
      </c>
      <c r="B109">
        <f>ROUNDUP(性能入力!L146,0)</f>
        <v>25477</v>
      </c>
    </row>
    <row r="110" spans="1:2" x14ac:dyDescent="0.25">
      <c r="A110">
        <f>性能入力!C147</f>
        <v>107</v>
      </c>
      <c r="B110">
        <f>ROUNDUP(性能入力!L147,0)</f>
        <v>24979</v>
      </c>
    </row>
    <row r="111" spans="1:2" x14ac:dyDescent="0.25">
      <c r="A111">
        <f>性能入力!C148</f>
        <v>108</v>
      </c>
      <c r="B111">
        <f>ROUNDUP(性能入力!L148,0)</f>
        <v>24496</v>
      </c>
    </row>
    <row r="112" spans="1:2" x14ac:dyDescent="0.25">
      <c r="A112">
        <f>性能入力!C149</f>
        <v>109</v>
      </c>
      <c r="B112">
        <f>ROUNDUP(性能入力!L149,0)</f>
        <v>24027</v>
      </c>
    </row>
    <row r="113" spans="1:2" x14ac:dyDescent="0.25">
      <c r="A113">
        <f>性能入力!C150</f>
        <v>110</v>
      </c>
      <c r="B113">
        <f>ROUNDUP(性能入力!L150,0)</f>
        <v>23570</v>
      </c>
    </row>
    <row r="114" spans="1:2" x14ac:dyDescent="0.25">
      <c r="A114">
        <f>性能入力!C151</f>
        <v>111</v>
      </c>
      <c r="B114">
        <f>ROUNDUP(性能入力!L151,0)</f>
        <v>23127</v>
      </c>
    </row>
    <row r="115" spans="1:2" x14ac:dyDescent="0.25">
      <c r="A115">
        <f>性能入力!C152</f>
        <v>112</v>
      </c>
      <c r="B115">
        <f>ROUNDUP(性能入力!L152,0)</f>
        <v>22695</v>
      </c>
    </row>
    <row r="116" spans="1:2" x14ac:dyDescent="0.25">
      <c r="A116">
        <f>性能入力!C153</f>
        <v>113</v>
      </c>
      <c r="B116">
        <f>ROUNDUP(性能入力!L153,0)</f>
        <v>22275</v>
      </c>
    </row>
    <row r="117" spans="1:2" x14ac:dyDescent="0.25">
      <c r="A117">
        <f>性能入力!C154</f>
        <v>114</v>
      </c>
      <c r="B117">
        <f>ROUNDUP(性能入力!L154,0)</f>
        <v>21867</v>
      </c>
    </row>
    <row r="118" spans="1:2" x14ac:dyDescent="0.25">
      <c r="A118">
        <f>性能入力!C155</f>
        <v>115</v>
      </c>
      <c r="B118">
        <f>ROUNDUP(性能入力!L155,0)</f>
        <v>21470</v>
      </c>
    </row>
    <row r="119" spans="1:2" x14ac:dyDescent="0.25">
      <c r="A119">
        <f>性能入力!C156</f>
        <v>116</v>
      </c>
      <c r="B119">
        <f>ROUNDUP(性能入力!L156,0)</f>
        <v>21083</v>
      </c>
    </row>
    <row r="120" spans="1:2" x14ac:dyDescent="0.25">
      <c r="A120">
        <f>性能入力!C157</f>
        <v>117</v>
      </c>
      <c r="B120">
        <f>ROUNDUP(性能入力!L157,0)</f>
        <v>20706</v>
      </c>
    </row>
    <row r="121" spans="1:2" x14ac:dyDescent="0.25">
      <c r="A121">
        <f>性能入力!C158</f>
        <v>118</v>
      </c>
      <c r="B121">
        <f>ROUNDUP(性能入力!L158,0)</f>
        <v>20339</v>
      </c>
    </row>
    <row r="122" spans="1:2" x14ac:dyDescent="0.25">
      <c r="A122">
        <f>性能入力!C159</f>
        <v>119</v>
      </c>
      <c r="B122">
        <f>ROUNDUP(性能入力!L159,0)</f>
        <v>19982</v>
      </c>
    </row>
    <row r="123" spans="1:2" x14ac:dyDescent="0.25">
      <c r="A123">
        <f>性能入力!C160</f>
        <v>120</v>
      </c>
      <c r="B123">
        <f>ROUNDUP(性能入力!L160,0)</f>
        <v>19634</v>
      </c>
    </row>
    <row r="124" spans="1:2" x14ac:dyDescent="0.25">
      <c r="A124">
        <f>性能入力!C161</f>
        <v>121</v>
      </c>
      <c r="B124">
        <f>ROUNDUP(性能入力!L161,0)</f>
        <v>19295</v>
      </c>
    </row>
    <row r="125" spans="1:2" x14ac:dyDescent="0.25">
      <c r="A125">
        <f>性能入力!C162</f>
        <v>122</v>
      </c>
      <c r="B125">
        <f>ROUNDUP(性能入力!L162,0)</f>
        <v>18964</v>
      </c>
    </row>
    <row r="126" spans="1:2" x14ac:dyDescent="0.25">
      <c r="A126">
        <f>性能入力!C163</f>
        <v>123</v>
      </c>
      <c r="B126">
        <f>ROUNDUP(性能入力!L163,0)</f>
        <v>18642</v>
      </c>
    </row>
    <row r="127" spans="1:2" x14ac:dyDescent="0.25">
      <c r="A127">
        <f>性能入力!C164</f>
        <v>124</v>
      </c>
      <c r="B127">
        <f>ROUNDUP(性能入力!L164,0)</f>
        <v>18328</v>
      </c>
    </row>
    <row r="128" spans="1:2" x14ac:dyDescent="0.25">
      <c r="A128">
        <f>性能入力!C165</f>
        <v>125</v>
      </c>
      <c r="B128">
        <f>ROUNDUP(性能入力!L165,0)</f>
        <v>18021</v>
      </c>
    </row>
    <row r="129" spans="1:2" x14ac:dyDescent="0.25">
      <c r="A129">
        <f>性能入力!C166</f>
        <v>126</v>
      </c>
      <c r="B129">
        <f>ROUNDUP(性能入力!L166,0)</f>
        <v>17722</v>
      </c>
    </row>
    <row r="130" spans="1:2" x14ac:dyDescent="0.25">
      <c r="A130">
        <f>性能入力!C167</f>
        <v>127</v>
      </c>
      <c r="B130">
        <f>ROUNDUP(性能入力!L167,0)</f>
        <v>17430</v>
      </c>
    </row>
    <row r="131" spans="1:2" x14ac:dyDescent="0.25">
      <c r="A131">
        <f>性能入力!C168</f>
        <v>128</v>
      </c>
      <c r="B131">
        <f>ROUNDUP(性能入力!L168,0)</f>
        <v>17146</v>
      </c>
    </row>
    <row r="132" spans="1:2" x14ac:dyDescent="0.25">
      <c r="A132">
        <f>性能入力!C169</f>
        <v>129</v>
      </c>
      <c r="B132">
        <f>ROUNDUP(性能入力!L169,0)</f>
        <v>16868</v>
      </c>
    </row>
    <row r="133" spans="1:2" x14ac:dyDescent="0.25">
      <c r="A133">
        <f>性能入力!C170</f>
        <v>130</v>
      </c>
      <c r="B133">
        <f>ROUNDUP(性能入力!L170,0)</f>
        <v>16596</v>
      </c>
    </row>
    <row r="134" spans="1:2" x14ac:dyDescent="0.25">
      <c r="A134">
        <f>性能入力!C171</f>
        <v>131</v>
      </c>
      <c r="B134">
        <f>ROUNDUP(性能入力!L171,0)</f>
        <v>16331</v>
      </c>
    </row>
    <row r="135" spans="1:2" x14ac:dyDescent="0.25">
      <c r="A135">
        <f>性能入力!C172</f>
        <v>132</v>
      </c>
      <c r="B135">
        <f>ROUNDUP(性能入力!L172,0)</f>
        <v>16073</v>
      </c>
    </row>
    <row r="136" spans="1:2" x14ac:dyDescent="0.25">
      <c r="A136">
        <f>性能入力!C173</f>
        <v>133</v>
      </c>
      <c r="B136">
        <f>ROUNDUP(性能入力!L173,0)</f>
        <v>15820</v>
      </c>
    </row>
    <row r="137" spans="1:2" x14ac:dyDescent="0.25">
      <c r="A137">
        <f>性能入力!C174</f>
        <v>134</v>
      </c>
      <c r="B137">
        <f>ROUNDUP(性能入力!L174,0)</f>
        <v>15573</v>
      </c>
    </row>
    <row r="138" spans="1:2" x14ac:dyDescent="0.25">
      <c r="A138">
        <f>性能入力!C175</f>
        <v>135</v>
      </c>
      <c r="B138">
        <f>ROUNDUP(性能入力!L175,0)</f>
        <v>15332</v>
      </c>
    </row>
    <row r="139" spans="1:2" x14ac:dyDescent="0.25">
      <c r="A139">
        <f>性能入力!C176</f>
        <v>136</v>
      </c>
      <c r="B139">
        <f>ROUNDUP(性能入力!L176,0)</f>
        <v>15096</v>
      </c>
    </row>
    <row r="140" spans="1:2" x14ac:dyDescent="0.25">
      <c r="A140">
        <f>性能入力!C177</f>
        <v>137</v>
      </c>
      <c r="B140">
        <f>ROUNDUP(性能入力!L177,0)</f>
        <v>14866</v>
      </c>
    </row>
    <row r="141" spans="1:2" x14ac:dyDescent="0.25">
      <c r="A141">
        <f>性能入力!C178</f>
        <v>138</v>
      </c>
      <c r="B141">
        <f>ROUNDUP(性能入力!L178,0)</f>
        <v>14640</v>
      </c>
    </row>
    <row r="142" spans="1:2" x14ac:dyDescent="0.25">
      <c r="A142">
        <f>性能入力!C179</f>
        <v>139</v>
      </c>
      <c r="B142">
        <f>ROUNDUP(性能入力!L179,0)</f>
        <v>14420</v>
      </c>
    </row>
    <row r="143" spans="1:2" x14ac:dyDescent="0.25">
      <c r="A143">
        <f>性能入力!C180</f>
        <v>140</v>
      </c>
      <c r="B143">
        <f>ROUNDUP(性能入力!L180,0)</f>
        <v>14205</v>
      </c>
    </row>
    <row r="144" spans="1:2" x14ac:dyDescent="0.25">
      <c r="A144">
        <f>性能入力!C181</f>
        <v>141</v>
      </c>
      <c r="B144">
        <f>ROUNDUP(性能入力!L181,0)</f>
        <v>13994</v>
      </c>
    </row>
    <row r="145" spans="1:2" x14ac:dyDescent="0.25">
      <c r="A145">
        <f>性能入力!C182</f>
        <v>142</v>
      </c>
      <c r="B145">
        <f>ROUNDUP(性能入力!L182,0)</f>
        <v>13788</v>
      </c>
    </row>
    <row r="146" spans="1:2" x14ac:dyDescent="0.25">
      <c r="A146">
        <f>性能入力!C183</f>
        <v>143</v>
      </c>
      <c r="B146">
        <f>ROUNDUP(性能入力!L183,0)</f>
        <v>13586</v>
      </c>
    </row>
    <row r="147" spans="1:2" x14ac:dyDescent="0.25">
      <c r="A147">
        <f>性能入力!C184</f>
        <v>144</v>
      </c>
      <c r="B147">
        <f>ROUNDUP(性能入力!L184,0)</f>
        <v>13389</v>
      </c>
    </row>
    <row r="148" spans="1:2" x14ac:dyDescent="0.25">
      <c r="A148">
        <f>性能入力!C185</f>
        <v>145</v>
      </c>
      <c r="B148">
        <f>ROUNDUP(性能入力!L185,0)</f>
        <v>13195</v>
      </c>
    </row>
    <row r="149" spans="1:2" x14ac:dyDescent="0.25">
      <c r="A149">
        <f>性能入力!C186</f>
        <v>146</v>
      </c>
      <c r="B149">
        <f>ROUNDUP(性能入力!L186,0)</f>
        <v>13006</v>
      </c>
    </row>
    <row r="150" spans="1:2" x14ac:dyDescent="0.25">
      <c r="A150">
        <f>性能入力!C187</f>
        <v>147</v>
      </c>
      <c r="B150">
        <f>ROUNDUP(性能入力!L187,0)</f>
        <v>12821</v>
      </c>
    </row>
    <row r="151" spans="1:2" x14ac:dyDescent="0.25">
      <c r="A151">
        <f>性能入力!C188</f>
        <v>148</v>
      </c>
      <c r="B151">
        <f>ROUNDUP(性能入力!L188,0)</f>
        <v>12640</v>
      </c>
    </row>
    <row r="152" spans="1:2" x14ac:dyDescent="0.25">
      <c r="A152">
        <f>性能入力!C189</f>
        <v>149</v>
      </c>
      <c r="B152">
        <f>ROUNDUP(性能入力!L189,0)</f>
        <v>12463</v>
      </c>
    </row>
    <row r="153" spans="1:2" x14ac:dyDescent="0.25">
      <c r="A153">
        <f>性能入力!C190</f>
        <v>150</v>
      </c>
      <c r="B153">
        <f>ROUNDUP(性能入力!L190,0)</f>
        <v>12289</v>
      </c>
    </row>
  </sheetData>
  <phoneticPr fontId="3"/>
  <pageMargins left="0.7" right="0.7" top="0.75" bottom="0.75" header="0.3" footer="0.3"/>
  <pageSetup paperSize="8"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0000"/>
  </sheetPr>
  <dimension ref="A1:B153"/>
  <sheetViews>
    <sheetView workbookViewId="0">
      <pane ySplit="2" topLeftCell="A3" activePane="bottomLeft" state="frozen"/>
      <selection pane="bottomLeft"/>
    </sheetView>
  </sheetViews>
  <sheetFormatPr defaultColWidth="9.125" defaultRowHeight="11.4" x14ac:dyDescent="0.25"/>
  <sheetData>
    <row r="1" spans="1:2" x14ac:dyDescent="0.25">
      <c r="A1" t="s">
        <v>89</v>
      </c>
    </row>
    <row r="2" spans="1:2" x14ac:dyDescent="0.25">
      <c r="A2" t="s">
        <v>0</v>
      </c>
      <c r="B2" t="s">
        <v>15</v>
      </c>
    </row>
    <row r="3" spans="1:2" x14ac:dyDescent="0.25">
      <c r="A3">
        <f>性能入力!C40</f>
        <v>0</v>
      </c>
      <c r="B3" s="84">
        <f>ROUND(性能入力!G40,2)</f>
        <v>1</v>
      </c>
    </row>
    <row r="4" spans="1:2" x14ac:dyDescent="0.25">
      <c r="A4">
        <f>性能入力!C41</f>
        <v>1</v>
      </c>
      <c r="B4" s="84">
        <f>ROUND(性能入力!G41,2)</f>
        <v>5.95</v>
      </c>
    </row>
    <row r="5" spans="1:2" x14ac:dyDescent="0.25">
      <c r="A5">
        <f>性能入力!C42</f>
        <v>2</v>
      </c>
      <c r="B5" s="84">
        <f>ROUND(性能入力!G42,2)</f>
        <v>11.9</v>
      </c>
    </row>
    <row r="6" spans="1:2" x14ac:dyDescent="0.25">
      <c r="A6">
        <f>性能入力!C43</f>
        <v>3</v>
      </c>
      <c r="B6" s="84">
        <f>ROUND(性能入力!G43,2)</f>
        <v>17.850000000000001</v>
      </c>
    </row>
    <row r="7" spans="1:2" x14ac:dyDescent="0.25">
      <c r="A7">
        <f>性能入力!C44</f>
        <v>4</v>
      </c>
      <c r="B7" s="84">
        <f>ROUND(性能入力!G44,2)</f>
        <v>23.8</v>
      </c>
    </row>
    <row r="8" spans="1:2" x14ac:dyDescent="0.25">
      <c r="A8">
        <f>性能入力!C45</f>
        <v>5</v>
      </c>
      <c r="B8" s="84">
        <f>ROUND(性能入力!G45,2)</f>
        <v>29.75</v>
      </c>
    </row>
    <row r="9" spans="1:2" x14ac:dyDescent="0.25">
      <c r="A9">
        <f>性能入力!C46</f>
        <v>6</v>
      </c>
      <c r="B9" s="84">
        <f>ROUND(性能入力!G46,2)</f>
        <v>35.700000000000003</v>
      </c>
    </row>
    <row r="10" spans="1:2" x14ac:dyDescent="0.25">
      <c r="A10">
        <f>性能入力!C47</f>
        <v>7</v>
      </c>
      <c r="B10" s="84">
        <f>ROUND(性能入力!G47,2)</f>
        <v>41.64</v>
      </c>
    </row>
    <row r="11" spans="1:2" x14ac:dyDescent="0.25">
      <c r="A11">
        <f>性能入力!C48</f>
        <v>8</v>
      </c>
      <c r="B11" s="84">
        <f>ROUND(性能入力!G48,2)</f>
        <v>47.59</v>
      </c>
    </row>
    <row r="12" spans="1:2" x14ac:dyDescent="0.25">
      <c r="A12">
        <f>性能入力!C49</f>
        <v>9</v>
      </c>
      <c r="B12" s="84">
        <f>ROUND(性能入力!G49,2)</f>
        <v>53.54</v>
      </c>
    </row>
    <row r="13" spans="1:2" x14ac:dyDescent="0.25">
      <c r="A13">
        <f>性能入力!C50</f>
        <v>10</v>
      </c>
      <c r="B13" s="84">
        <f>ROUND(性能入力!G50,2)</f>
        <v>59.49</v>
      </c>
    </row>
    <row r="14" spans="1:2" x14ac:dyDescent="0.25">
      <c r="A14">
        <f>性能入力!C51</f>
        <v>11</v>
      </c>
      <c r="B14" s="84">
        <f>ROUND(性能入力!G51,2)</f>
        <v>65.44</v>
      </c>
    </row>
    <row r="15" spans="1:2" x14ac:dyDescent="0.25">
      <c r="A15">
        <f>性能入力!C52</f>
        <v>12</v>
      </c>
      <c r="B15" s="84">
        <f>ROUND(性能入力!G52,2)</f>
        <v>71.39</v>
      </c>
    </row>
    <row r="16" spans="1:2" x14ac:dyDescent="0.25">
      <c r="A16">
        <f>性能入力!C53</f>
        <v>13</v>
      </c>
      <c r="B16" s="84">
        <f>ROUND(性能入力!G53,2)</f>
        <v>77.34</v>
      </c>
    </row>
    <row r="17" spans="1:2" x14ac:dyDescent="0.25">
      <c r="A17">
        <f>性能入力!C54</f>
        <v>14</v>
      </c>
      <c r="B17" s="84">
        <f>ROUND(性能入力!G54,2)</f>
        <v>83.29</v>
      </c>
    </row>
    <row r="18" spans="1:2" x14ac:dyDescent="0.25">
      <c r="A18">
        <f>性能入力!C55</f>
        <v>15</v>
      </c>
      <c r="B18" s="84">
        <f>ROUND(性能入力!G55,2)</f>
        <v>89.24</v>
      </c>
    </row>
    <row r="19" spans="1:2" x14ac:dyDescent="0.25">
      <c r="A19">
        <f>性能入力!C56</f>
        <v>16</v>
      </c>
      <c r="B19" s="84">
        <f>ROUND(性能入力!G56,2)</f>
        <v>89.24</v>
      </c>
    </row>
    <row r="20" spans="1:2" x14ac:dyDescent="0.25">
      <c r="A20">
        <f>性能入力!C57</f>
        <v>17</v>
      </c>
      <c r="B20" s="84">
        <f>ROUND(性能入力!G57,2)</f>
        <v>89.24</v>
      </c>
    </row>
    <row r="21" spans="1:2" x14ac:dyDescent="0.25">
      <c r="A21">
        <f>性能入力!C58</f>
        <v>18</v>
      </c>
      <c r="B21" s="84">
        <f>ROUND(性能入力!G58,2)</f>
        <v>89.24</v>
      </c>
    </row>
    <row r="22" spans="1:2" x14ac:dyDescent="0.25">
      <c r="A22">
        <f>性能入力!C59</f>
        <v>19</v>
      </c>
      <c r="B22" s="84">
        <f>ROUND(性能入力!G59,2)</f>
        <v>89.24</v>
      </c>
    </row>
    <row r="23" spans="1:2" x14ac:dyDescent="0.25">
      <c r="A23">
        <f>性能入力!C60</f>
        <v>20</v>
      </c>
      <c r="B23" s="84">
        <f>ROUND(性能入力!G60,2)</f>
        <v>89.24</v>
      </c>
    </row>
    <row r="24" spans="1:2" x14ac:dyDescent="0.25">
      <c r="A24">
        <f>性能入力!C61</f>
        <v>21</v>
      </c>
      <c r="B24" s="84">
        <f>ROUND(性能入力!G61,2)</f>
        <v>89.24</v>
      </c>
    </row>
    <row r="25" spans="1:2" x14ac:dyDescent="0.25">
      <c r="A25">
        <f>性能入力!C62</f>
        <v>22</v>
      </c>
      <c r="B25" s="84">
        <f>ROUND(性能入力!G62,2)</f>
        <v>89.24</v>
      </c>
    </row>
    <row r="26" spans="1:2" x14ac:dyDescent="0.25">
      <c r="A26">
        <f>性能入力!C63</f>
        <v>23</v>
      </c>
      <c r="B26" s="84">
        <f>ROUND(性能入力!G63,2)</f>
        <v>89.24</v>
      </c>
    </row>
    <row r="27" spans="1:2" x14ac:dyDescent="0.25">
      <c r="A27">
        <f>性能入力!C64</f>
        <v>24</v>
      </c>
      <c r="B27" s="84">
        <f>ROUND(性能入力!G64,2)</f>
        <v>89.24</v>
      </c>
    </row>
    <row r="28" spans="1:2" x14ac:dyDescent="0.25">
      <c r="A28">
        <f>性能入力!C65</f>
        <v>25</v>
      </c>
      <c r="B28" s="84">
        <f>ROUND(性能入力!G65,2)</f>
        <v>89.24</v>
      </c>
    </row>
    <row r="29" spans="1:2" x14ac:dyDescent="0.25">
      <c r="A29">
        <f>性能入力!C66</f>
        <v>26</v>
      </c>
      <c r="B29" s="84">
        <f>ROUND(性能入力!G66,2)</f>
        <v>89.24</v>
      </c>
    </row>
    <row r="30" spans="1:2" x14ac:dyDescent="0.25">
      <c r="A30">
        <f>性能入力!C67</f>
        <v>27</v>
      </c>
      <c r="B30" s="84">
        <f>ROUND(性能入力!G67,2)</f>
        <v>89.24</v>
      </c>
    </row>
    <row r="31" spans="1:2" x14ac:dyDescent="0.25">
      <c r="A31">
        <f>性能入力!C68</f>
        <v>28</v>
      </c>
      <c r="B31" s="84">
        <f>ROUND(性能入力!G68,2)</f>
        <v>89.24</v>
      </c>
    </row>
    <row r="32" spans="1:2" x14ac:dyDescent="0.25">
      <c r="A32">
        <f>性能入力!C69</f>
        <v>29</v>
      </c>
      <c r="B32" s="84">
        <f>ROUND(性能入力!G69,2)</f>
        <v>89.24</v>
      </c>
    </row>
    <row r="33" spans="1:2" x14ac:dyDescent="0.25">
      <c r="A33">
        <f>性能入力!C70</f>
        <v>30</v>
      </c>
      <c r="B33" s="84">
        <f>ROUND(性能入力!G70,2)</f>
        <v>89.24</v>
      </c>
    </row>
    <row r="34" spans="1:2" x14ac:dyDescent="0.25">
      <c r="A34">
        <f>性能入力!C71</f>
        <v>31</v>
      </c>
      <c r="B34" s="84">
        <f>ROUND(性能入力!G71,2)</f>
        <v>89.24</v>
      </c>
    </row>
    <row r="35" spans="1:2" x14ac:dyDescent="0.25">
      <c r="A35">
        <f>性能入力!C72</f>
        <v>32</v>
      </c>
      <c r="B35" s="84">
        <f>ROUND(性能入力!G72,2)</f>
        <v>89.24</v>
      </c>
    </row>
    <row r="36" spans="1:2" x14ac:dyDescent="0.25">
      <c r="A36">
        <f>性能入力!C73</f>
        <v>33</v>
      </c>
      <c r="B36" s="84">
        <f>ROUND(性能入力!G73,2)</f>
        <v>89.24</v>
      </c>
    </row>
    <row r="37" spans="1:2" x14ac:dyDescent="0.25">
      <c r="A37">
        <f>性能入力!C74</f>
        <v>34</v>
      </c>
      <c r="B37" s="84">
        <f>ROUND(性能入力!G74,2)</f>
        <v>89.24</v>
      </c>
    </row>
    <row r="38" spans="1:2" x14ac:dyDescent="0.25">
      <c r="A38">
        <f>性能入力!C75</f>
        <v>35</v>
      </c>
      <c r="B38" s="84">
        <f>ROUND(性能入力!G75,2)</f>
        <v>89.24</v>
      </c>
    </row>
    <row r="39" spans="1:2" x14ac:dyDescent="0.25">
      <c r="A39">
        <f>性能入力!C76</f>
        <v>36</v>
      </c>
      <c r="B39" s="84">
        <f>ROUND(性能入力!G76,2)</f>
        <v>89.24</v>
      </c>
    </row>
    <row r="40" spans="1:2" x14ac:dyDescent="0.25">
      <c r="A40">
        <f>性能入力!C77</f>
        <v>37</v>
      </c>
      <c r="B40" s="84">
        <f>ROUND(性能入力!G77,2)</f>
        <v>89.24</v>
      </c>
    </row>
    <row r="41" spans="1:2" x14ac:dyDescent="0.25">
      <c r="A41">
        <f>性能入力!C78</f>
        <v>38</v>
      </c>
      <c r="B41" s="84">
        <f>ROUND(性能入力!G78,2)</f>
        <v>89.24</v>
      </c>
    </row>
    <row r="42" spans="1:2" x14ac:dyDescent="0.25">
      <c r="A42">
        <f>性能入力!C79</f>
        <v>39</v>
      </c>
      <c r="B42" s="84">
        <f>ROUND(性能入力!G79,2)</f>
        <v>89.24</v>
      </c>
    </row>
    <row r="43" spans="1:2" x14ac:dyDescent="0.25">
      <c r="A43">
        <f>性能入力!C80</f>
        <v>40</v>
      </c>
      <c r="B43" s="84">
        <f>ROUND(性能入力!G80,2)</f>
        <v>89.24</v>
      </c>
    </row>
    <row r="44" spans="1:2" x14ac:dyDescent="0.25">
      <c r="A44">
        <f>性能入力!C81</f>
        <v>41</v>
      </c>
      <c r="B44" s="84">
        <f>ROUND(性能入力!G81,2)</f>
        <v>89.24</v>
      </c>
    </row>
    <row r="45" spans="1:2" x14ac:dyDescent="0.25">
      <c r="A45">
        <f>性能入力!C82</f>
        <v>42</v>
      </c>
      <c r="B45" s="84">
        <f>ROUND(性能入力!G82,2)</f>
        <v>89.24</v>
      </c>
    </row>
    <row r="46" spans="1:2" x14ac:dyDescent="0.25">
      <c r="A46">
        <f>性能入力!C83</f>
        <v>43</v>
      </c>
      <c r="B46" s="84">
        <f>ROUND(性能入力!G83,2)</f>
        <v>89.24</v>
      </c>
    </row>
    <row r="47" spans="1:2" x14ac:dyDescent="0.25">
      <c r="A47">
        <f>性能入力!C84</f>
        <v>44</v>
      </c>
      <c r="B47" s="84">
        <f>ROUND(性能入力!G84,2)</f>
        <v>89.24</v>
      </c>
    </row>
    <row r="48" spans="1:2" x14ac:dyDescent="0.25">
      <c r="A48">
        <f>性能入力!C85</f>
        <v>45</v>
      </c>
      <c r="B48" s="84">
        <f>ROUND(性能入力!G85,2)</f>
        <v>89.24</v>
      </c>
    </row>
    <row r="49" spans="1:2" x14ac:dyDescent="0.25">
      <c r="A49">
        <f>性能入力!C86</f>
        <v>46</v>
      </c>
      <c r="B49" s="84">
        <f>ROUND(性能入力!G86,2)</f>
        <v>89.24</v>
      </c>
    </row>
    <row r="50" spans="1:2" x14ac:dyDescent="0.25">
      <c r="A50">
        <f>性能入力!C87</f>
        <v>47</v>
      </c>
      <c r="B50" s="84">
        <f>ROUND(性能入力!G87,2)</f>
        <v>89.24</v>
      </c>
    </row>
    <row r="51" spans="1:2" x14ac:dyDescent="0.25">
      <c r="A51">
        <f>性能入力!C88</f>
        <v>48</v>
      </c>
      <c r="B51" s="84">
        <f>ROUND(性能入力!G88,2)</f>
        <v>89.24</v>
      </c>
    </row>
    <row r="52" spans="1:2" x14ac:dyDescent="0.25">
      <c r="A52">
        <f>性能入力!C89</f>
        <v>49</v>
      </c>
      <c r="B52" s="84">
        <f>ROUND(性能入力!G89,2)</f>
        <v>89.24</v>
      </c>
    </row>
    <row r="53" spans="1:2" x14ac:dyDescent="0.25">
      <c r="A53">
        <f>性能入力!C90</f>
        <v>50</v>
      </c>
      <c r="B53" s="84">
        <f>ROUND(性能入力!G90,2)</f>
        <v>89.24</v>
      </c>
    </row>
    <row r="54" spans="1:2" x14ac:dyDescent="0.25">
      <c r="A54">
        <f>性能入力!C91</f>
        <v>51</v>
      </c>
      <c r="B54" s="84">
        <f>ROUND(性能入力!G91,2)</f>
        <v>89.24</v>
      </c>
    </row>
    <row r="55" spans="1:2" x14ac:dyDescent="0.25">
      <c r="A55">
        <f>性能入力!C92</f>
        <v>52</v>
      </c>
      <c r="B55" s="84">
        <f>ROUND(性能入力!G92,2)</f>
        <v>89.24</v>
      </c>
    </row>
    <row r="56" spans="1:2" x14ac:dyDescent="0.25">
      <c r="A56">
        <f>性能入力!C93</f>
        <v>53</v>
      </c>
      <c r="B56" s="84">
        <f>ROUND(性能入力!G93,2)</f>
        <v>89.24</v>
      </c>
    </row>
    <row r="57" spans="1:2" x14ac:dyDescent="0.25">
      <c r="A57">
        <f>性能入力!C94</f>
        <v>54</v>
      </c>
      <c r="B57" s="84">
        <f>ROUND(性能入力!G94,2)</f>
        <v>89.24</v>
      </c>
    </row>
    <row r="58" spans="1:2" x14ac:dyDescent="0.25">
      <c r="A58">
        <f>性能入力!C95</f>
        <v>55</v>
      </c>
      <c r="B58" s="84">
        <f>ROUND(性能入力!G95,2)</f>
        <v>89.24</v>
      </c>
    </row>
    <row r="59" spans="1:2" x14ac:dyDescent="0.25">
      <c r="A59">
        <f>性能入力!C96</f>
        <v>56</v>
      </c>
      <c r="B59" s="84">
        <f>ROUND(性能入力!G96,2)</f>
        <v>89.24</v>
      </c>
    </row>
    <row r="60" spans="1:2" x14ac:dyDescent="0.25">
      <c r="A60">
        <f>性能入力!C97</f>
        <v>57</v>
      </c>
      <c r="B60" s="84">
        <f>ROUND(性能入力!G97,2)</f>
        <v>89.24</v>
      </c>
    </row>
    <row r="61" spans="1:2" x14ac:dyDescent="0.25">
      <c r="A61">
        <f>性能入力!C98</f>
        <v>58</v>
      </c>
      <c r="B61" s="84">
        <f>ROUND(性能入力!G98,2)</f>
        <v>89.24</v>
      </c>
    </row>
    <row r="62" spans="1:2" x14ac:dyDescent="0.25">
      <c r="A62">
        <f>性能入力!C99</f>
        <v>59</v>
      </c>
      <c r="B62" s="84">
        <f>ROUND(性能入力!G99,2)</f>
        <v>89.24</v>
      </c>
    </row>
    <row r="63" spans="1:2" x14ac:dyDescent="0.25">
      <c r="A63">
        <f>性能入力!C100</f>
        <v>60</v>
      </c>
      <c r="B63" s="84">
        <f>ROUND(性能入力!G100,2)</f>
        <v>89.24</v>
      </c>
    </row>
    <row r="64" spans="1:2" x14ac:dyDescent="0.25">
      <c r="A64">
        <f>性能入力!C101</f>
        <v>61</v>
      </c>
      <c r="B64" s="84">
        <f>ROUND(性能入力!G101,2)</f>
        <v>89.24</v>
      </c>
    </row>
    <row r="65" spans="1:2" x14ac:dyDescent="0.25">
      <c r="A65">
        <f>性能入力!C102</f>
        <v>62</v>
      </c>
      <c r="B65" s="84">
        <f>ROUND(性能入力!G102,2)</f>
        <v>89.92</v>
      </c>
    </row>
    <row r="66" spans="1:2" x14ac:dyDescent="0.25">
      <c r="A66">
        <f>性能入力!C103</f>
        <v>63</v>
      </c>
      <c r="B66" s="84">
        <f>ROUND(性能入力!G103,2)</f>
        <v>90.74</v>
      </c>
    </row>
    <row r="67" spans="1:2" x14ac:dyDescent="0.25">
      <c r="A67">
        <f>性能入力!C104</f>
        <v>64</v>
      </c>
      <c r="B67" s="84">
        <f>ROUND(性能入力!G104,2)</f>
        <v>91.55</v>
      </c>
    </row>
    <row r="68" spans="1:2" x14ac:dyDescent="0.25">
      <c r="A68">
        <f>性能入力!C105</f>
        <v>65</v>
      </c>
      <c r="B68" s="84">
        <f>ROUND(性能入力!G105,2)</f>
        <v>92.36</v>
      </c>
    </row>
    <row r="69" spans="1:2" x14ac:dyDescent="0.25">
      <c r="A69">
        <f>性能入力!C106</f>
        <v>66</v>
      </c>
      <c r="B69" s="84">
        <f>ROUND(性能入力!G106,2)</f>
        <v>92.58</v>
      </c>
    </row>
    <row r="70" spans="1:2" x14ac:dyDescent="0.25">
      <c r="A70">
        <f>性能入力!C107</f>
        <v>67</v>
      </c>
      <c r="B70" s="84">
        <f>ROUND(性能入力!G107,2)</f>
        <v>92.81</v>
      </c>
    </row>
    <row r="71" spans="1:2" x14ac:dyDescent="0.25">
      <c r="A71">
        <f>性能入力!C108</f>
        <v>68</v>
      </c>
      <c r="B71" s="84">
        <f>ROUND(性能入力!G108,2)</f>
        <v>93.06</v>
      </c>
    </row>
    <row r="72" spans="1:2" x14ac:dyDescent="0.25">
      <c r="A72">
        <f>性能入力!C109</f>
        <v>69</v>
      </c>
      <c r="B72" s="84">
        <f>ROUND(性能入力!G109,2)</f>
        <v>93.33</v>
      </c>
    </row>
    <row r="73" spans="1:2" x14ac:dyDescent="0.25">
      <c r="A73">
        <f>性能入力!C110</f>
        <v>70</v>
      </c>
      <c r="B73" s="84">
        <f>ROUND(性能入力!G110,2)</f>
        <v>93.61</v>
      </c>
    </row>
    <row r="74" spans="1:2" x14ac:dyDescent="0.25">
      <c r="A74">
        <f>性能入力!C111</f>
        <v>71</v>
      </c>
      <c r="B74" s="84">
        <f>ROUND(性能入力!G111,2)</f>
        <v>93.91</v>
      </c>
    </row>
    <row r="75" spans="1:2" x14ac:dyDescent="0.25">
      <c r="A75">
        <f>性能入力!C112</f>
        <v>72</v>
      </c>
      <c r="B75" s="84">
        <f>ROUND(性能入力!G112,2)</f>
        <v>94.22</v>
      </c>
    </row>
    <row r="76" spans="1:2" x14ac:dyDescent="0.25">
      <c r="A76">
        <f>性能入力!C113</f>
        <v>73</v>
      </c>
      <c r="B76" s="84">
        <f>ROUND(性能入力!G113,2)</f>
        <v>94.55</v>
      </c>
    </row>
    <row r="77" spans="1:2" x14ac:dyDescent="0.25">
      <c r="A77">
        <f>性能入力!C114</f>
        <v>74</v>
      </c>
      <c r="B77" s="84">
        <f>ROUND(性能入力!G114,2)</f>
        <v>94.89</v>
      </c>
    </row>
    <row r="78" spans="1:2" x14ac:dyDescent="0.25">
      <c r="A78">
        <f>性能入力!C115</f>
        <v>75</v>
      </c>
      <c r="B78" s="84">
        <f>ROUND(性能入力!G115,2)</f>
        <v>95.24</v>
      </c>
    </row>
    <row r="79" spans="1:2" x14ac:dyDescent="0.25">
      <c r="A79">
        <f>性能入力!C116</f>
        <v>76</v>
      </c>
      <c r="B79" s="84">
        <f>ROUND(性能入力!G116,2)</f>
        <v>95.6</v>
      </c>
    </row>
    <row r="80" spans="1:2" x14ac:dyDescent="0.25">
      <c r="A80">
        <f>性能入力!C117</f>
        <v>77</v>
      </c>
      <c r="B80" s="84">
        <f>ROUND(性能入力!G117,2)</f>
        <v>95.98</v>
      </c>
    </row>
    <row r="81" spans="1:2" x14ac:dyDescent="0.25">
      <c r="A81">
        <f>性能入力!C118</f>
        <v>78</v>
      </c>
      <c r="B81" s="84">
        <f>ROUND(性能入力!G118,2)</f>
        <v>96.37</v>
      </c>
    </row>
    <row r="82" spans="1:2" x14ac:dyDescent="0.25">
      <c r="A82">
        <f>性能入力!C119</f>
        <v>79</v>
      </c>
      <c r="B82" s="84">
        <f>ROUND(性能入力!G119,2)</f>
        <v>96.76</v>
      </c>
    </row>
    <row r="83" spans="1:2" x14ac:dyDescent="0.25">
      <c r="A83">
        <f>性能入力!C120</f>
        <v>80</v>
      </c>
      <c r="B83" s="84">
        <f>ROUND(性能入力!G120,2)</f>
        <v>97.17</v>
      </c>
    </row>
    <row r="84" spans="1:2" x14ac:dyDescent="0.25">
      <c r="A84">
        <f>性能入力!C121</f>
        <v>81</v>
      </c>
      <c r="B84" s="84">
        <f>ROUND(性能入力!G121,2)</f>
        <v>97.59</v>
      </c>
    </row>
    <row r="85" spans="1:2" x14ac:dyDescent="0.25">
      <c r="A85">
        <f>性能入力!C122</f>
        <v>82</v>
      </c>
      <c r="B85" s="84">
        <f>ROUND(性能入力!G122,2)</f>
        <v>98.02</v>
      </c>
    </row>
    <row r="86" spans="1:2" x14ac:dyDescent="0.25">
      <c r="A86">
        <f>性能入力!C123</f>
        <v>83</v>
      </c>
      <c r="B86" s="84">
        <f>ROUND(性能入力!G123,2)</f>
        <v>98.01</v>
      </c>
    </row>
    <row r="87" spans="1:2" x14ac:dyDescent="0.25">
      <c r="A87">
        <f>性能入力!C124</f>
        <v>84</v>
      </c>
      <c r="B87" s="84">
        <f>ROUND(性能入力!G124,2)</f>
        <v>96.85</v>
      </c>
    </row>
    <row r="88" spans="1:2" x14ac:dyDescent="0.25">
      <c r="A88">
        <f>性能入力!C125</f>
        <v>85</v>
      </c>
      <c r="B88" s="84">
        <f>ROUND(性能入力!G125,2)</f>
        <v>95.71</v>
      </c>
    </row>
    <row r="89" spans="1:2" x14ac:dyDescent="0.25">
      <c r="A89">
        <f>性能入力!C126</f>
        <v>86</v>
      </c>
      <c r="B89" s="84">
        <f>ROUND(性能入力!G126,2)</f>
        <v>94.59</v>
      </c>
    </row>
    <row r="90" spans="1:2" x14ac:dyDescent="0.25">
      <c r="A90">
        <f>性能入力!C127</f>
        <v>87</v>
      </c>
      <c r="B90" s="84">
        <f>ROUND(性能入力!G127,2)</f>
        <v>93.51</v>
      </c>
    </row>
    <row r="91" spans="1:2" x14ac:dyDescent="0.25">
      <c r="A91">
        <f>性能入力!C128</f>
        <v>88</v>
      </c>
      <c r="B91" s="84">
        <f>ROUND(性能入力!G128,2)</f>
        <v>92.44</v>
      </c>
    </row>
    <row r="92" spans="1:2" x14ac:dyDescent="0.25">
      <c r="A92">
        <f>性能入力!C129</f>
        <v>89</v>
      </c>
      <c r="B92" s="84">
        <f>ROUND(性能入力!G129,2)</f>
        <v>91.41</v>
      </c>
    </row>
    <row r="93" spans="1:2" x14ac:dyDescent="0.25">
      <c r="A93">
        <f>性能入力!C130</f>
        <v>90</v>
      </c>
      <c r="B93" s="84">
        <f>ROUND(性能入力!G130,2)</f>
        <v>90.39</v>
      </c>
    </row>
    <row r="94" spans="1:2" x14ac:dyDescent="0.25">
      <c r="A94">
        <f>性能入力!C131</f>
        <v>91</v>
      </c>
      <c r="B94" s="84">
        <f>ROUND(性能入力!G131,2)</f>
        <v>89.4</v>
      </c>
    </row>
    <row r="95" spans="1:2" x14ac:dyDescent="0.25">
      <c r="A95">
        <f>性能入力!C132</f>
        <v>92</v>
      </c>
      <c r="B95" s="84">
        <f>ROUND(性能入力!G132,2)</f>
        <v>88.43</v>
      </c>
    </row>
    <row r="96" spans="1:2" x14ac:dyDescent="0.25">
      <c r="A96">
        <f>性能入力!C133</f>
        <v>93</v>
      </c>
      <c r="B96" s="84">
        <f>ROUND(性能入力!G133,2)</f>
        <v>87.47</v>
      </c>
    </row>
    <row r="97" spans="1:2" x14ac:dyDescent="0.25">
      <c r="A97">
        <f>性能入力!C134</f>
        <v>94</v>
      </c>
      <c r="B97" s="84">
        <f>ROUND(性能入力!G134,2)</f>
        <v>86.54</v>
      </c>
    </row>
    <row r="98" spans="1:2" x14ac:dyDescent="0.25">
      <c r="A98">
        <f>性能入力!C135</f>
        <v>95</v>
      </c>
      <c r="B98" s="84">
        <f>ROUND(性能入力!G135,2)</f>
        <v>85.63</v>
      </c>
    </row>
    <row r="99" spans="1:2" x14ac:dyDescent="0.25">
      <c r="A99">
        <f>性能入力!C136</f>
        <v>96</v>
      </c>
      <c r="B99" s="84">
        <f>ROUND(性能入力!G136,2)</f>
        <v>84.74</v>
      </c>
    </row>
    <row r="100" spans="1:2" x14ac:dyDescent="0.25">
      <c r="A100">
        <f>性能入力!C137</f>
        <v>97</v>
      </c>
      <c r="B100" s="84">
        <f>ROUND(性能入力!G137,2)</f>
        <v>83.87</v>
      </c>
    </row>
    <row r="101" spans="1:2" x14ac:dyDescent="0.25">
      <c r="A101">
        <f>性能入力!C138</f>
        <v>98</v>
      </c>
      <c r="B101" s="84">
        <f>ROUND(性能入力!G138,2)</f>
        <v>83.01</v>
      </c>
    </row>
    <row r="102" spans="1:2" x14ac:dyDescent="0.25">
      <c r="A102">
        <f>性能入力!C139</f>
        <v>99</v>
      </c>
      <c r="B102" s="84">
        <f>ROUND(性能入力!G139,2)</f>
        <v>82.17</v>
      </c>
    </row>
    <row r="103" spans="1:2" x14ac:dyDescent="0.25">
      <c r="A103">
        <f>性能入力!C140</f>
        <v>100</v>
      </c>
      <c r="B103" s="84">
        <f>ROUND(性能入力!G140,2)</f>
        <v>81.349999999999994</v>
      </c>
    </row>
    <row r="104" spans="1:2" x14ac:dyDescent="0.25">
      <c r="A104">
        <f>性能入力!C141</f>
        <v>101</v>
      </c>
      <c r="B104" s="84">
        <f>ROUND(性能入力!G141,2)</f>
        <v>80.55</v>
      </c>
    </row>
    <row r="105" spans="1:2" x14ac:dyDescent="0.25">
      <c r="A105">
        <f>性能入力!C142</f>
        <v>102</v>
      </c>
      <c r="B105" s="84">
        <f>ROUND(性能入力!G142,2)</f>
        <v>79.760000000000005</v>
      </c>
    </row>
    <row r="106" spans="1:2" x14ac:dyDescent="0.25">
      <c r="A106">
        <f>性能入力!C143</f>
        <v>103</v>
      </c>
      <c r="B106" s="84">
        <f>ROUND(性能入力!G143,2)</f>
        <v>78.98</v>
      </c>
    </row>
    <row r="107" spans="1:2" x14ac:dyDescent="0.25">
      <c r="A107">
        <f>性能入力!C144</f>
        <v>104</v>
      </c>
      <c r="B107" s="84">
        <f>ROUND(性能入力!G144,2)</f>
        <v>78.22</v>
      </c>
    </row>
    <row r="108" spans="1:2" x14ac:dyDescent="0.25">
      <c r="A108">
        <f>性能入力!C145</f>
        <v>105</v>
      </c>
      <c r="B108" s="84">
        <f>ROUND(性能入力!G145,2)</f>
        <v>77.48</v>
      </c>
    </row>
    <row r="109" spans="1:2" x14ac:dyDescent="0.25">
      <c r="A109">
        <f>性能入力!C146</f>
        <v>106</v>
      </c>
      <c r="B109" s="84">
        <f>ROUND(性能入力!G146,2)</f>
        <v>76.75</v>
      </c>
    </row>
    <row r="110" spans="1:2" x14ac:dyDescent="0.25">
      <c r="A110">
        <f>性能入力!C147</f>
        <v>107</v>
      </c>
      <c r="B110" s="84">
        <f>ROUND(性能入力!G147,2)</f>
        <v>76.03</v>
      </c>
    </row>
    <row r="111" spans="1:2" x14ac:dyDescent="0.25">
      <c r="A111">
        <f>性能入力!C148</f>
        <v>108</v>
      </c>
      <c r="B111" s="84">
        <f>ROUND(性能入力!G148,2)</f>
        <v>75.33</v>
      </c>
    </row>
    <row r="112" spans="1:2" x14ac:dyDescent="0.25">
      <c r="A112">
        <f>性能入力!C149</f>
        <v>109</v>
      </c>
      <c r="B112" s="84">
        <f>ROUND(性能入力!G149,2)</f>
        <v>74.63</v>
      </c>
    </row>
    <row r="113" spans="1:2" x14ac:dyDescent="0.25">
      <c r="A113">
        <f>性能入力!C150</f>
        <v>110</v>
      </c>
      <c r="B113" s="84">
        <f>ROUND(性能入力!G150,2)</f>
        <v>73.959999999999994</v>
      </c>
    </row>
    <row r="114" spans="1:2" x14ac:dyDescent="0.25">
      <c r="A114">
        <f>性能入力!C151</f>
        <v>111</v>
      </c>
      <c r="B114" s="84">
        <f>ROUND(性能入力!G151,2)</f>
        <v>73.290000000000006</v>
      </c>
    </row>
    <row r="115" spans="1:2" x14ac:dyDescent="0.25">
      <c r="A115">
        <f>性能入力!C152</f>
        <v>112</v>
      </c>
      <c r="B115" s="84">
        <f>ROUND(性能入力!G152,2)</f>
        <v>72.64</v>
      </c>
    </row>
    <row r="116" spans="1:2" x14ac:dyDescent="0.25">
      <c r="A116">
        <f>性能入力!C153</f>
        <v>113</v>
      </c>
      <c r="B116" s="84">
        <f>ROUND(性能入力!G153,2)</f>
        <v>71.989999999999995</v>
      </c>
    </row>
    <row r="117" spans="1:2" x14ac:dyDescent="0.25">
      <c r="A117">
        <f>性能入力!C154</f>
        <v>114</v>
      </c>
      <c r="B117" s="84">
        <f>ROUND(性能入力!G154,2)</f>
        <v>71.36</v>
      </c>
    </row>
    <row r="118" spans="1:2" x14ac:dyDescent="0.25">
      <c r="A118">
        <f>性能入力!C155</f>
        <v>115</v>
      </c>
      <c r="B118" s="84">
        <f>ROUND(性能入力!G155,2)</f>
        <v>70.739999999999995</v>
      </c>
    </row>
    <row r="119" spans="1:2" x14ac:dyDescent="0.25">
      <c r="A119">
        <f>性能入力!C156</f>
        <v>116</v>
      </c>
      <c r="B119" s="84">
        <f>ROUND(性能入力!G156,2)</f>
        <v>70.13</v>
      </c>
    </row>
    <row r="120" spans="1:2" x14ac:dyDescent="0.25">
      <c r="A120">
        <f>性能入力!C157</f>
        <v>117</v>
      </c>
      <c r="B120" s="84">
        <f>ROUND(性能入力!G157,2)</f>
        <v>69.53</v>
      </c>
    </row>
    <row r="121" spans="1:2" x14ac:dyDescent="0.25">
      <c r="A121">
        <f>性能入力!C158</f>
        <v>118</v>
      </c>
      <c r="B121" s="84">
        <f>ROUND(性能入力!G158,2)</f>
        <v>68.94</v>
      </c>
    </row>
    <row r="122" spans="1:2" x14ac:dyDescent="0.25">
      <c r="A122">
        <f>性能入力!C159</f>
        <v>119</v>
      </c>
      <c r="B122" s="84">
        <f>ROUND(性能入力!G159,2)</f>
        <v>68.36</v>
      </c>
    </row>
    <row r="123" spans="1:2" x14ac:dyDescent="0.25">
      <c r="A123">
        <f>性能入力!C160</f>
        <v>120</v>
      </c>
      <c r="B123" s="84">
        <f>ROUND(性能入力!G160,2)</f>
        <v>67.790000000000006</v>
      </c>
    </row>
    <row r="124" spans="1:2" x14ac:dyDescent="0.25">
      <c r="A124">
        <f>性能入力!C161</f>
        <v>121</v>
      </c>
      <c r="B124" s="84">
        <f>ROUND(性能入力!G161,2)</f>
        <v>67.23</v>
      </c>
    </row>
    <row r="125" spans="1:2" x14ac:dyDescent="0.25">
      <c r="A125">
        <f>性能入力!C162</f>
        <v>122</v>
      </c>
      <c r="B125" s="84">
        <f>ROUND(性能入力!G162,2)</f>
        <v>66.680000000000007</v>
      </c>
    </row>
    <row r="126" spans="1:2" x14ac:dyDescent="0.25">
      <c r="A126">
        <f>性能入力!C163</f>
        <v>123</v>
      </c>
      <c r="B126" s="84">
        <f>ROUND(性能入力!G163,2)</f>
        <v>66.14</v>
      </c>
    </row>
    <row r="127" spans="1:2" x14ac:dyDescent="0.25">
      <c r="A127">
        <f>性能入力!C164</f>
        <v>124</v>
      </c>
      <c r="B127" s="84">
        <f>ROUND(性能入力!G164,2)</f>
        <v>65.61</v>
      </c>
    </row>
    <row r="128" spans="1:2" x14ac:dyDescent="0.25">
      <c r="A128">
        <f>性能入力!C165</f>
        <v>125</v>
      </c>
      <c r="B128" s="84">
        <f>ROUND(性能入力!G165,2)</f>
        <v>65.08</v>
      </c>
    </row>
    <row r="129" spans="1:2" x14ac:dyDescent="0.25">
      <c r="A129">
        <f>性能入力!C166</f>
        <v>126</v>
      </c>
      <c r="B129" s="84">
        <f>ROUND(性能入力!G166,2)</f>
        <v>64.56</v>
      </c>
    </row>
    <row r="130" spans="1:2" x14ac:dyDescent="0.25">
      <c r="A130">
        <f>性能入力!C167</f>
        <v>127</v>
      </c>
      <c r="B130" s="84">
        <f>ROUND(性能入力!G167,2)</f>
        <v>64.06</v>
      </c>
    </row>
    <row r="131" spans="1:2" x14ac:dyDescent="0.25">
      <c r="A131">
        <f>性能入力!C168</f>
        <v>128</v>
      </c>
      <c r="B131" s="84">
        <f>ROUND(性能入力!G168,2)</f>
        <v>63.56</v>
      </c>
    </row>
    <row r="132" spans="1:2" x14ac:dyDescent="0.25">
      <c r="A132">
        <f>性能入力!C169</f>
        <v>129</v>
      </c>
      <c r="B132" s="84">
        <f>ROUND(性能入力!G169,2)</f>
        <v>63.06</v>
      </c>
    </row>
    <row r="133" spans="1:2" x14ac:dyDescent="0.25">
      <c r="A133">
        <f>性能入力!C170</f>
        <v>130</v>
      </c>
      <c r="B133" s="84">
        <f>ROUND(性能入力!G170,2)</f>
        <v>62.58</v>
      </c>
    </row>
    <row r="134" spans="1:2" x14ac:dyDescent="0.25">
      <c r="A134">
        <f>性能入力!C171</f>
        <v>131</v>
      </c>
      <c r="B134" s="84">
        <f>ROUND(性能入力!G171,2)</f>
        <v>62.1</v>
      </c>
    </row>
    <row r="135" spans="1:2" x14ac:dyDescent="0.25">
      <c r="A135">
        <f>性能入力!C172</f>
        <v>132</v>
      </c>
      <c r="B135" s="84">
        <f>ROUND(性能入力!G172,2)</f>
        <v>61.63</v>
      </c>
    </row>
    <row r="136" spans="1:2" x14ac:dyDescent="0.25">
      <c r="A136">
        <f>性能入力!C173</f>
        <v>133</v>
      </c>
      <c r="B136" s="84">
        <f>ROUND(性能入力!G173,2)</f>
        <v>61.17</v>
      </c>
    </row>
    <row r="137" spans="1:2" x14ac:dyDescent="0.25">
      <c r="A137">
        <f>性能入力!C174</f>
        <v>134</v>
      </c>
      <c r="B137" s="84">
        <f>ROUND(性能入力!G174,2)</f>
        <v>60.71</v>
      </c>
    </row>
    <row r="138" spans="1:2" x14ac:dyDescent="0.25">
      <c r="A138">
        <f>性能入力!C175</f>
        <v>135</v>
      </c>
      <c r="B138" s="84">
        <f>ROUND(性能入力!G175,2)</f>
        <v>60.26</v>
      </c>
    </row>
    <row r="139" spans="1:2" x14ac:dyDescent="0.25">
      <c r="A139">
        <f>性能入力!C176</f>
        <v>136</v>
      </c>
      <c r="B139" s="84">
        <f>ROUND(性能入力!G176,2)</f>
        <v>59.82</v>
      </c>
    </row>
    <row r="140" spans="1:2" x14ac:dyDescent="0.25">
      <c r="A140">
        <f>性能入力!C177</f>
        <v>137</v>
      </c>
      <c r="B140" s="84">
        <f>ROUND(性能入力!G177,2)</f>
        <v>59.38</v>
      </c>
    </row>
    <row r="141" spans="1:2" x14ac:dyDescent="0.25">
      <c r="A141">
        <f>性能入力!C178</f>
        <v>138</v>
      </c>
      <c r="B141" s="84">
        <f>ROUND(性能入力!G178,2)</f>
        <v>58.95</v>
      </c>
    </row>
    <row r="142" spans="1:2" x14ac:dyDescent="0.25">
      <c r="A142">
        <f>性能入力!C179</f>
        <v>139</v>
      </c>
      <c r="B142" s="84">
        <f>ROUND(性能入力!G179,2)</f>
        <v>58.53</v>
      </c>
    </row>
    <row r="143" spans="1:2" x14ac:dyDescent="0.25">
      <c r="A143">
        <f>性能入力!C180</f>
        <v>140</v>
      </c>
      <c r="B143" s="84">
        <f>ROUND(性能入力!G180,2)</f>
        <v>58.11</v>
      </c>
    </row>
    <row r="144" spans="1:2" x14ac:dyDescent="0.25">
      <c r="A144">
        <f>性能入力!C181</f>
        <v>141</v>
      </c>
      <c r="B144" s="84">
        <f>ROUND(性能入力!G181,2)</f>
        <v>57.7</v>
      </c>
    </row>
    <row r="145" spans="1:2" x14ac:dyDescent="0.25">
      <c r="A145">
        <f>性能入力!C182</f>
        <v>142</v>
      </c>
      <c r="B145" s="84">
        <f>ROUND(性能入力!G182,2)</f>
        <v>57.29</v>
      </c>
    </row>
    <row r="146" spans="1:2" x14ac:dyDescent="0.25">
      <c r="A146">
        <f>性能入力!C183</f>
        <v>143</v>
      </c>
      <c r="B146" s="84">
        <f>ROUND(性能入力!G183,2)</f>
        <v>56.89</v>
      </c>
    </row>
    <row r="147" spans="1:2" x14ac:dyDescent="0.25">
      <c r="A147">
        <f>性能入力!C184</f>
        <v>144</v>
      </c>
      <c r="B147" s="84">
        <f>ROUND(性能入力!G184,2)</f>
        <v>56.49</v>
      </c>
    </row>
    <row r="148" spans="1:2" x14ac:dyDescent="0.25">
      <c r="A148">
        <f>性能入力!C185</f>
        <v>145</v>
      </c>
      <c r="B148" s="84">
        <f>ROUND(性能入力!G185,2)</f>
        <v>56.1</v>
      </c>
    </row>
    <row r="149" spans="1:2" x14ac:dyDescent="0.25">
      <c r="A149">
        <f>性能入力!C186</f>
        <v>146</v>
      </c>
      <c r="B149" s="84">
        <f>ROUND(性能入力!G186,2)</f>
        <v>55.72</v>
      </c>
    </row>
    <row r="150" spans="1:2" x14ac:dyDescent="0.25">
      <c r="A150">
        <f>性能入力!C187</f>
        <v>147</v>
      </c>
      <c r="B150" s="84">
        <f>ROUND(性能入力!G187,2)</f>
        <v>55.34</v>
      </c>
    </row>
    <row r="151" spans="1:2" x14ac:dyDescent="0.25">
      <c r="A151">
        <f>性能入力!C188</f>
        <v>148</v>
      </c>
      <c r="B151" s="84">
        <f>ROUND(性能入力!G188,2)</f>
        <v>54.97</v>
      </c>
    </row>
    <row r="152" spans="1:2" x14ac:dyDescent="0.25">
      <c r="A152">
        <f>性能入力!C189</f>
        <v>149</v>
      </c>
      <c r="B152" s="84">
        <f>ROUND(性能入力!G189,2)</f>
        <v>54.6</v>
      </c>
    </row>
    <row r="153" spans="1:2" x14ac:dyDescent="0.25">
      <c r="A153">
        <f>性能入力!C190</f>
        <v>150</v>
      </c>
      <c r="B153" s="84">
        <f>ROUND(性能入力!G190,2)</f>
        <v>54.23</v>
      </c>
    </row>
  </sheetData>
  <phoneticPr fontId="1"/>
  <pageMargins left="0.7" right="0.7" top="0.75" bottom="0.75" header="0.3" footer="0.3"/>
  <pageSetup paperSize="8"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FF0000"/>
  </sheetPr>
  <dimension ref="A1:B153"/>
  <sheetViews>
    <sheetView workbookViewId="0">
      <pane ySplit="2" topLeftCell="A109" activePane="bottomLeft" state="frozen"/>
      <selection pane="bottomLeft"/>
    </sheetView>
  </sheetViews>
  <sheetFormatPr defaultColWidth="9.125" defaultRowHeight="11.4" x14ac:dyDescent="0.25"/>
  <sheetData>
    <row r="1" spans="1:2" x14ac:dyDescent="0.25">
      <c r="A1" t="s">
        <v>89</v>
      </c>
    </row>
    <row r="2" spans="1:2" x14ac:dyDescent="0.25">
      <c r="A2" t="s">
        <v>0</v>
      </c>
      <c r="B2" t="s">
        <v>14</v>
      </c>
    </row>
    <row r="3" spans="1:2" x14ac:dyDescent="0.25">
      <c r="A3">
        <f>性能入力!C40</f>
        <v>0</v>
      </c>
      <c r="B3" s="84">
        <f>ROUND(性能入力!H40,2)</f>
        <v>1</v>
      </c>
    </row>
    <row r="4" spans="1:2" x14ac:dyDescent="0.25">
      <c r="A4">
        <f>性能入力!C41</f>
        <v>1</v>
      </c>
      <c r="B4" s="84">
        <f>ROUND(性能入力!H41,2)</f>
        <v>10.52</v>
      </c>
    </row>
    <row r="5" spans="1:2" x14ac:dyDescent="0.25">
      <c r="A5">
        <f>性能入力!C42</f>
        <v>2</v>
      </c>
      <c r="B5" s="84">
        <f>ROUND(性能入力!H42,2)</f>
        <v>21.05</v>
      </c>
    </row>
    <row r="6" spans="1:2" x14ac:dyDescent="0.25">
      <c r="A6">
        <f>性能入力!C43</f>
        <v>3</v>
      </c>
      <c r="B6" s="84">
        <f>ROUND(性能入力!H43,2)</f>
        <v>31.57</v>
      </c>
    </row>
    <row r="7" spans="1:2" x14ac:dyDescent="0.25">
      <c r="A7">
        <f>性能入力!C44</f>
        <v>4</v>
      </c>
      <c r="B7" s="84">
        <f>ROUND(性能入力!H44,2)</f>
        <v>42.1</v>
      </c>
    </row>
    <row r="8" spans="1:2" x14ac:dyDescent="0.25">
      <c r="A8">
        <f>性能入力!C45</f>
        <v>5</v>
      </c>
      <c r="B8" s="84">
        <f>ROUND(性能入力!H45,2)</f>
        <v>52.62</v>
      </c>
    </row>
    <row r="9" spans="1:2" x14ac:dyDescent="0.25">
      <c r="A9">
        <f>性能入力!C46</f>
        <v>6</v>
      </c>
      <c r="B9" s="84">
        <f>ROUND(性能入力!H46,2)</f>
        <v>63.15</v>
      </c>
    </row>
    <row r="10" spans="1:2" x14ac:dyDescent="0.25">
      <c r="A10">
        <f>性能入力!C47</f>
        <v>7</v>
      </c>
      <c r="B10" s="84">
        <f>ROUND(性能入力!H47,2)</f>
        <v>73.67</v>
      </c>
    </row>
    <row r="11" spans="1:2" x14ac:dyDescent="0.25">
      <c r="A11">
        <f>性能入力!C48</f>
        <v>8</v>
      </c>
      <c r="B11" s="84">
        <f>ROUND(性能入力!H48,2)</f>
        <v>84.2</v>
      </c>
    </row>
    <row r="12" spans="1:2" x14ac:dyDescent="0.25">
      <c r="A12">
        <f>性能入力!C49</f>
        <v>9</v>
      </c>
      <c r="B12" s="84">
        <f>ROUND(性能入力!H49,2)</f>
        <v>94.72</v>
      </c>
    </row>
    <row r="13" spans="1:2" x14ac:dyDescent="0.25">
      <c r="A13">
        <f>性能入力!C50</f>
        <v>10</v>
      </c>
      <c r="B13" s="84">
        <f>ROUND(性能入力!H50,2)</f>
        <v>105.25</v>
      </c>
    </row>
    <row r="14" spans="1:2" x14ac:dyDescent="0.25">
      <c r="A14">
        <f>性能入力!C51</f>
        <v>11</v>
      </c>
      <c r="B14" s="84">
        <f>ROUND(性能入力!H51,2)</f>
        <v>115.77</v>
      </c>
    </row>
    <row r="15" spans="1:2" x14ac:dyDescent="0.25">
      <c r="A15">
        <f>性能入力!C52</f>
        <v>12</v>
      </c>
      <c r="B15" s="84">
        <f>ROUND(性能入力!H52,2)</f>
        <v>126.3</v>
      </c>
    </row>
    <row r="16" spans="1:2" x14ac:dyDescent="0.25">
      <c r="A16">
        <f>性能入力!C53</f>
        <v>13</v>
      </c>
      <c r="B16" s="84">
        <f>ROUND(性能入力!H53,2)</f>
        <v>136.82</v>
      </c>
    </row>
    <row r="17" spans="1:2" x14ac:dyDescent="0.25">
      <c r="A17">
        <f>性能入力!C54</f>
        <v>14</v>
      </c>
      <c r="B17" s="84">
        <f>ROUND(性能入力!H54,2)</f>
        <v>147.35</v>
      </c>
    </row>
    <row r="18" spans="1:2" x14ac:dyDescent="0.25">
      <c r="A18">
        <f>性能入力!C55</f>
        <v>15</v>
      </c>
      <c r="B18" s="84">
        <f>ROUND(性能入力!H55,2)</f>
        <v>157.87</v>
      </c>
    </row>
    <row r="19" spans="1:2" x14ac:dyDescent="0.25">
      <c r="A19">
        <f>性能入力!C56</f>
        <v>16</v>
      </c>
      <c r="B19" s="84">
        <f>ROUND(性能入力!H56,2)</f>
        <v>157.87</v>
      </c>
    </row>
    <row r="20" spans="1:2" x14ac:dyDescent="0.25">
      <c r="A20">
        <f>性能入力!C57</f>
        <v>17</v>
      </c>
      <c r="B20" s="84">
        <f>ROUND(性能入力!H57,2)</f>
        <v>157.87</v>
      </c>
    </row>
    <row r="21" spans="1:2" x14ac:dyDescent="0.25">
      <c r="A21">
        <f>性能入力!C58</f>
        <v>18</v>
      </c>
      <c r="B21" s="84">
        <f>ROUND(性能入力!H58,2)</f>
        <v>157.87</v>
      </c>
    </row>
    <row r="22" spans="1:2" x14ac:dyDescent="0.25">
      <c r="A22">
        <f>性能入力!C59</f>
        <v>19</v>
      </c>
      <c r="B22" s="84">
        <f>ROUND(性能入力!H59,2)</f>
        <v>157.87</v>
      </c>
    </row>
    <row r="23" spans="1:2" x14ac:dyDescent="0.25">
      <c r="A23">
        <f>性能入力!C60</f>
        <v>20</v>
      </c>
      <c r="B23" s="84">
        <f>ROUND(性能入力!H60,2)</f>
        <v>157.87</v>
      </c>
    </row>
    <row r="24" spans="1:2" x14ac:dyDescent="0.25">
      <c r="A24">
        <f>性能入力!C61</f>
        <v>21</v>
      </c>
      <c r="B24" s="84">
        <f>ROUND(性能入力!H61,2)</f>
        <v>157.87</v>
      </c>
    </row>
    <row r="25" spans="1:2" x14ac:dyDescent="0.25">
      <c r="A25">
        <f>性能入力!C62</f>
        <v>22</v>
      </c>
      <c r="B25" s="84">
        <f>ROUND(性能入力!H62,2)</f>
        <v>157.87</v>
      </c>
    </row>
    <row r="26" spans="1:2" x14ac:dyDescent="0.25">
      <c r="A26">
        <f>性能入力!C63</f>
        <v>23</v>
      </c>
      <c r="B26" s="84">
        <f>ROUND(性能入力!H63,2)</f>
        <v>157.87</v>
      </c>
    </row>
    <row r="27" spans="1:2" x14ac:dyDescent="0.25">
      <c r="A27">
        <f>性能入力!C64</f>
        <v>24</v>
      </c>
      <c r="B27" s="84">
        <f>ROUND(性能入力!H64,2)</f>
        <v>157.87</v>
      </c>
    </row>
    <row r="28" spans="1:2" x14ac:dyDescent="0.25">
      <c r="A28">
        <f>性能入力!C65</f>
        <v>25</v>
      </c>
      <c r="B28" s="84">
        <f>ROUND(性能入力!H65,2)</f>
        <v>157.87</v>
      </c>
    </row>
    <row r="29" spans="1:2" x14ac:dyDescent="0.25">
      <c r="A29">
        <f>性能入力!C66</f>
        <v>26</v>
      </c>
      <c r="B29" s="84">
        <f>ROUND(性能入力!H66,2)</f>
        <v>157.87</v>
      </c>
    </row>
    <row r="30" spans="1:2" x14ac:dyDescent="0.25">
      <c r="A30">
        <f>性能入力!C67</f>
        <v>27</v>
      </c>
      <c r="B30" s="84">
        <f>ROUND(性能入力!H67,2)</f>
        <v>157.87</v>
      </c>
    </row>
    <row r="31" spans="1:2" x14ac:dyDescent="0.25">
      <c r="A31">
        <f>性能入力!C68</f>
        <v>28</v>
      </c>
      <c r="B31" s="84">
        <f>ROUND(性能入力!H68,2)</f>
        <v>157.87</v>
      </c>
    </row>
    <row r="32" spans="1:2" x14ac:dyDescent="0.25">
      <c r="A32">
        <f>性能入力!C69</f>
        <v>29</v>
      </c>
      <c r="B32" s="84">
        <f>ROUND(性能入力!H69,2)</f>
        <v>157.87</v>
      </c>
    </row>
    <row r="33" spans="1:2" x14ac:dyDescent="0.25">
      <c r="A33">
        <f>性能入力!C70</f>
        <v>30</v>
      </c>
      <c r="B33" s="84">
        <f>ROUND(性能入力!H70,2)</f>
        <v>157.87</v>
      </c>
    </row>
    <row r="34" spans="1:2" x14ac:dyDescent="0.25">
      <c r="A34">
        <f>性能入力!C71</f>
        <v>31</v>
      </c>
      <c r="B34" s="84">
        <f>ROUND(性能入力!H71,2)</f>
        <v>157.87</v>
      </c>
    </row>
    <row r="35" spans="1:2" x14ac:dyDescent="0.25">
      <c r="A35">
        <f>性能入力!C72</f>
        <v>32</v>
      </c>
      <c r="B35" s="84">
        <f>ROUND(性能入力!H72,2)</f>
        <v>157.87</v>
      </c>
    </row>
    <row r="36" spans="1:2" x14ac:dyDescent="0.25">
      <c r="A36">
        <f>性能入力!C73</f>
        <v>33</v>
      </c>
      <c r="B36" s="84">
        <f>ROUND(性能入力!H73,2)</f>
        <v>157.87</v>
      </c>
    </row>
    <row r="37" spans="1:2" x14ac:dyDescent="0.25">
      <c r="A37">
        <f>性能入力!C74</f>
        <v>34</v>
      </c>
      <c r="B37" s="84">
        <f>ROUND(性能入力!H74,2)</f>
        <v>157.87</v>
      </c>
    </row>
    <row r="38" spans="1:2" x14ac:dyDescent="0.25">
      <c r="A38">
        <f>性能入力!C75</f>
        <v>35</v>
      </c>
      <c r="B38" s="84">
        <f>ROUND(性能入力!H75,2)</f>
        <v>157.87</v>
      </c>
    </row>
    <row r="39" spans="1:2" x14ac:dyDescent="0.25">
      <c r="A39">
        <f>性能入力!C76</f>
        <v>36</v>
      </c>
      <c r="B39" s="84">
        <f>ROUND(性能入力!H76,2)</f>
        <v>157.87</v>
      </c>
    </row>
    <row r="40" spans="1:2" x14ac:dyDescent="0.25">
      <c r="A40">
        <f>性能入力!C77</f>
        <v>37</v>
      </c>
      <c r="B40" s="84">
        <f>ROUND(性能入力!H77,2)</f>
        <v>157.87</v>
      </c>
    </row>
    <row r="41" spans="1:2" x14ac:dyDescent="0.25">
      <c r="A41">
        <f>性能入力!C78</f>
        <v>38</v>
      </c>
      <c r="B41" s="84">
        <f>ROUND(性能入力!H78,2)</f>
        <v>157.87</v>
      </c>
    </row>
    <row r="42" spans="1:2" x14ac:dyDescent="0.25">
      <c r="A42">
        <f>性能入力!C79</f>
        <v>39</v>
      </c>
      <c r="B42" s="84">
        <f>ROUND(性能入力!H79,2)</f>
        <v>157.87</v>
      </c>
    </row>
    <row r="43" spans="1:2" x14ac:dyDescent="0.25">
      <c r="A43">
        <f>性能入力!C80</f>
        <v>40</v>
      </c>
      <c r="B43" s="84">
        <f>ROUND(性能入力!H80,2)</f>
        <v>157.87</v>
      </c>
    </row>
    <row r="44" spans="1:2" x14ac:dyDescent="0.25">
      <c r="A44">
        <f>性能入力!C81</f>
        <v>41</v>
      </c>
      <c r="B44" s="84">
        <f>ROUND(性能入力!H81,2)</f>
        <v>157.87</v>
      </c>
    </row>
    <row r="45" spans="1:2" x14ac:dyDescent="0.25">
      <c r="A45">
        <f>性能入力!C82</f>
        <v>42</v>
      </c>
      <c r="B45" s="84">
        <f>ROUND(性能入力!H82,2)</f>
        <v>157.87</v>
      </c>
    </row>
    <row r="46" spans="1:2" x14ac:dyDescent="0.25">
      <c r="A46">
        <f>性能入力!C83</f>
        <v>43</v>
      </c>
      <c r="B46" s="84">
        <f>ROUND(性能入力!H83,2)</f>
        <v>157.87</v>
      </c>
    </row>
    <row r="47" spans="1:2" x14ac:dyDescent="0.25">
      <c r="A47">
        <f>性能入力!C84</f>
        <v>44</v>
      </c>
      <c r="B47" s="84">
        <f>ROUND(性能入力!H84,2)</f>
        <v>157.87</v>
      </c>
    </row>
    <row r="48" spans="1:2" x14ac:dyDescent="0.25">
      <c r="A48">
        <f>性能入力!C85</f>
        <v>45</v>
      </c>
      <c r="B48" s="84">
        <f>ROUND(性能入力!H85,2)</f>
        <v>157.87</v>
      </c>
    </row>
    <row r="49" spans="1:2" x14ac:dyDescent="0.25">
      <c r="A49">
        <f>性能入力!C86</f>
        <v>46</v>
      </c>
      <c r="B49" s="84">
        <f>ROUND(性能入力!H86,2)</f>
        <v>157.87</v>
      </c>
    </row>
    <row r="50" spans="1:2" x14ac:dyDescent="0.25">
      <c r="A50">
        <f>性能入力!C87</f>
        <v>47</v>
      </c>
      <c r="B50" s="84">
        <f>ROUND(性能入力!H87,2)</f>
        <v>157.87</v>
      </c>
    </row>
    <row r="51" spans="1:2" x14ac:dyDescent="0.25">
      <c r="A51">
        <f>性能入力!C88</f>
        <v>48</v>
      </c>
      <c r="B51" s="84">
        <f>ROUND(性能入力!H88,2)</f>
        <v>157.87</v>
      </c>
    </row>
    <row r="52" spans="1:2" x14ac:dyDescent="0.25">
      <c r="A52">
        <f>性能入力!C89</f>
        <v>49</v>
      </c>
      <c r="B52" s="84">
        <f>ROUND(性能入力!H89,2)</f>
        <v>157.87</v>
      </c>
    </row>
    <row r="53" spans="1:2" x14ac:dyDescent="0.25">
      <c r="A53">
        <f>性能入力!C90</f>
        <v>50</v>
      </c>
      <c r="B53" s="84">
        <f>ROUND(性能入力!H90,2)</f>
        <v>157.87</v>
      </c>
    </row>
    <row r="54" spans="1:2" x14ac:dyDescent="0.25">
      <c r="A54">
        <f>性能入力!C91</f>
        <v>51</v>
      </c>
      <c r="B54" s="84">
        <f>ROUND(性能入力!H91,2)</f>
        <v>160.24</v>
      </c>
    </row>
    <row r="55" spans="1:2" x14ac:dyDescent="0.25">
      <c r="A55">
        <f>性能入力!C92</f>
        <v>52</v>
      </c>
      <c r="B55" s="84">
        <f>ROUND(性能入力!H92,2)</f>
        <v>162.61000000000001</v>
      </c>
    </row>
    <row r="56" spans="1:2" x14ac:dyDescent="0.25">
      <c r="A56">
        <f>性能入力!C93</f>
        <v>53</v>
      </c>
      <c r="B56" s="84">
        <f>ROUND(性能入力!H93,2)</f>
        <v>164.97</v>
      </c>
    </row>
    <row r="57" spans="1:2" x14ac:dyDescent="0.25">
      <c r="A57">
        <f>性能入力!C94</f>
        <v>54</v>
      </c>
      <c r="B57" s="84">
        <f>ROUND(性能入力!H94,2)</f>
        <v>167.34</v>
      </c>
    </row>
    <row r="58" spans="1:2" x14ac:dyDescent="0.25">
      <c r="A58">
        <f>性能入力!C95</f>
        <v>55</v>
      </c>
      <c r="B58" s="84">
        <f>ROUND(性能入力!H95,2)</f>
        <v>169.71</v>
      </c>
    </row>
    <row r="59" spans="1:2" x14ac:dyDescent="0.25">
      <c r="A59">
        <f>性能入力!C96</f>
        <v>56</v>
      </c>
      <c r="B59" s="84">
        <f>ROUND(性能入力!H96,2)</f>
        <v>172.08</v>
      </c>
    </row>
    <row r="60" spans="1:2" x14ac:dyDescent="0.25">
      <c r="A60">
        <f>性能入力!C97</f>
        <v>57</v>
      </c>
      <c r="B60" s="84">
        <f>ROUND(性能入力!H97,2)</f>
        <v>174.45</v>
      </c>
    </row>
    <row r="61" spans="1:2" x14ac:dyDescent="0.25">
      <c r="A61">
        <f>性能入力!C98</f>
        <v>58</v>
      </c>
      <c r="B61" s="84">
        <f>ROUND(性能入力!H98,2)</f>
        <v>176.81</v>
      </c>
    </row>
    <row r="62" spans="1:2" x14ac:dyDescent="0.25">
      <c r="A62">
        <f>性能入力!C99</f>
        <v>59</v>
      </c>
      <c r="B62" s="84">
        <f>ROUND(性能入力!H99,2)</f>
        <v>179.18</v>
      </c>
    </row>
    <row r="63" spans="1:2" x14ac:dyDescent="0.25">
      <c r="A63">
        <f>性能入力!C100</f>
        <v>60</v>
      </c>
      <c r="B63" s="84">
        <f>ROUND(性能入力!H100,2)</f>
        <v>181.55</v>
      </c>
    </row>
    <row r="64" spans="1:2" x14ac:dyDescent="0.25">
      <c r="A64">
        <f>性能入力!C101</f>
        <v>61</v>
      </c>
      <c r="B64" s="84">
        <f>ROUND(性能入力!H101,2)</f>
        <v>183.92</v>
      </c>
    </row>
    <row r="65" spans="1:2" x14ac:dyDescent="0.25">
      <c r="A65">
        <f>性能入力!C102</f>
        <v>62</v>
      </c>
      <c r="B65" s="84">
        <f>ROUND(性能入力!H102,2)</f>
        <v>186.29</v>
      </c>
    </row>
    <row r="66" spans="1:2" x14ac:dyDescent="0.25">
      <c r="A66">
        <f>性能入力!C103</f>
        <v>63</v>
      </c>
      <c r="B66" s="84">
        <f>ROUND(性能入力!H103,2)</f>
        <v>188.66</v>
      </c>
    </row>
    <row r="67" spans="1:2" x14ac:dyDescent="0.25">
      <c r="A67">
        <f>性能入力!C104</f>
        <v>64</v>
      </c>
      <c r="B67" s="84">
        <f>ROUND(性能入力!H104,2)</f>
        <v>191.02</v>
      </c>
    </row>
    <row r="68" spans="1:2" x14ac:dyDescent="0.25">
      <c r="A68">
        <f>性能入力!C105</f>
        <v>65</v>
      </c>
      <c r="B68" s="84">
        <f>ROUND(性能入力!H105,2)</f>
        <v>193.39</v>
      </c>
    </row>
    <row r="69" spans="1:2" x14ac:dyDescent="0.25">
      <c r="A69">
        <f>性能入力!C106</f>
        <v>66</v>
      </c>
      <c r="B69" s="84">
        <f>ROUND(性能入力!H106,2)</f>
        <v>190.46</v>
      </c>
    </row>
    <row r="70" spans="1:2" x14ac:dyDescent="0.25">
      <c r="A70">
        <f>性能入力!C107</f>
        <v>67</v>
      </c>
      <c r="B70" s="84">
        <f>ROUND(性能入力!H107,2)</f>
        <v>187.62</v>
      </c>
    </row>
    <row r="71" spans="1:2" x14ac:dyDescent="0.25">
      <c r="A71">
        <f>性能入力!C108</f>
        <v>68</v>
      </c>
      <c r="B71" s="84">
        <f>ROUND(性能入力!H108,2)</f>
        <v>184.86</v>
      </c>
    </row>
    <row r="72" spans="1:2" x14ac:dyDescent="0.25">
      <c r="A72">
        <f>性能入力!C109</f>
        <v>69</v>
      </c>
      <c r="B72" s="84">
        <f>ROUND(性能入力!H109,2)</f>
        <v>182.18</v>
      </c>
    </row>
    <row r="73" spans="1:2" x14ac:dyDescent="0.25">
      <c r="A73">
        <f>性能入力!C110</f>
        <v>70</v>
      </c>
      <c r="B73" s="84">
        <f>ROUND(性能入力!H110,2)</f>
        <v>179.58</v>
      </c>
    </row>
    <row r="74" spans="1:2" x14ac:dyDescent="0.25">
      <c r="A74">
        <f>性能入力!C111</f>
        <v>71</v>
      </c>
      <c r="B74" s="84">
        <f>ROUND(性能入力!H111,2)</f>
        <v>177.05</v>
      </c>
    </row>
    <row r="75" spans="1:2" x14ac:dyDescent="0.25">
      <c r="A75">
        <f>性能入力!C112</f>
        <v>72</v>
      </c>
      <c r="B75" s="84">
        <f>ROUND(性能入力!H112,2)</f>
        <v>174.59</v>
      </c>
    </row>
    <row r="76" spans="1:2" x14ac:dyDescent="0.25">
      <c r="A76">
        <f>性能入力!C113</f>
        <v>73</v>
      </c>
      <c r="B76" s="84">
        <f>ROUND(性能入力!H113,2)</f>
        <v>172.2</v>
      </c>
    </row>
    <row r="77" spans="1:2" x14ac:dyDescent="0.25">
      <c r="A77">
        <f>性能入力!C114</f>
        <v>74</v>
      </c>
      <c r="B77" s="84">
        <f>ROUND(性能入力!H114,2)</f>
        <v>169.87</v>
      </c>
    </row>
    <row r="78" spans="1:2" x14ac:dyDescent="0.25">
      <c r="A78">
        <f>性能入力!C115</f>
        <v>75</v>
      </c>
      <c r="B78" s="84">
        <f>ROUND(性能入力!H115,2)</f>
        <v>167.61</v>
      </c>
    </row>
    <row r="79" spans="1:2" x14ac:dyDescent="0.25">
      <c r="A79">
        <f>性能入力!C116</f>
        <v>76</v>
      </c>
      <c r="B79" s="84">
        <f>ROUND(性能入力!H116,2)</f>
        <v>165.4</v>
      </c>
    </row>
    <row r="80" spans="1:2" x14ac:dyDescent="0.25">
      <c r="A80">
        <f>性能入力!C117</f>
        <v>77</v>
      </c>
      <c r="B80" s="84">
        <f>ROUND(性能入力!H117,2)</f>
        <v>163.25</v>
      </c>
    </row>
    <row r="81" spans="1:2" x14ac:dyDescent="0.25">
      <c r="A81">
        <f>性能入力!C118</f>
        <v>78</v>
      </c>
      <c r="B81" s="84">
        <f>ROUND(性能入力!H118,2)</f>
        <v>161.16</v>
      </c>
    </row>
    <row r="82" spans="1:2" x14ac:dyDescent="0.25">
      <c r="A82">
        <f>性能入力!C119</f>
        <v>79</v>
      </c>
      <c r="B82" s="84">
        <f>ROUND(性能入力!H119,2)</f>
        <v>159.12</v>
      </c>
    </row>
    <row r="83" spans="1:2" x14ac:dyDescent="0.25">
      <c r="A83">
        <f>性能入力!C120</f>
        <v>80</v>
      </c>
      <c r="B83" s="84">
        <f>ROUND(性能入力!H120,2)</f>
        <v>157.13</v>
      </c>
    </row>
    <row r="84" spans="1:2" x14ac:dyDescent="0.25">
      <c r="A84">
        <f>性能入力!C121</f>
        <v>81</v>
      </c>
      <c r="B84" s="84">
        <f>ROUND(性能入力!H121,2)</f>
        <v>155.19</v>
      </c>
    </row>
    <row r="85" spans="1:2" x14ac:dyDescent="0.25">
      <c r="A85">
        <f>性能入力!C122</f>
        <v>82</v>
      </c>
      <c r="B85" s="84">
        <f>ROUND(性能入力!H122,2)</f>
        <v>153.30000000000001</v>
      </c>
    </row>
    <row r="86" spans="1:2" x14ac:dyDescent="0.25">
      <c r="A86">
        <f>性能入力!C123</f>
        <v>83</v>
      </c>
      <c r="B86" s="84">
        <f>ROUND(性能入力!H123,2)</f>
        <v>151.44999999999999</v>
      </c>
    </row>
    <row r="87" spans="1:2" x14ac:dyDescent="0.25">
      <c r="A87">
        <f>性能入力!C124</f>
        <v>84</v>
      </c>
      <c r="B87" s="84">
        <f>ROUND(性能入力!H124,2)</f>
        <v>149.65</v>
      </c>
    </row>
    <row r="88" spans="1:2" x14ac:dyDescent="0.25">
      <c r="A88">
        <f>性能入力!C125</f>
        <v>85</v>
      </c>
      <c r="B88" s="84">
        <f>ROUND(性能入力!H125,2)</f>
        <v>147.88999999999999</v>
      </c>
    </row>
    <row r="89" spans="1:2" x14ac:dyDescent="0.25">
      <c r="A89">
        <f>性能入力!C126</f>
        <v>86</v>
      </c>
      <c r="B89" s="84">
        <f>ROUND(性能入力!H126,2)</f>
        <v>146.16999999999999</v>
      </c>
    </row>
    <row r="90" spans="1:2" x14ac:dyDescent="0.25">
      <c r="A90">
        <f>性能入力!C127</f>
        <v>87</v>
      </c>
      <c r="B90" s="84">
        <f>ROUND(性能入力!H127,2)</f>
        <v>144.49</v>
      </c>
    </row>
    <row r="91" spans="1:2" x14ac:dyDescent="0.25">
      <c r="A91">
        <f>性能入力!C128</f>
        <v>88</v>
      </c>
      <c r="B91" s="84">
        <f>ROUND(性能入力!H128,2)</f>
        <v>142.85</v>
      </c>
    </row>
    <row r="92" spans="1:2" x14ac:dyDescent="0.25">
      <c r="A92">
        <f>性能入力!C129</f>
        <v>89</v>
      </c>
      <c r="B92" s="84">
        <f>ROUND(性能入力!H129,2)</f>
        <v>141.24</v>
      </c>
    </row>
    <row r="93" spans="1:2" x14ac:dyDescent="0.25">
      <c r="A93">
        <f>性能入力!C130</f>
        <v>90</v>
      </c>
      <c r="B93" s="84">
        <f>ROUND(性能入力!H130,2)</f>
        <v>139.66999999999999</v>
      </c>
    </row>
    <row r="94" spans="1:2" x14ac:dyDescent="0.25">
      <c r="A94">
        <f>性能入力!C131</f>
        <v>91</v>
      </c>
      <c r="B94" s="84">
        <f>ROUND(性能入力!H131,2)</f>
        <v>138.13999999999999</v>
      </c>
    </row>
    <row r="95" spans="1:2" x14ac:dyDescent="0.25">
      <c r="A95">
        <f>性能入力!C132</f>
        <v>92</v>
      </c>
      <c r="B95" s="84">
        <f>ROUND(性能入力!H132,2)</f>
        <v>136.63999999999999</v>
      </c>
    </row>
    <row r="96" spans="1:2" x14ac:dyDescent="0.25">
      <c r="A96">
        <f>性能入力!C133</f>
        <v>93</v>
      </c>
      <c r="B96" s="84">
        <f>ROUND(性能入力!H133,2)</f>
        <v>135.16999999999999</v>
      </c>
    </row>
    <row r="97" spans="1:2" x14ac:dyDescent="0.25">
      <c r="A97">
        <f>性能入力!C134</f>
        <v>94</v>
      </c>
      <c r="B97" s="84">
        <f>ROUND(性能入力!H134,2)</f>
        <v>133.72999999999999</v>
      </c>
    </row>
    <row r="98" spans="1:2" x14ac:dyDescent="0.25">
      <c r="A98">
        <f>性能入力!C135</f>
        <v>95</v>
      </c>
      <c r="B98" s="84">
        <f>ROUND(性能入力!H135,2)</f>
        <v>132.32</v>
      </c>
    </row>
    <row r="99" spans="1:2" x14ac:dyDescent="0.25">
      <c r="A99">
        <f>性能入力!C136</f>
        <v>96</v>
      </c>
      <c r="B99" s="84">
        <f>ROUND(性能入力!H136,2)</f>
        <v>130.94</v>
      </c>
    </row>
    <row r="100" spans="1:2" x14ac:dyDescent="0.25">
      <c r="A100">
        <f>性能入力!C137</f>
        <v>97</v>
      </c>
      <c r="B100" s="84">
        <f>ROUND(性能入力!H137,2)</f>
        <v>129.59</v>
      </c>
    </row>
    <row r="101" spans="1:2" x14ac:dyDescent="0.25">
      <c r="A101">
        <f>性能入力!C138</f>
        <v>98</v>
      </c>
      <c r="B101" s="84">
        <f>ROUND(性能入力!H138,2)</f>
        <v>128.27000000000001</v>
      </c>
    </row>
    <row r="102" spans="1:2" x14ac:dyDescent="0.25">
      <c r="A102">
        <f>性能入力!C139</f>
        <v>99</v>
      </c>
      <c r="B102" s="84">
        <f>ROUND(性能入力!H139,2)</f>
        <v>126.97</v>
      </c>
    </row>
    <row r="103" spans="1:2" x14ac:dyDescent="0.25">
      <c r="A103">
        <f>性能入力!C140</f>
        <v>100</v>
      </c>
      <c r="B103" s="84">
        <f>ROUND(性能入力!H140,2)</f>
        <v>125.7</v>
      </c>
    </row>
    <row r="104" spans="1:2" x14ac:dyDescent="0.25">
      <c r="A104">
        <f>性能入力!C141</f>
        <v>101</v>
      </c>
      <c r="B104" s="84">
        <f>ROUND(性能入力!H141,2)</f>
        <v>124.46</v>
      </c>
    </row>
    <row r="105" spans="1:2" x14ac:dyDescent="0.25">
      <c r="A105">
        <f>性能入力!C142</f>
        <v>102</v>
      </c>
      <c r="B105" s="84">
        <f>ROUND(性能入力!H142,2)</f>
        <v>123.24</v>
      </c>
    </row>
    <row r="106" spans="1:2" x14ac:dyDescent="0.25">
      <c r="A106">
        <f>性能入力!C143</f>
        <v>103</v>
      </c>
      <c r="B106" s="84">
        <f>ROUND(性能入力!H143,2)</f>
        <v>122.04</v>
      </c>
    </row>
    <row r="107" spans="1:2" x14ac:dyDescent="0.25">
      <c r="A107">
        <f>性能入力!C144</f>
        <v>104</v>
      </c>
      <c r="B107" s="84">
        <f>ROUND(性能入力!H144,2)</f>
        <v>120.87</v>
      </c>
    </row>
    <row r="108" spans="1:2" x14ac:dyDescent="0.25">
      <c r="A108">
        <f>性能入力!C145</f>
        <v>105</v>
      </c>
      <c r="B108" s="84">
        <f>ROUND(性能入力!H145,2)</f>
        <v>119.72</v>
      </c>
    </row>
    <row r="109" spans="1:2" x14ac:dyDescent="0.25">
      <c r="A109">
        <f>性能入力!C146</f>
        <v>106</v>
      </c>
      <c r="B109" s="84">
        <f>ROUND(性能入力!H146,2)</f>
        <v>118.59</v>
      </c>
    </row>
    <row r="110" spans="1:2" x14ac:dyDescent="0.25">
      <c r="A110">
        <f>性能入力!C147</f>
        <v>107</v>
      </c>
      <c r="B110" s="84">
        <f>ROUND(性能入力!H147,2)</f>
        <v>117.48</v>
      </c>
    </row>
    <row r="111" spans="1:2" x14ac:dyDescent="0.25">
      <c r="A111">
        <f>性能入力!C148</f>
        <v>108</v>
      </c>
      <c r="B111" s="84">
        <f>ROUND(性能入力!H148,2)</f>
        <v>116.39</v>
      </c>
    </row>
    <row r="112" spans="1:2" x14ac:dyDescent="0.25">
      <c r="A112">
        <f>性能入力!C149</f>
        <v>109</v>
      </c>
      <c r="B112" s="84">
        <f>ROUND(性能入力!H149,2)</f>
        <v>115.33</v>
      </c>
    </row>
    <row r="113" spans="1:2" x14ac:dyDescent="0.25">
      <c r="A113">
        <f>性能入力!C150</f>
        <v>110</v>
      </c>
      <c r="B113" s="84">
        <f>ROUND(性能入力!H150,2)</f>
        <v>114.28</v>
      </c>
    </row>
    <row r="114" spans="1:2" x14ac:dyDescent="0.25">
      <c r="A114">
        <f>性能入力!C151</f>
        <v>111</v>
      </c>
      <c r="B114" s="84">
        <f>ROUND(性能入力!H151,2)</f>
        <v>113.25</v>
      </c>
    </row>
    <row r="115" spans="1:2" x14ac:dyDescent="0.25">
      <c r="A115">
        <f>性能入力!C152</f>
        <v>112</v>
      </c>
      <c r="B115" s="84">
        <f>ROUND(性能入力!H152,2)</f>
        <v>112.24</v>
      </c>
    </row>
    <row r="116" spans="1:2" x14ac:dyDescent="0.25">
      <c r="A116">
        <f>性能入力!C153</f>
        <v>113</v>
      </c>
      <c r="B116" s="84">
        <f>ROUND(性能入力!H153,2)</f>
        <v>111.24</v>
      </c>
    </row>
    <row r="117" spans="1:2" x14ac:dyDescent="0.25">
      <c r="A117">
        <f>性能入力!C154</f>
        <v>114</v>
      </c>
      <c r="B117" s="84">
        <f>ROUND(性能入力!H154,2)</f>
        <v>110.27</v>
      </c>
    </row>
    <row r="118" spans="1:2" x14ac:dyDescent="0.25">
      <c r="A118">
        <f>性能入力!C155</f>
        <v>115</v>
      </c>
      <c r="B118" s="84">
        <f>ROUND(性能入力!H155,2)</f>
        <v>109.31</v>
      </c>
    </row>
    <row r="119" spans="1:2" x14ac:dyDescent="0.25">
      <c r="A119">
        <f>性能入力!C156</f>
        <v>116</v>
      </c>
      <c r="B119" s="84">
        <f>ROUND(性能入力!H156,2)</f>
        <v>108.37</v>
      </c>
    </row>
    <row r="120" spans="1:2" x14ac:dyDescent="0.25">
      <c r="A120">
        <f>性能入力!C157</f>
        <v>117</v>
      </c>
      <c r="B120" s="84">
        <f>ROUND(性能入力!H157,2)</f>
        <v>107.44</v>
      </c>
    </row>
    <row r="121" spans="1:2" x14ac:dyDescent="0.25">
      <c r="A121">
        <f>性能入力!C158</f>
        <v>118</v>
      </c>
      <c r="B121" s="84">
        <f>ROUND(性能入力!H158,2)</f>
        <v>106.53</v>
      </c>
    </row>
    <row r="122" spans="1:2" x14ac:dyDescent="0.25">
      <c r="A122">
        <f>性能入力!C159</f>
        <v>119</v>
      </c>
      <c r="B122" s="84">
        <f>ROUND(性能入力!H159,2)</f>
        <v>105.63</v>
      </c>
    </row>
    <row r="123" spans="1:2" x14ac:dyDescent="0.25">
      <c r="A123">
        <f>性能入力!C160</f>
        <v>120</v>
      </c>
      <c r="B123" s="84">
        <f>ROUND(性能入力!H160,2)</f>
        <v>104.75</v>
      </c>
    </row>
    <row r="124" spans="1:2" x14ac:dyDescent="0.25">
      <c r="A124">
        <f>性能入力!C161</f>
        <v>121</v>
      </c>
      <c r="B124" s="84">
        <f>ROUND(性能入力!H161,2)</f>
        <v>103.89</v>
      </c>
    </row>
    <row r="125" spans="1:2" x14ac:dyDescent="0.25">
      <c r="A125">
        <f>性能入力!C162</f>
        <v>122</v>
      </c>
      <c r="B125" s="84">
        <f>ROUND(性能入力!H162,2)</f>
        <v>103.04</v>
      </c>
    </row>
    <row r="126" spans="1:2" x14ac:dyDescent="0.25">
      <c r="A126">
        <f>性能入力!C163</f>
        <v>123</v>
      </c>
      <c r="B126" s="84">
        <f>ROUND(性能入力!H163,2)</f>
        <v>102.2</v>
      </c>
    </row>
    <row r="127" spans="1:2" x14ac:dyDescent="0.25">
      <c r="A127">
        <f>性能入力!C164</f>
        <v>124</v>
      </c>
      <c r="B127" s="84">
        <f>ROUND(性能入力!H164,2)</f>
        <v>101.37</v>
      </c>
    </row>
    <row r="128" spans="1:2" x14ac:dyDescent="0.25">
      <c r="A128">
        <f>性能入力!C165</f>
        <v>125</v>
      </c>
      <c r="B128" s="84">
        <f>ROUND(性能入力!H165,2)</f>
        <v>100.56</v>
      </c>
    </row>
    <row r="129" spans="1:2" x14ac:dyDescent="0.25">
      <c r="A129">
        <f>性能入力!C166</f>
        <v>126</v>
      </c>
      <c r="B129" s="84">
        <f>ROUND(性能入力!H166,2)</f>
        <v>99.77</v>
      </c>
    </row>
    <row r="130" spans="1:2" x14ac:dyDescent="0.25">
      <c r="A130">
        <f>性能入力!C167</f>
        <v>127</v>
      </c>
      <c r="B130" s="84">
        <f>ROUND(性能入力!H167,2)</f>
        <v>98.98</v>
      </c>
    </row>
    <row r="131" spans="1:2" x14ac:dyDescent="0.25">
      <c r="A131">
        <f>性能入力!C168</f>
        <v>128</v>
      </c>
      <c r="B131" s="84">
        <f>ROUND(性能入力!H168,2)</f>
        <v>98.21</v>
      </c>
    </row>
    <row r="132" spans="1:2" x14ac:dyDescent="0.25">
      <c r="A132">
        <f>性能入力!C169</f>
        <v>129</v>
      </c>
      <c r="B132" s="84">
        <f>ROUND(性能入力!H169,2)</f>
        <v>97.45</v>
      </c>
    </row>
    <row r="133" spans="1:2" x14ac:dyDescent="0.25">
      <c r="A133">
        <f>性能入力!C170</f>
        <v>130</v>
      </c>
      <c r="B133" s="84">
        <f>ROUND(性能入力!H170,2)</f>
        <v>96.7</v>
      </c>
    </row>
    <row r="134" spans="1:2" x14ac:dyDescent="0.25">
      <c r="A134">
        <f>性能入力!C171</f>
        <v>131</v>
      </c>
      <c r="B134" s="84">
        <f>ROUND(性能入力!H171,2)</f>
        <v>95.96</v>
      </c>
    </row>
    <row r="135" spans="1:2" x14ac:dyDescent="0.25">
      <c r="A135">
        <f>性能入力!C172</f>
        <v>132</v>
      </c>
      <c r="B135" s="84">
        <f>ROUND(性能入力!H172,2)</f>
        <v>95.23</v>
      </c>
    </row>
    <row r="136" spans="1:2" x14ac:dyDescent="0.25">
      <c r="A136">
        <f>性能入力!C173</f>
        <v>133</v>
      </c>
      <c r="B136" s="84">
        <f>ROUND(性能入力!H173,2)</f>
        <v>94.51</v>
      </c>
    </row>
    <row r="137" spans="1:2" x14ac:dyDescent="0.25">
      <c r="A137">
        <f>性能入力!C174</f>
        <v>134</v>
      </c>
      <c r="B137" s="84">
        <f>ROUND(性能入力!H174,2)</f>
        <v>93.81</v>
      </c>
    </row>
    <row r="138" spans="1:2" x14ac:dyDescent="0.25">
      <c r="A138">
        <f>性能入力!C175</f>
        <v>135</v>
      </c>
      <c r="B138" s="84">
        <f>ROUND(性能入力!H175,2)</f>
        <v>93.11</v>
      </c>
    </row>
    <row r="139" spans="1:2" x14ac:dyDescent="0.25">
      <c r="A139">
        <f>性能入力!C176</f>
        <v>136</v>
      </c>
      <c r="B139" s="84">
        <f>ROUND(性能入力!H176,2)</f>
        <v>92.43</v>
      </c>
    </row>
    <row r="140" spans="1:2" x14ac:dyDescent="0.25">
      <c r="A140">
        <f>性能入力!C177</f>
        <v>137</v>
      </c>
      <c r="B140" s="84">
        <f>ROUND(性能入力!H177,2)</f>
        <v>91.75</v>
      </c>
    </row>
    <row r="141" spans="1:2" x14ac:dyDescent="0.25">
      <c r="A141">
        <f>性能入力!C178</f>
        <v>138</v>
      </c>
      <c r="B141" s="84">
        <f>ROUND(性能入力!H178,2)</f>
        <v>91.09</v>
      </c>
    </row>
    <row r="142" spans="1:2" x14ac:dyDescent="0.25">
      <c r="A142">
        <f>性能入力!C179</f>
        <v>139</v>
      </c>
      <c r="B142" s="84">
        <f>ROUND(性能入力!H179,2)</f>
        <v>90.43</v>
      </c>
    </row>
    <row r="143" spans="1:2" x14ac:dyDescent="0.25">
      <c r="A143">
        <f>性能入力!C180</f>
        <v>140</v>
      </c>
      <c r="B143" s="84">
        <f>ROUND(性能入力!H180,2)</f>
        <v>89.79</v>
      </c>
    </row>
    <row r="144" spans="1:2" x14ac:dyDescent="0.25">
      <c r="A144">
        <f>性能入力!C181</f>
        <v>141</v>
      </c>
      <c r="B144" s="84">
        <f>ROUND(性能入力!H181,2)</f>
        <v>89.15</v>
      </c>
    </row>
    <row r="145" spans="1:2" x14ac:dyDescent="0.25">
      <c r="A145">
        <f>性能入力!C182</f>
        <v>142</v>
      </c>
      <c r="B145" s="84">
        <f>ROUND(性能入力!H182,2)</f>
        <v>88.52</v>
      </c>
    </row>
    <row r="146" spans="1:2" x14ac:dyDescent="0.25">
      <c r="A146">
        <f>性能入力!C183</f>
        <v>143</v>
      </c>
      <c r="B146" s="84">
        <f>ROUND(性能入力!H183,2)</f>
        <v>87.91</v>
      </c>
    </row>
    <row r="147" spans="1:2" x14ac:dyDescent="0.25">
      <c r="A147">
        <f>性能入力!C184</f>
        <v>144</v>
      </c>
      <c r="B147" s="84">
        <f>ROUND(性能入力!H184,2)</f>
        <v>87.29</v>
      </c>
    </row>
    <row r="148" spans="1:2" x14ac:dyDescent="0.25">
      <c r="A148">
        <f>性能入力!C185</f>
        <v>145</v>
      </c>
      <c r="B148" s="84">
        <f>ROUND(性能入力!H185,2)</f>
        <v>86.69</v>
      </c>
    </row>
    <row r="149" spans="1:2" x14ac:dyDescent="0.25">
      <c r="A149">
        <f>性能入力!C186</f>
        <v>146</v>
      </c>
      <c r="B149" s="84">
        <f>ROUND(性能入力!H186,2)</f>
        <v>86.1</v>
      </c>
    </row>
    <row r="150" spans="1:2" x14ac:dyDescent="0.25">
      <c r="A150">
        <f>性能入力!C187</f>
        <v>147</v>
      </c>
      <c r="B150" s="84">
        <f>ROUND(性能入力!H187,2)</f>
        <v>85.51</v>
      </c>
    </row>
    <row r="151" spans="1:2" x14ac:dyDescent="0.25">
      <c r="A151">
        <f>性能入力!C188</f>
        <v>148</v>
      </c>
      <c r="B151" s="84">
        <f>ROUND(性能入力!H188,2)</f>
        <v>84.94</v>
      </c>
    </row>
    <row r="152" spans="1:2" x14ac:dyDescent="0.25">
      <c r="A152">
        <f>性能入力!C189</f>
        <v>149</v>
      </c>
      <c r="B152" s="84">
        <f>ROUND(性能入力!H189,2)</f>
        <v>84.37</v>
      </c>
    </row>
    <row r="153" spans="1:2" x14ac:dyDescent="0.25">
      <c r="A153">
        <f>性能入力!C190</f>
        <v>150</v>
      </c>
      <c r="B153" s="84">
        <f>ROUND(性能入力!H190,2)</f>
        <v>83.8</v>
      </c>
    </row>
  </sheetData>
  <phoneticPr fontId="3"/>
  <pageMargins left="0.7" right="0.7" top="0.75" bottom="0.75" header="0.3" footer="0.3"/>
  <pageSetup paperSize="8"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FF0000"/>
  </sheetPr>
  <dimension ref="A1:B153"/>
  <sheetViews>
    <sheetView zoomScaleNormal="100" workbookViewId="0">
      <pane ySplit="2" topLeftCell="A3" activePane="bottomLeft" state="frozen"/>
      <selection pane="bottomLeft"/>
    </sheetView>
  </sheetViews>
  <sheetFormatPr defaultColWidth="9.125" defaultRowHeight="11.4" x14ac:dyDescent="0.25"/>
  <sheetData>
    <row r="1" spans="1:2" x14ac:dyDescent="0.25">
      <c r="A1" t="s">
        <v>89</v>
      </c>
    </row>
    <row r="2" spans="1:2" x14ac:dyDescent="0.25">
      <c r="A2" t="s">
        <v>0</v>
      </c>
    </row>
    <row r="3" spans="1:2" x14ac:dyDescent="0.25">
      <c r="A3">
        <f>性能入力!C40</f>
        <v>0</v>
      </c>
      <c r="B3" s="84">
        <f>ROUND(性能入力!J40,2)</f>
        <v>1</v>
      </c>
    </row>
    <row r="4" spans="1:2" x14ac:dyDescent="0.25">
      <c r="A4">
        <f>性能入力!C41</f>
        <v>1</v>
      </c>
      <c r="B4" s="84">
        <f>ROUND(性能入力!J41,2)</f>
        <v>2.63</v>
      </c>
    </row>
    <row r="5" spans="1:2" x14ac:dyDescent="0.25">
      <c r="A5">
        <f>性能入力!C42</f>
        <v>2</v>
      </c>
      <c r="B5" s="84">
        <f>ROUND(性能入力!J42,2)</f>
        <v>5.26</v>
      </c>
    </row>
    <row r="6" spans="1:2" x14ac:dyDescent="0.25">
      <c r="A6">
        <f>性能入力!C43</f>
        <v>3</v>
      </c>
      <c r="B6" s="84">
        <f>ROUND(性能入力!J43,2)</f>
        <v>7.89</v>
      </c>
    </row>
    <row r="7" spans="1:2" x14ac:dyDescent="0.25">
      <c r="A7">
        <f>性能入力!C44</f>
        <v>4</v>
      </c>
      <c r="B7" s="84">
        <f>ROUND(性能入力!J44,2)</f>
        <v>10.52</v>
      </c>
    </row>
    <row r="8" spans="1:2" x14ac:dyDescent="0.25">
      <c r="A8">
        <f>性能入力!C45</f>
        <v>5</v>
      </c>
      <c r="B8" s="84">
        <f>ROUND(性能入力!J45,2)</f>
        <v>13.16</v>
      </c>
    </row>
    <row r="9" spans="1:2" x14ac:dyDescent="0.25">
      <c r="A9">
        <f>性能入力!C46</f>
        <v>6</v>
      </c>
      <c r="B9" s="84">
        <f>ROUND(性能入力!J46,2)</f>
        <v>15.79</v>
      </c>
    </row>
    <row r="10" spans="1:2" x14ac:dyDescent="0.25">
      <c r="A10">
        <f>性能入力!C47</f>
        <v>7</v>
      </c>
      <c r="B10" s="84">
        <f>ROUND(性能入力!J47,2)</f>
        <v>18.420000000000002</v>
      </c>
    </row>
    <row r="11" spans="1:2" x14ac:dyDescent="0.25">
      <c r="A11">
        <f>性能入力!C48</f>
        <v>8</v>
      </c>
      <c r="B11" s="84">
        <f>ROUND(性能入力!J48,2)</f>
        <v>21.05</v>
      </c>
    </row>
    <row r="12" spans="1:2" x14ac:dyDescent="0.25">
      <c r="A12">
        <f>性能入力!C49</f>
        <v>9</v>
      </c>
      <c r="B12" s="84">
        <f>ROUND(性能入力!J49,2)</f>
        <v>23.68</v>
      </c>
    </row>
    <row r="13" spans="1:2" x14ac:dyDescent="0.25">
      <c r="A13">
        <f>性能入力!C50</f>
        <v>10</v>
      </c>
      <c r="B13" s="84">
        <f>ROUND(性能入力!J50,2)</f>
        <v>26.31</v>
      </c>
    </row>
    <row r="14" spans="1:2" x14ac:dyDescent="0.25">
      <c r="A14">
        <f>性能入力!C51</f>
        <v>11</v>
      </c>
      <c r="B14" s="84">
        <f>ROUND(性能入力!J51,2)</f>
        <v>28.94</v>
      </c>
    </row>
    <row r="15" spans="1:2" x14ac:dyDescent="0.25">
      <c r="A15">
        <f>性能入力!C52</f>
        <v>12</v>
      </c>
      <c r="B15" s="84">
        <f>ROUND(性能入力!J52,2)</f>
        <v>31.57</v>
      </c>
    </row>
    <row r="16" spans="1:2" x14ac:dyDescent="0.25">
      <c r="A16">
        <f>性能入力!C53</f>
        <v>13</v>
      </c>
      <c r="B16" s="84">
        <f>ROUND(性能入力!J53,2)</f>
        <v>34.21</v>
      </c>
    </row>
    <row r="17" spans="1:2" x14ac:dyDescent="0.25">
      <c r="A17">
        <f>性能入力!C54</f>
        <v>14</v>
      </c>
      <c r="B17" s="84">
        <f>ROUND(性能入力!J54,2)</f>
        <v>36.840000000000003</v>
      </c>
    </row>
    <row r="18" spans="1:2" x14ac:dyDescent="0.25">
      <c r="A18">
        <f>性能入力!C55</f>
        <v>15</v>
      </c>
      <c r="B18" s="84">
        <f>ROUND(性能入力!J55,2)</f>
        <v>39.47</v>
      </c>
    </row>
    <row r="19" spans="1:2" x14ac:dyDescent="0.25">
      <c r="A19">
        <f>性能入力!C56</f>
        <v>16</v>
      </c>
      <c r="B19" s="84">
        <f>ROUND(性能入力!J56,2)</f>
        <v>39.47</v>
      </c>
    </row>
    <row r="20" spans="1:2" x14ac:dyDescent="0.25">
      <c r="A20">
        <f>性能入力!C57</f>
        <v>17</v>
      </c>
      <c r="B20" s="84">
        <f>ROUND(性能入力!J57,2)</f>
        <v>39.47</v>
      </c>
    </row>
    <row r="21" spans="1:2" x14ac:dyDescent="0.25">
      <c r="A21">
        <f>性能入力!C58</f>
        <v>18</v>
      </c>
      <c r="B21" s="84">
        <f>ROUND(性能入力!J58,2)</f>
        <v>39.47</v>
      </c>
    </row>
    <row r="22" spans="1:2" x14ac:dyDescent="0.25">
      <c r="A22">
        <f>性能入力!C59</f>
        <v>19</v>
      </c>
      <c r="B22" s="84">
        <f>ROUND(性能入力!J59,2)</f>
        <v>39.47</v>
      </c>
    </row>
    <row r="23" spans="1:2" x14ac:dyDescent="0.25">
      <c r="A23">
        <f>性能入力!C60</f>
        <v>20</v>
      </c>
      <c r="B23" s="84">
        <f>ROUND(性能入力!J60,2)</f>
        <v>39.47</v>
      </c>
    </row>
    <row r="24" spans="1:2" x14ac:dyDescent="0.25">
      <c r="A24">
        <f>性能入力!C61</f>
        <v>21</v>
      </c>
      <c r="B24" s="84">
        <f>ROUND(性能入力!J61,2)</f>
        <v>39.47</v>
      </c>
    </row>
    <row r="25" spans="1:2" x14ac:dyDescent="0.25">
      <c r="A25">
        <f>性能入力!C62</f>
        <v>22</v>
      </c>
      <c r="B25" s="84">
        <f>ROUND(性能入力!J62,2)</f>
        <v>39.47</v>
      </c>
    </row>
    <row r="26" spans="1:2" x14ac:dyDescent="0.25">
      <c r="A26">
        <f>性能入力!C63</f>
        <v>23</v>
      </c>
      <c r="B26" s="84">
        <f>ROUND(性能入力!J63,2)</f>
        <v>39.47</v>
      </c>
    </row>
    <row r="27" spans="1:2" x14ac:dyDescent="0.25">
      <c r="A27">
        <f>性能入力!C64</f>
        <v>24</v>
      </c>
      <c r="B27" s="84">
        <f>ROUND(性能入力!J64,2)</f>
        <v>39.47</v>
      </c>
    </row>
    <row r="28" spans="1:2" x14ac:dyDescent="0.25">
      <c r="A28">
        <f>性能入力!C65</f>
        <v>25</v>
      </c>
      <c r="B28" s="84">
        <f>ROUND(性能入力!J65,2)</f>
        <v>39.47</v>
      </c>
    </row>
    <row r="29" spans="1:2" x14ac:dyDescent="0.25">
      <c r="A29">
        <f>性能入力!C66</f>
        <v>26</v>
      </c>
      <c r="B29" s="84">
        <f>ROUND(性能入力!J66,2)</f>
        <v>39.47</v>
      </c>
    </row>
    <row r="30" spans="1:2" x14ac:dyDescent="0.25">
      <c r="A30">
        <f>性能入力!C67</f>
        <v>27</v>
      </c>
      <c r="B30" s="84">
        <f>ROUND(性能入力!J67,2)</f>
        <v>39.47</v>
      </c>
    </row>
    <row r="31" spans="1:2" x14ac:dyDescent="0.25">
      <c r="A31">
        <f>性能入力!C68</f>
        <v>28</v>
      </c>
      <c r="B31" s="84">
        <f>ROUND(性能入力!J68,2)</f>
        <v>39.47</v>
      </c>
    </row>
    <row r="32" spans="1:2" x14ac:dyDescent="0.25">
      <c r="A32">
        <f>性能入力!C69</f>
        <v>29</v>
      </c>
      <c r="B32" s="84">
        <f>ROUND(性能入力!J69,2)</f>
        <v>39.47</v>
      </c>
    </row>
    <row r="33" spans="1:2" x14ac:dyDescent="0.25">
      <c r="A33">
        <f>性能入力!C70</f>
        <v>30</v>
      </c>
      <c r="B33" s="84">
        <f>ROUND(性能入力!J70,2)</f>
        <v>39.47</v>
      </c>
    </row>
    <row r="34" spans="1:2" x14ac:dyDescent="0.25">
      <c r="A34">
        <f>性能入力!C71</f>
        <v>31</v>
      </c>
      <c r="B34" s="84">
        <f>ROUND(性能入力!J71,2)</f>
        <v>39.47</v>
      </c>
    </row>
    <row r="35" spans="1:2" x14ac:dyDescent="0.25">
      <c r="A35">
        <f>性能入力!C72</f>
        <v>32</v>
      </c>
      <c r="B35" s="84">
        <f>ROUND(性能入力!J72,2)</f>
        <v>39.47</v>
      </c>
    </row>
    <row r="36" spans="1:2" x14ac:dyDescent="0.25">
      <c r="A36">
        <f>性能入力!C73</f>
        <v>33</v>
      </c>
      <c r="B36" s="84">
        <f>ROUND(性能入力!J73,2)</f>
        <v>39.47</v>
      </c>
    </row>
    <row r="37" spans="1:2" x14ac:dyDescent="0.25">
      <c r="A37">
        <f>性能入力!C74</f>
        <v>34</v>
      </c>
      <c r="B37" s="84">
        <f>ROUND(性能入力!J74,2)</f>
        <v>39.47</v>
      </c>
    </row>
    <row r="38" spans="1:2" x14ac:dyDescent="0.25">
      <c r="A38">
        <f>性能入力!C75</f>
        <v>35</v>
      </c>
      <c r="B38" s="84">
        <f>ROUND(性能入力!J75,2)</f>
        <v>39.47</v>
      </c>
    </row>
    <row r="39" spans="1:2" x14ac:dyDescent="0.25">
      <c r="A39">
        <f>性能入力!C76</f>
        <v>36</v>
      </c>
      <c r="B39" s="84">
        <f>ROUND(性能入力!J76,2)</f>
        <v>39.47</v>
      </c>
    </row>
    <row r="40" spans="1:2" x14ac:dyDescent="0.25">
      <c r="A40">
        <f>性能入力!C77</f>
        <v>37</v>
      </c>
      <c r="B40" s="84">
        <f>ROUND(性能入力!J77,2)</f>
        <v>39.47</v>
      </c>
    </row>
    <row r="41" spans="1:2" x14ac:dyDescent="0.25">
      <c r="A41">
        <f>性能入力!C78</f>
        <v>38</v>
      </c>
      <c r="B41" s="84">
        <f>ROUND(性能入力!J78,2)</f>
        <v>39.47</v>
      </c>
    </row>
    <row r="42" spans="1:2" x14ac:dyDescent="0.25">
      <c r="A42">
        <f>性能入力!C79</f>
        <v>39</v>
      </c>
      <c r="B42" s="84">
        <f>ROUND(性能入力!J79,2)</f>
        <v>39.47</v>
      </c>
    </row>
    <row r="43" spans="1:2" x14ac:dyDescent="0.25">
      <c r="A43">
        <f>性能入力!C80</f>
        <v>40</v>
      </c>
      <c r="B43" s="84">
        <f>ROUND(性能入力!J80,2)</f>
        <v>39.47</v>
      </c>
    </row>
    <row r="44" spans="1:2" x14ac:dyDescent="0.25">
      <c r="A44">
        <f>性能入力!C81</f>
        <v>41</v>
      </c>
      <c r="B44" s="84">
        <f>ROUND(性能入力!J81,2)</f>
        <v>39.47</v>
      </c>
    </row>
    <row r="45" spans="1:2" x14ac:dyDescent="0.25">
      <c r="A45">
        <f>性能入力!C82</f>
        <v>42</v>
      </c>
      <c r="B45" s="84">
        <f>ROUND(性能入力!J82,2)</f>
        <v>39.47</v>
      </c>
    </row>
    <row r="46" spans="1:2" x14ac:dyDescent="0.25">
      <c r="A46">
        <f>性能入力!C83</f>
        <v>43</v>
      </c>
      <c r="B46" s="84">
        <f>ROUND(性能入力!J83,2)</f>
        <v>39.47</v>
      </c>
    </row>
    <row r="47" spans="1:2" x14ac:dyDescent="0.25">
      <c r="A47">
        <f>性能入力!C84</f>
        <v>44</v>
      </c>
      <c r="B47" s="84">
        <f>ROUND(性能入力!J84,2)</f>
        <v>39.47</v>
      </c>
    </row>
    <row r="48" spans="1:2" x14ac:dyDescent="0.25">
      <c r="A48">
        <f>性能入力!C85</f>
        <v>45</v>
      </c>
      <c r="B48" s="84">
        <f>ROUND(性能入力!J85,2)</f>
        <v>39.47</v>
      </c>
    </row>
    <row r="49" spans="1:2" x14ac:dyDescent="0.25">
      <c r="A49">
        <f>性能入力!C86</f>
        <v>46</v>
      </c>
      <c r="B49" s="84">
        <f>ROUND(性能入力!J86,2)</f>
        <v>39.47</v>
      </c>
    </row>
    <row r="50" spans="1:2" x14ac:dyDescent="0.25">
      <c r="A50">
        <f>性能入力!C87</f>
        <v>47</v>
      </c>
      <c r="B50" s="84">
        <f>ROUND(性能入力!J87,2)</f>
        <v>39.47</v>
      </c>
    </row>
    <row r="51" spans="1:2" x14ac:dyDescent="0.25">
      <c r="A51">
        <f>性能入力!C88</f>
        <v>48</v>
      </c>
      <c r="B51" s="84">
        <f>ROUND(性能入力!J88,2)</f>
        <v>39.47</v>
      </c>
    </row>
    <row r="52" spans="1:2" x14ac:dyDescent="0.25">
      <c r="A52">
        <f>性能入力!C89</f>
        <v>49</v>
      </c>
      <c r="B52" s="84">
        <f>ROUND(性能入力!J89,2)</f>
        <v>39.47</v>
      </c>
    </row>
    <row r="53" spans="1:2" x14ac:dyDescent="0.25">
      <c r="A53">
        <f>性能入力!C90</f>
        <v>50</v>
      </c>
      <c r="B53" s="84">
        <f>ROUND(性能入力!J90,2)</f>
        <v>39.47</v>
      </c>
    </row>
    <row r="54" spans="1:2" x14ac:dyDescent="0.25">
      <c r="A54">
        <f>性能入力!C91</f>
        <v>51</v>
      </c>
      <c r="B54" s="84">
        <f>ROUND(性能入力!J91,2)</f>
        <v>39.47</v>
      </c>
    </row>
    <row r="55" spans="1:2" x14ac:dyDescent="0.25">
      <c r="A55">
        <f>性能入力!C92</f>
        <v>52</v>
      </c>
      <c r="B55" s="84">
        <f>ROUND(性能入力!J92,2)</f>
        <v>39.47</v>
      </c>
    </row>
    <row r="56" spans="1:2" x14ac:dyDescent="0.25">
      <c r="A56">
        <f>性能入力!C93</f>
        <v>53</v>
      </c>
      <c r="B56" s="84">
        <f>ROUND(性能入力!J93,2)</f>
        <v>39.47</v>
      </c>
    </row>
    <row r="57" spans="1:2" x14ac:dyDescent="0.25">
      <c r="A57">
        <f>性能入力!C94</f>
        <v>54</v>
      </c>
      <c r="B57" s="84">
        <f>ROUND(性能入力!J94,2)</f>
        <v>39.47</v>
      </c>
    </row>
    <row r="58" spans="1:2" x14ac:dyDescent="0.25">
      <c r="A58">
        <f>性能入力!C95</f>
        <v>55</v>
      </c>
      <c r="B58" s="84">
        <f>ROUND(性能入力!J95,2)</f>
        <v>39.47</v>
      </c>
    </row>
    <row r="59" spans="1:2" x14ac:dyDescent="0.25">
      <c r="A59">
        <f>性能入力!C96</f>
        <v>56</v>
      </c>
      <c r="B59" s="84">
        <f>ROUND(性能入力!J96,2)</f>
        <v>39.47</v>
      </c>
    </row>
    <row r="60" spans="1:2" x14ac:dyDescent="0.25">
      <c r="A60">
        <f>性能入力!C97</f>
        <v>57</v>
      </c>
      <c r="B60" s="84">
        <f>ROUND(性能入力!J97,2)</f>
        <v>39.47</v>
      </c>
    </row>
    <row r="61" spans="1:2" x14ac:dyDescent="0.25">
      <c r="A61">
        <f>性能入力!C98</f>
        <v>58</v>
      </c>
      <c r="B61" s="84">
        <f>ROUND(性能入力!J98,2)</f>
        <v>39.47</v>
      </c>
    </row>
    <row r="62" spans="1:2" x14ac:dyDescent="0.25">
      <c r="A62">
        <f>性能入力!C99</f>
        <v>59</v>
      </c>
      <c r="B62" s="84">
        <f>ROUND(性能入力!J99,2)</f>
        <v>39.47</v>
      </c>
    </row>
    <row r="63" spans="1:2" x14ac:dyDescent="0.25">
      <c r="A63">
        <f>性能入力!C100</f>
        <v>60</v>
      </c>
      <c r="B63" s="84">
        <f>ROUND(性能入力!J100,2)</f>
        <v>39.47</v>
      </c>
    </row>
    <row r="64" spans="1:2" x14ac:dyDescent="0.25">
      <c r="A64">
        <f>性能入力!C101</f>
        <v>61</v>
      </c>
      <c r="B64" s="84">
        <f>ROUND(性能入力!J101,2)</f>
        <v>39.47</v>
      </c>
    </row>
    <row r="65" spans="1:2" x14ac:dyDescent="0.25">
      <c r="A65">
        <f>性能入力!C102</f>
        <v>62</v>
      </c>
      <c r="B65" s="84">
        <f>ROUND(性能入力!J102,2)</f>
        <v>39.47</v>
      </c>
    </row>
    <row r="66" spans="1:2" x14ac:dyDescent="0.25">
      <c r="A66">
        <f>性能入力!C103</f>
        <v>63</v>
      </c>
      <c r="B66" s="84">
        <f>ROUND(性能入力!J103,2)</f>
        <v>39.47</v>
      </c>
    </row>
    <row r="67" spans="1:2" x14ac:dyDescent="0.25">
      <c r="A67">
        <f>性能入力!C104</f>
        <v>64</v>
      </c>
      <c r="B67" s="84">
        <f>ROUND(性能入力!J104,2)</f>
        <v>39.47</v>
      </c>
    </row>
    <row r="68" spans="1:2" x14ac:dyDescent="0.25">
      <c r="A68">
        <f>性能入力!C105</f>
        <v>65</v>
      </c>
      <c r="B68" s="84">
        <f>ROUND(性能入力!J105,2)</f>
        <v>39.47</v>
      </c>
    </row>
    <row r="69" spans="1:2" x14ac:dyDescent="0.25">
      <c r="A69">
        <f>性能入力!C106</f>
        <v>66</v>
      </c>
      <c r="B69" s="84">
        <f>ROUND(性能入力!J106,2)</f>
        <v>38.869999999999997</v>
      </c>
    </row>
    <row r="70" spans="1:2" x14ac:dyDescent="0.25">
      <c r="A70">
        <f>性能入力!C107</f>
        <v>67</v>
      </c>
      <c r="B70" s="84">
        <f>ROUND(性能入力!J107,2)</f>
        <v>38.29</v>
      </c>
    </row>
    <row r="71" spans="1:2" x14ac:dyDescent="0.25">
      <c r="A71">
        <f>性能入力!C108</f>
        <v>68</v>
      </c>
      <c r="B71" s="84">
        <f>ROUND(性能入力!J108,2)</f>
        <v>37.729999999999997</v>
      </c>
    </row>
    <row r="72" spans="1:2" x14ac:dyDescent="0.25">
      <c r="A72">
        <f>性能入力!C109</f>
        <v>69</v>
      </c>
      <c r="B72" s="84">
        <f>ROUND(性能入力!J109,2)</f>
        <v>37.18</v>
      </c>
    </row>
    <row r="73" spans="1:2" x14ac:dyDescent="0.25">
      <c r="A73">
        <f>性能入力!C110</f>
        <v>70</v>
      </c>
      <c r="B73" s="84">
        <f>ROUND(性能入力!J110,2)</f>
        <v>36.65</v>
      </c>
    </row>
    <row r="74" spans="1:2" x14ac:dyDescent="0.25">
      <c r="A74">
        <f>性能入力!C111</f>
        <v>71</v>
      </c>
      <c r="B74" s="84">
        <f>ROUND(性能入力!J111,2)</f>
        <v>36.130000000000003</v>
      </c>
    </row>
    <row r="75" spans="1:2" x14ac:dyDescent="0.25">
      <c r="A75">
        <f>性能入力!C112</f>
        <v>72</v>
      </c>
      <c r="B75" s="84">
        <f>ROUND(性能入力!J112,2)</f>
        <v>35.630000000000003</v>
      </c>
    </row>
    <row r="76" spans="1:2" x14ac:dyDescent="0.25">
      <c r="A76">
        <f>性能入力!C113</f>
        <v>73</v>
      </c>
      <c r="B76" s="84">
        <f>ROUND(性能入力!J113,2)</f>
        <v>35.14</v>
      </c>
    </row>
    <row r="77" spans="1:2" x14ac:dyDescent="0.25">
      <c r="A77">
        <f>性能入力!C114</f>
        <v>74</v>
      </c>
      <c r="B77" s="84">
        <f>ROUND(性能入力!J114,2)</f>
        <v>34.67</v>
      </c>
    </row>
    <row r="78" spans="1:2" x14ac:dyDescent="0.25">
      <c r="A78">
        <f>性能入力!C115</f>
        <v>75</v>
      </c>
      <c r="B78" s="84">
        <f>ROUND(性能入力!J115,2)</f>
        <v>34.21</v>
      </c>
    </row>
    <row r="79" spans="1:2" x14ac:dyDescent="0.25">
      <c r="A79">
        <f>性能入力!C116</f>
        <v>76</v>
      </c>
      <c r="B79" s="84">
        <f>ROUND(性能入力!J116,2)</f>
        <v>33.76</v>
      </c>
    </row>
    <row r="80" spans="1:2" x14ac:dyDescent="0.25">
      <c r="A80">
        <f>性能入力!C117</f>
        <v>77</v>
      </c>
      <c r="B80" s="84">
        <f>ROUND(性能入力!J117,2)</f>
        <v>33.32</v>
      </c>
    </row>
    <row r="81" spans="1:2" x14ac:dyDescent="0.25">
      <c r="A81">
        <f>性能入力!C118</f>
        <v>78</v>
      </c>
      <c r="B81" s="84">
        <f>ROUND(性能入力!J118,2)</f>
        <v>32.89</v>
      </c>
    </row>
    <row r="82" spans="1:2" x14ac:dyDescent="0.25">
      <c r="A82">
        <f>性能入力!C119</f>
        <v>79</v>
      </c>
      <c r="B82" s="84">
        <f>ROUND(性能入力!J119,2)</f>
        <v>32.47</v>
      </c>
    </row>
    <row r="83" spans="1:2" x14ac:dyDescent="0.25">
      <c r="A83">
        <f>性能入力!C120</f>
        <v>80</v>
      </c>
      <c r="B83" s="84">
        <f>ROUND(性能入力!J120,2)</f>
        <v>32.07</v>
      </c>
    </row>
    <row r="84" spans="1:2" x14ac:dyDescent="0.25">
      <c r="A84">
        <f>性能入力!C121</f>
        <v>81</v>
      </c>
      <c r="B84" s="84">
        <f>ROUND(性能入力!J121,2)</f>
        <v>31.67</v>
      </c>
    </row>
    <row r="85" spans="1:2" x14ac:dyDescent="0.25">
      <c r="A85">
        <f>性能入力!C122</f>
        <v>82</v>
      </c>
      <c r="B85" s="84">
        <f>ROUND(性能入力!J122,2)</f>
        <v>31.29</v>
      </c>
    </row>
    <row r="86" spans="1:2" x14ac:dyDescent="0.25">
      <c r="A86">
        <f>性能入力!C123</f>
        <v>83</v>
      </c>
      <c r="B86" s="84">
        <f>ROUND(性能入力!J123,2)</f>
        <v>30.91</v>
      </c>
    </row>
    <row r="87" spans="1:2" x14ac:dyDescent="0.25">
      <c r="A87">
        <f>性能入力!C124</f>
        <v>84</v>
      </c>
      <c r="B87" s="84">
        <f>ROUND(性能入力!J124,2)</f>
        <v>30.54</v>
      </c>
    </row>
    <row r="88" spans="1:2" x14ac:dyDescent="0.25">
      <c r="A88">
        <f>性能入力!C125</f>
        <v>85</v>
      </c>
      <c r="B88" s="84">
        <f>ROUND(性能入力!J125,2)</f>
        <v>30.18</v>
      </c>
    </row>
    <row r="89" spans="1:2" x14ac:dyDescent="0.25">
      <c r="A89">
        <f>性能入力!C126</f>
        <v>86</v>
      </c>
      <c r="B89" s="84">
        <f>ROUND(性能入力!J126,2)</f>
        <v>29.83</v>
      </c>
    </row>
    <row r="90" spans="1:2" x14ac:dyDescent="0.25">
      <c r="A90">
        <f>性能入力!C127</f>
        <v>87</v>
      </c>
      <c r="B90" s="84">
        <f>ROUND(性能入力!J127,2)</f>
        <v>29.49</v>
      </c>
    </row>
    <row r="91" spans="1:2" x14ac:dyDescent="0.25">
      <c r="A91">
        <f>性能入力!C128</f>
        <v>88</v>
      </c>
      <c r="B91" s="84">
        <f>ROUND(性能入力!J128,2)</f>
        <v>29.15</v>
      </c>
    </row>
    <row r="92" spans="1:2" x14ac:dyDescent="0.25">
      <c r="A92">
        <f>性能入力!C129</f>
        <v>89</v>
      </c>
      <c r="B92" s="84">
        <f>ROUND(性能入力!J129,2)</f>
        <v>28.82</v>
      </c>
    </row>
    <row r="93" spans="1:2" x14ac:dyDescent="0.25">
      <c r="A93">
        <f>性能入力!C130</f>
        <v>90</v>
      </c>
      <c r="B93" s="84">
        <f>ROUND(性能入力!J130,2)</f>
        <v>28.5</v>
      </c>
    </row>
    <row r="94" spans="1:2" x14ac:dyDescent="0.25">
      <c r="A94">
        <f>性能入力!C131</f>
        <v>91</v>
      </c>
      <c r="B94" s="84">
        <f>ROUND(性能入力!J131,2)</f>
        <v>28.19</v>
      </c>
    </row>
    <row r="95" spans="1:2" x14ac:dyDescent="0.25">
      <c r="A95">
        <f>性能入力!C132</f>
        <v>92</v>
      </c>
      <c r="B95" s="84">
        <f>ROUND(性能入力!J132,2)</f>
        <v>27.88</v>
      </c>
    </row>
    <row r="96" spans="1:2" x14ac:dyDescent="0.25">
      <c r="A96">
        <f>性能入力!C133</f>
        <v>93</v>
      </c>
      <c r="B96" s="84">
        <f>ROUND(性能入力!J133,2)</f>
        <v>27.58</v>
      </c>
    </row>
    <row r="97" spans="1:2" x14ac:dyDescent="0.25">
      <c r="A97">
        <f>性能入力!C134</f>
        <v>94</v>
      </c>
      <c r="B97" s="84">
        <f>ROUND(性能入力!J134,2)</f>
        <v>27.29</v>
      </c>
    </row>
    <row r="98" spans="1:2" x14ac:dyDescent="0.25">
      <c r="A98">
        <f>性能入力!C135</f>
        <v>95</v>
      </c>
      <c r="B98" s="84">
        <f>ROUND(性能入力!J135,2)</f>
        <v>27</v>
      </c>
    </row>
    <row r="99" spans="1:2" x14ac:dyDescent="0.25">
      <c r="A99">
        <f>性能入力!C136</f>
        <v>96</v>
      </c>
      <c r="B99" s="84">
        <f>ROUND(性能入力!J136,2)</f>
        <v>26.72</v>
      </c>
    </row>
    <row r="100" spans="1:2" x14ac:dyDescent="0.25">
      <c r="A100">
        <f>性能入力!C137</f>
        <v>97</v>
      </c>
      <c r="B100" s="84">
        <f>ROUND(性能入力!J137,2)</f>
        <v>26.45</v>
      </c>
    </row>
    <row r="101" spans="1:2" x14ac:dyDescent="0.25">
      <c r="A101">
        <f>性能入力!C138</f>
        <v>98</v>
      </c>
      <c r="B101" s="84">
        <f>ROUND(性能入力!J138,2)</f>
        <v>26.18</v>
      </c>
    </row>
    <row r="102" spans="1:2" x14ac:dyDescent="0.25">
      <c r="A102">
        <f>性能入力!C139</f>
        <v>99</v>
      </c>
      <c r="B102" s="84">
        <f>ROUND(性能入力!J139,2)</f>
        <v>25.91</v>
      </c>
    </row>
    <row r="103" spans="1:2" x14ac:dyDescent="0.25">
      <c r="A103">
        <f>性能入力!C140</f>
        <v>100</v>
      </c>
      <c r="B103" s="84">
        <f>ROUND(性能入力!J140,2)</f>
        <v>25.65</v>
      </c>
    </row>
    <row r="104" spans="1:2" x14ac:dyDescent="0.25">
      <c r="A104">
        <f>性能入力!C141</f>
        <v>101</v>
      </c>
      <c r="B104" s="84">
        <f>ROUND(性能入力!J141,2)</f>
        <v>25.4</v>
      </c>
    </row>
    <row r="105" spans="1:2" x14ac:dyDescent="0.25">
      <c r="A105">
        <f>性能入力!C142</f>
        <v>102</v>
      </c>
      <c r="B105" s="84">
        <f>ROUND(性能入力!J142,2)</f>
        <v>25.15</v>
      </c>
    </row>
    <row r="106" spans="1:2" x14ac:dyDescent="0.25">
      <c r="A106">
        <f>性能入力!C143</f>
        <v>103</v>
      </c>
      <c r="B106" s="84">
        <f>ROUND(性能入力!J143,2)</f>
        <v>24.91</v>
      </c>
    </row>
    <row r="107" spans="1:2" x14ac:dyDescent="0.25">
      <c r="A107">
        <f>性能入力!C144</f>
        <v>104</v>
      </c>
      <c r="B107" s="84">
        <f>ROUND(性能入力!J144,2)</f>
        <v>24.67</v>
      </c>
    </row>
    <row r="108" spans="1:2" x14ac:dyDescent="0.25">
      <c r="A108">
        <f>性能入力!C145</f>
        <v>105</v>
      </c>
      <c r="B108" s="84">
        <f>ROUND(性能入力!J145,2)</f>
        <v>24.43</v>
      </c>
    </row>
    <row r="109" spans="1:2" x14ac:dyDescent="0.25">
      <c r="A109">
        <f>性能入力!C146</f>
        <v>106</v>
      </c>
      <c r="B109" s="84">
        <f>ROUND(性能入力!J146,2)</f>
        <v>24.2</v>
      </c>
    </row>
    <row r="110" spans="1:2" x14ac:dyDescent="0.25">
      <c r="A110">
        <f>性能入力!C147</f>
        <v>107</v>
      </c>
      <c r="B110" s="84">
        <f>ROUND(性能入力!J147,2)</f>
        <v>23.98</v>
      </c>
    </row>
    <row r="111" spans="1:2" x14ac:dyDescent="0.25">
      <c r="A111">
        <f>性能入力!C148</f>
        <v>108</v>
      </c>
      <c r="B111" s="84">
        <f>ROUND(性能入力!J148,2)</f>
        <v>23.75</v>
      </c>
    </row>
    <row r="112" spans="1:2" x14ac:dyDescent="0.25">
      <c r="A112">
        <f>性能入力!C149</f>
        <v>109</v>
      </c>
      <c r="B112" s="84">
        <f>ROUND(性能入力!J149,2)</f>
        <v>23.54</v>
      </c>
    </row>
    <row r="113" spans="1:2" x14ac:dyDescent="0.25">
      <c r="A113">
        <f>性能入力!C150</f>
        <v>110</v>
      </c>
      <c r="B113" s="84">
        <f>ROUND(性能入力!J150,2)</f>
        <v>23.32</v>
      </c>
    </row>
    <row r="114" spans="1:2" x14ac:dyDescent="0.25">
      <c r="A114">
        <f>性能入力!C151</f>
        <v>111</v>
      </c>
      <c r="B114" s="84">
        <f>ROUND(性能入力!J151,2)</f>
        <v>23.11</v>
      </c>
    </row>
    <row r="115" spans="1:2" x14ac:dyDescent="0.25">
      <c r="A115">
        <f>性能入力!C152</f>
        <v>112</v>
      </c>
      <c r="B115" s="84">
        <f>ROUND(性能入力!J152,2)</f>
        <v>22.91</v>
      </c>
    </row>
    <row r="116" spans="1:2" x14ac:dyDescent="0.25">
      <c r="A116">
        <f>性能入力!C153</f>
        <v>113</v>
      </c>
      <c r="B116" s="84">
        <f>ROUND(性能入力!J153,2)</f>
        <v>22.7</v>
      </c>
    </row>
    <row r="117" spans="1:2" x14ac:dyDescent="0.25">
      <c r="A117">
        <f>性能入力!C154</f>
        <v>114</v>
      </c>
      <c r="B117" s="84">
        <f>ROUND(性能入力!J154,2)</f>
        <v>22.5</v>
      </c>
    </row>
    <row r="118" spans="1:2" x14ac:dyDescent="0.25">
      <c r="A118">
        <f>性能入力!C155</f>
        <v>115</v>
      </c>
      <c r="B118" s="84">
        <f>ROUND(性能入力!J155,2)</f>
        <v>22.31</v>
      </c>
    </row>
    <row r="119" spans="1:2" x14ac:dyDescent="0.25">
      <c r="A119">
        <f>性能入力!C156</f>
        <v>116</v>
      </c>
      <c r="B119" s="84">
        <f>ROUND(性能入力!J156,2)</f>
        <v>22.12</v>
      </c>
    </row>
    <row r="120" spans="1:2" x14ac:dyDescent="0.25">
      <c r="A120">
        <f>性能入力!C157</f>
        <v>117</v>
      </c>
      <c r="B120" s="84">
        <f>ROUND(性能入力!J157,2)</f>
        <v>21.93</v>
      </c>
    </row>
    <row r="121" spans="1:2" x14ac:dyDescent="0.25">
      <c r="A121">
        <f>性能入力!C158</f>
        <v>118</v>
      </c>
      <c r="B121" s="84">
        <f>ROUND(性能入力!J158,2)</f>
        <v>21.74</v>
      </c>
    </row>
    <row r="122" spans="1:2" x14ac:dyDescent="0.25">
      <c r="A122">
        <f>性能入力!C159</f>
        <v>119</v>
      </c>
      <c r="B122" s="84">
        <f>ROUND(性能入力!J159,2)</f>
        <v>21.56</v>
      </c>
    </row>
    <row r="123" spans="1:2" x14ac:dyDescent="0.25">
      <c r="A123">
        <f>性能入力!C160</f>
        <v>120</v>
      </c>
      <c r="B123" s="84">
        <f>ROUND(性能入力!J160,2)</f>
        <v>21.38</v>
      </c>
    </row>
    <row r="124" spans="1:2" x14ac:dyDescent="0.25">
      <c r="A124">
        <f>性能入力!C161</f>
        <v>121</v>
      </c>
      <c r="B124" s="84">
        <f>ROUND(性能入力!J161,2)</f>
        <v>21.2</v>
      </c>
    </row>
    <row r="125" spans="1:2" x14ac:dyDescent="0.25">
      <c r="A125">
        <f>性能入力!C162</f>
        <v>122</v>
      </c>
      <c r="B125" s="84">
        <f>ROUND(性能入力!J162,2)</f>
        <v>21.03</v>
      </c>
    </row>
    <row r="126" spans="1:2" x14ac:dyDescent="0.25">
      <c r="A126">
        <f>性能入力!C163</f>
        <v>123</v>
      </c>
      <c r="B126" s="84">
        <f>ROUND(性能入力!J163,2)</f>
        <v>20.86</v>
      </c>
    </row>
    <row r="127" spans="1:2" x14ac:dyDescent="0.25">
      <c r="A127">
        <f>性能入力!C164</f>
        <v>124</v>
      </c>
      <c r="B127" s="84">
        <f>ROUND(性能入力!J164,2)</f>
        <v>20.69</v>
      </c>
    </row>
    <row r="128" spans="1:2" x14ac:dyDescent="0.25">
      <c r="A128">
        <f>性能入力!C165</f>
        <v>125</v>
      </c>
      <c r="B128" s="84">
        <f>ROUND(性能入力!J165,2)</f>
        <v>20.52</v>
      </c>
    </row>
    <row r="129" spans="1:2" x14ac:dyDescent="0.25">
      <c r="A129">
        <f>性能入力!C166</f>
        <v>126</v>
      </c>
      <c r="B129" s="84">
        <f>ROUND(性能入力!J166,2)</f>
        <v>20.36</v>
      </c>
    </row>
    <row r="130" spans="1:2" x14ac:dyDescent="0.25">
      <c r="A130">
        <f>性能入力!C167</f>
        <v>127</v>
      </c>
      <c r="B130" s="84">
        <f>ROUND(性能入力!J167,2)</f>
        <v>20.2</v>
      </c>
    </row>
    <row r="131" spans="1:2" x14ac:dyDescent="0.25">
      <c r="A131">
        <f>性能入力!C168</f>
        <v>128</v>
      </c>
      <c r="B131" s="84">
        <f>ROUND(性能入力!J168,2)</f>
        <v>20.04</v>
      </c>
    </row>
    <row r="132" spans="1:2" x14ac:dyDescent="0.25">
      <c r="A132">
        <f>性能入力!C169</f>
        <v>129</v>
      </c>
      <c r="B132" s="84">
        <f>ROUND(性能入力!J169,2)</f>
        <v>19.89</v>
      </c>
    </row>
    <row r="133" spans="1:2" x14ac:dyDescent="0.25">
      <c r="A133">
        <f>性能入力!C170</f>
        <v>130</v>
      </c>
      <c r="B133" s="84">
        <f>ROUND(性能入力!J170,2)</f>
        <v>19.73</v>
      </c>
    </row>
    <row r="134" spans="1:2" x14ac:dyDescent="0.25">
      <c r="A134">
        <f>性能入力!C171</f>
        <v>131</v>
      </c>
      <c r="B134" s="84">
        <f>ROUND(性能入力!J171,2)</f>
        <v>19.579999999999998</v>
      </c>
    </row>
    <row r="135" spans="1:2" x14ac:dyDescent="0.25">
      <c r="A135">
        <f>性能入力!C172</f>
        <v>132</v>
      </c>
      <c r="B135" s="84">
        <f>ROUND(性能入力!J172,2)</f>
        <v>19.43</v>
      </c>
    </row>
    <row r="136" spans="1:2" x14ac:dyDescent="0.25">
      <c r="A136">
        <f>性能入力!C173</f>
        <v>133</v>
      </c>
      <c r="B136" s="84">
        <f>ROUND(性能入力!J173,2)</f>
        <v>19.29</v>
      </c>
    </row>
    <row r="137" spans="1:2" x14ac:dyDescent="0.25">
      <c r="A137">
        <f>性能入力!C174</f>
        <v>134</v>
      </c>
      <c r="B137" s="84">
        <f>ROUND(性能入力!J174,2)</f>
        <v>19.14</v>
      </c>
    </row>
    <row r="138" spans="1:2" x14ac:dyDescent="0.25">
      <c r="A138">
        <f>性能入力!C175</f>
        <v>135</v>
      </c>
      <c r="B138" s="84">
        <f>ROUND(性能入力!J175,2)</f>
        <v>19</v>
      </c>
    </row>
    <row r="139" spans="1:2" x14ac:dyDescent="0.25">
      <c r="A139">
        <f>性能入力!C176</f>
        <v>136</v>
      </c>
      <c r="B139" s="84">
        <f>ROUND(性能入力!J176,2)</f>
        <v>18.86</v>
      </c>
    </row>
    <row r="140" spans="1:2" x14ac:dyDescent="0.25">
      <c r="A140">
        <f>性能入力!C177</f>
        <v>137</v>
      </c>
      <c r="B140" s="84">
        <f>ROUND(性能入力!J177,2)</f>
        <v>18.73</v>
      </c>
    </row>
    <row r="141" spans="1:2" x14ac:dyDescent="0.25">
      <c r="A141">
        <f>性能入力!C178</f>
        <v>138</v>
      </c>
      <c r="B141" s="84">
        <f>ROUND(性能入力!J178,2)</f>
        <v>18.59</v>
      </c>
    </row>
    <row r="142" spans="1:2" x14ac:dyDescent="0.25">
      <c r="A142">
        <f>性能入力!C179</f>
        <v>139</v>
      </c>
      <c r="B142" s="84">
        <f>ROUND(性能入力!J179,2)</f>
        <v>18.46</v>
      </c>
    </row>
    <row r="143" spans="1:2" x14ac:dyDescent="0.25">
      <c r="A143">
        <f>性能入力!C180</f>
        <v>140</v>
      </c>
      <c r="B143" s="84">
        <f>ROUND(性能入力!J180,2)</f>
        <v>18.32</v>
      </c>
    </row>
    <row r="144" spans="1:2" x14ac:dyDescent="0.25">
      <c r="A144">
        <f>性能入力!C181</f>
        <v>141</v>
      </c>
      <c r="B144" s="84">
        <f>ROUND(性能入力!J181,2)</f>
        <v>18.190000000000001</v>
      </c>
    </row>
    <row r="145" spans="1:2" x14ac:dyDescent="0.25">
      <c r="A145">
        <f>性能入力!C182</f>
        <v>142</v>
      </c>
      <c r="B145" s="84">
        <f>ROUND(性能入力!J182,2)</f>
        <v>18.07</v>
      </c>
    </row>
    <row r="146" spans="1:2" x14ac:dyDescent="0.25">
      <c r="A146">
        <f>性能入力!C183</f>
        <v>143</v>
      </c>
      <c r="B146" s="84">
        <f>ROUND(性能入力!J183,2)</f>
        <v>17.940000000000001</v>
      </c>
    </row>
    <row r="147" spans="1:2" x14ac:dyDescent="0.25">
      <c r="A147">
        <f>性能入力!C184</f>
        <v>144</v>
      </c>
      <c r="B147" s="84">
        <f>ROUND(性能入力!J184,2)</f>
        <v>17.82</v>
      </c>
    </row>
    <row r="148" spans="1:2" x14ac:dyDescent="0.25">
      <c r="A148">
        <f>性能入力!C185</f>
        <v>145</v>
      </c>
      <c r="B148" s="84">
        <f>ROUND(性能入力!J185,2)</f>
        <v>17.690000000000001</v>
      </c>
    </row>
    <row r="149" spans="1:2" x14ac:dyDescent="0.25">
      <c r="A149">
        <f>性能入力!C186</f>
        <v>146</v>
      </c>
      <c r="B149" s="84">
        <f>ROUND(性能入力!J186,2)</f>
        <v>17.57</v>
      </c>
    </row>
    <row r="150" spans="1:2" x14ac:dyDescent="0.25">
      <c r="A150">
        <f>性能入力!C187</f>
        <v>147</v>
      </c>
      <c r="B150" s="84">
        <f>ROUND(性能入力!J187,2)</f>
        <v>17.45</v>
      </c>
    </row>
    <row r="151" spans="1:2" x14ac:dyDescent="0.25">
      <c r="A151">
        <f>性能入力!C188</f>
        <v>148</v>
      </c>
      <c r="B151" s="84">
        <f>ROUND(性能入力!J188,2)</f>
        <v>17.329999999999998</v>
      </c>
    </row>
    <row r="152" spans="1:2" x14ac:dyDescent="0.25">
      <c r="A152">
        <f>性能入力!C189</f>
        <v>149</v>
      </c>
      <c r="B152" s="84">
        <f>ROUND(性能入力!J189,2)</f>
        <v>17.22</v>
      </c>
    </row>
    <row r="153" spans="1:2" x14ac:dyDescent="0.25">
      <c r="A153">
        <f>性能入力!C190</f>
        <v>150</v>
      </c>
      <c r="B153" s="84">
        <f>ROUND(性能入力!J190,2)</f>
        <v>17.100000000000001</v>
      </c>
    </row>
  </sheetData>
  <phoneticPr fontId="3"/>
  <pageMargins left="0.7" right="0.7" top="0.75" bottom="0.75" header="0.3" footer="0.3"/>
  <pageSetup paperSize="8"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0000"/>
  </sheetPr>
  <dimension ref="A1:B14"/>
  <sheetViews>
    <sheetView workbookViewId="0"/>
  </sheetViews>
  <sheetFormatPr defaultColWidth="9.125" defaultRowHeight="10.199999999999999" x14ac:dyDescent="0.25"/>
  <cols>
    <col min="1" max="1" width="29.25" style="10" bestFit="1" customWidth="1"/>
    <col min="2" max="16384" width="9.125" style="10"/>
  </cols>
  <sheetData>
    <row r="1" spans="1:2" x14ac:dyDescent="0.25">
      <c r="A1" s="10" t="s">
        <v>127</v>
      </c>
    </row>
    <row r="2" spans="1:2" x14ac:dyDescent="0.25">
      <c r="A2" s="10" t="s">
        <v>0</v>
      </c>
      <c r="B2" s="10" t="str">
        <f ca="1">RIGHT(CELL("filename",A1),LEN(CELL("filename",A1))-FIND("]",CELL("filename",A1)))</f>
        <v>Prmtr</v>
      </c>
    </row>
    <row r="3" spans="1:2" x14ac:dyDescent="0.25">
      <c r="A3" s="10" t="s">
        <v>73</v>
      </c>
      <c r="B3" s="10">
        <v>0</v>
      </c>
    </row>
    <row r="4" spans="1:2" x14ac:dyDescent="0.25">
      <c r="A4" s="10" t="s">
        <v>74</v>
      </c>
      <c r="B4" s="10">
        <v>0</v>
      </c>
    </row>
    <row r="5" spans="1:2" x14ac:dyDescent="0.25">
      <c r="A5" s="10" t="s">
        <v>75</v>
      </c>
      <c r="B5" s="10">
        <v>0</v>
      </c>
    </row>
    <row r="6" spans="1:2" x14ac:dyDescent="0.25">
      <c r="A6" s="10" t="s">
        <v>76</v>
      </c>
      <c r="B6" s="10">
        <f>性能入力!E13/2</f>
        <v>44.61879199165643</v>
      </c>
    </row>
    <row r="7" spans="1:2" x14ac:dyDescent="0.25">
      <c r="A7" s="10" t="s">
        <v>77</v>
      </c>
      <c r="B7" s="10">
        <f>ROUND(MAX(cMax!B:B)/2,0)</f>
        <v>97</v>
      </c>
    </row>
    <row r="8" spans="1:2" x14ac:dyDescent="0.25">
      <c r="A8" s="10" t="s">
        <v>78</v>
      </c>
      <c r="B8" s="10">
        <v>2</v>
      </c>
    </row>
    <row r="9" spans="1:2" x14ac:dyDescent="0.25">
      <c r="A9" s="10" t="s">
        <v>79</v>
      </c>
      <c r="B9" s="10">
        <v>0</v>
      </c>
    </row>
    <row r="10" spans="1:2" x14ac:dyDescent="0.25">
      <c r="A10" s="10" t="s">
        <v>80</v>
      </c>
      <c r="B10" s="10">
        <v>0</v>
      </c>
    </row>
    <row r="11" spans="1:2" x14ac:dyDescent="0.25">
      <c r="A11" s="10" t="s">
        <v>81</v>
      </c>
      <c r="B11" s="10">
        <v>0</v>
      </c>
    </row>
    <row r="12" spans="1:2" x14ac:dyDescent="0.25">
      <c r="A12" s="10" t="s">
        <v>82</v>
      </c>
      <c r="B12" s="10">
        <v>0</v>
      </c>
    </row>
    <row r="13" spans="1:2" x14ac:dyDescent="0.25">
      <c r="A13" s="10" t="s">
        <v>83</v>
      </c>
      <c r="B13" s="10">
        <v>0</v>
      </c>
    </row>
    <row r="14" spans="1:2" x14ac:dyDescent="0.25">
      <c r="A14" s="10" t="s">
        <v>128</v>
      </c>
      <c r="B14" s="10">
        <v>2</v>
      </c>
    </row>
  </sheetData>
  <phoneticPr fontId="9"/>
  <pageMargins left="0.7" right="0.7" top="0.75" bottom="0.75" header="0.3" footer="0.3"/>
  <pageSetup paperSize="8"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22</vt:i4>
      </vt:variant>
    </vt:vector>
  </HeadingPairs>
  <TitlesOfParts>
    <vt:vector size="31" baseType="lpstr">
      <vt:lpstr>編成入力</vt:lpstr>
      <vt:lpstr>制輪子摩擦係数</vt:lpstr>
      <vt:lpstr>性能入力</vt:lpstr>
      <vt:lpstr>f</vt:lpstr>
      <vt:lpstr>fMax</vt:lpstr>
      <vt:lpstr>c</vt:lpstr>
      <vt:lpstr>cMax</vt:lpstr>
      <vt:lpstr>cZero</vt:lpstr>
      <vt:lpstr>Prmtr</vt:lpstr>
      <vt:lpstr>BCPressure</vt:lpstr>
      <vt:lpstr>Deceleration</vt:lpstr>
      <vt:lpstr>LoadRatio</vt:lpstr>
      <vt:lpstr>M_empty</vt:lpstr>
      <vt:lpstr>M_full</vt:lpstr>
      <vt:lpstr>MaxSpeed</vt:lpstr>
      <vt:lpstr>MotorcarCount</vt:lpstr>
      <vt:lpstr>MotorcarInertiaFactor</vt:lpstr>
      <vt:lpstr>NoLoadCurrent</vt:lpstr>
      <vt:lpstr>編成入力!Print_Area</vt:lpstr>
      <vt:lpstr>RunningResistanceFactor_a</vt:lpstr>
      <vt:lpstr>RunningResistanceFactor_b</vt:lpstr>
      <vt:lpstr>RunningResistanceFactor_c</vt:lpstr>
      <vt:lpstr>ShoeFrictionA</vt:lpstr>
      <vt:lpstr>ShoeFrictionAvg</vt:lpstr>
      <vt:lpstr>ShoeFrictionB</vt:lpstr>
      <vt:lpstr>ShoeFrictionC</vt:lpstr>
      <vt:lpstr>Speed</vt:lpstr>
      <vt:lpstr>TotalCars</vt:lpstr>
      <vt:lpstr>TotalWeight</vt:lpstr>
      <vt:lpstr>TrailerCount</vt:lpstr>
      <vt:lpstr>TrailerInertiaFactor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2014-08-09T16:38:57Z</dcterms:created>
  <dcterms:modified xsi:type="dcterms:W3CDTF">2025-10-09T23:39:31Z</dcterms:modified>
</cp:coreProperties>
</file>