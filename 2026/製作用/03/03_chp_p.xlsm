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227" codeName="{957460C9-B318-DD5D-5CC9-C049C1E746CC}"/>
  <workbookPr filterPrivacy="1" codeName="ThisWorkbook" defaultThemeVersion="124226"/>
  <xr:revisionPtr revIDLastSave="0" documentId="13_ncr:1_{7272A3DE-FBA3-4017-A945-A460381EF2E8}" xr6:coauthVersionLast="47" xr6:coauthVersionMax="47" xr10:uidLastSave="{00000000-0000-0000-0000-000000000000}"/>
  <bookViews>
    <workbookView xWindow="-108" yWindow="-108" windowWidth="23256" windowHeight="14016" activeTab="1" xr2:uid="{00000000-000D-0000-FFFF-FFFF00000000}"/>
  </bookViews>
  <sheets>
    <sheet name="編成入力" sheetId="11" r:id="rId1"/>
    <sheet name="加速度入力" sheetId="6" r:id="rId2"/>
    <sheet name="f" sheetId="4" r:id="rId3"/>
    <sheet name="fMax" sheetId="7" r:id="rId4"/>
    <sheet name="c" sheetId="5" r:id="rId5"/>
    <sheet name="cMax" sheetId="9" r:id="rId6"/>
    <sheet name="cZero" sheetId="10" r:id="rId7"/>
    <sheet name="Prmtr" sheetId="12" r:id="rId8"/>
  </sheets>
  <functionGroups builtInGroupCount="19"/>
  <definedNames>
    <definedName name="LoadRatio">編成入力!$X$51</definedName>
    <definedName name="M_empty">編成入力!$W$50</definedName>
    <definedName name="M_full">編成入力!$W$51</definedName>
    <definedName name="MotorcarCount">編成入力!$W$8</definedName>
    <definedName name="MotorcarInertiaFactor">編成入力!$E$18</definedName>
    <definedName name="MotorcarWeight">編成入力!$W$10*1000</definedName>
    <definedName name="NoLoadCurrent">加速度入力!$C$56:$C$206</definedName>
    <definedName name="_xlnm.Print_Area" localSheetId="1">加速度入力!$B$1:$AX$48</definedName>
    <definedName name="_xlnm.Print_Area" localSheetId="0">編成入力!$A$1:$Z$61</definedName>
    <definedName name="RunningResistanceFactor_a">編成入力!$E$23</definedName>
    <definedName name="RunningResistanceFactor_b">編成入力!$F$23</definedName>
    <definedName name="RunningResistanceFactor_c">編成入力!$G$23</definedName>
    <definedName name="Speed">加速度入力!$B$56:$B$206</definedName>
    <definedName name="TrailerCount">編成入力!$X$8</definedName>
    <definedName name="TrailerInertiaFactor">編成入力!$E$20</definedName>
    <definedName name="TrailerWeight">編成入力!$X$10*1000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30" i="11" l="1"/>
  <c r="C31" i="11"/>
  <c r="C32" i="11"/>
  <c r="C33" i="11"/>
  <c r="C34" i="11"/>
  <c r="BB54" i="6"/>
  <c r="BC54" i="6"/>
  <c r="BA54" i="6"/>
  <c r="AZ54" i="6"/>
  <c r="A155" i="9" l="1"/>
  <c r="A154" i="9"/>
  <c r="A153" i="9"/>
  <c r="A152" i="9"/>
  <c r="A151" i="9"/>
  <c r="A150" i="9"/>
  <c r="A149" i="9"/>
  <c r="A148" i="9"/>
  <c r="A147" i="9"/>
  <c r="A146" i="9"/>
  <c r="A145" i="9"/>
  <c r="A144" i="9"/>
  <c r="A143" i="9"/>
  <c r="A142" i="9"/>
  <c r="A141" i="9"/>
  <c r="A140" i="9"/>
  <c r="A139" i="9"/>
  <c r="A138" i="9"/>
  <c r="A137" i="9"/>
  <c r="A136" i="9"/>
  <c r="A135" i="9"/>
  <c r="A134" i="9"/>
  <c r="A133" i="9"/>
  <c r="A132" i="9"/>
  <c r="A131" i="9"/>
  <c r="A130" i="9"/>
  <c r="A129" i="9"/>
  <c r="A128" i="9"/>
  <c r="A127" i="9"/>
  <c r="A126" i="9"/>
  <c r="A125" i="9"/>
  <c r="A124" i="9"/>
  <c r="A123" i="9"/>
  <c r="A122" i="9"/>
  <c r="A121" i="9"/>
  <c r="A120" i="9"/>
  <c r="A119" i="9"/>
  <c r="A118" i="9"/>
  <c r="A117" i="9"/>
  <c r="A116" i="9"/>
  <c r="A115" i="9"/>
  <c r="A114" i="9"/>
  <c r="A113" i="9"/>
  <c r="A112" i="9"/>
  <c r="A111" i="9"/>
  <c r="A110" i="9"/>
  <c r="A109" i="9"/>
  <c r="A108" i="9"/>
  <c r="A107" i="9"/>
  <c r="A106" i="9"/>
  <c r="A105" i="9"/>
  <c r="A104" i="9"/>
  <c r="A103" i="9"/>
  <c r="A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155" i="5"/>
  <c r="A154" i="5"/>
  <c r="A153" i="5"/>
  <c r="A152" i="5"/>
  <c r="A151" i="5"/>
  <c r="A150" i="5"/>
  <c r="A149" i="5"/>
  <c r="A148" i="5"/>
  <c r="A147" i="5"/>
  <c r="A146" i="5"/>
  <c r="A145" i="5"/>
  <c r="A144" i="5"/>
  <c r="A143" i="5"/>
  <c r="A142" i="5"/>
  <c r="A141" i="5"/>
  <c r="A140" i="5"/>
  <c r="A139" i="5"/>
  <c r="A138" i="5"/>
  <c r="A137" i="5"/>
  <c r="A136" i="5"/>
  <c r="A135" i="5"/>
  <c r="A134" i="5"/>
  <c r="A133" i="5"/>
  <c r="A132" i="5"/>
  <c r="A131" i="5"/>
  <c r="A130" i="5"/>
  <c r="A129" i="5"/>
  <c r="A128" i="5"/>
  <c r="A127" i="5"/>
  <c r="A126" i="5"/>
  <c r="A125" i="5"/>
  <c r="A124" i="5"/>
  <c r="A123" i="5"/>
  <c r="A122" i="5"/>
  <c r="A121" i="5"/>
  <c r="A120" i="5"/>
  <c r="A119" i="5"/>
  <c r="A118" i="5"/>
  <c r="A117" i="5"/>
  <c r="A116" i="5"/>
  <c r="A115" i="5"/>
  <c r="A114" i="5"/>
  <c r="A113" i="5"/>
  <c r="A112" i="5"/>
  <c r="A111" i="5"/>
  <c r="A110" i="5"/>
  <c r="A109" i="5"/>
  <c r="A108" i="5"/>
  <c r="A107" i="5"/>
  <c r="A106" i="5"/>
  <c r="A105" i="5"/>
  <c r="A104" i="5"/>
  <c r="A103" i="5"/>
  <c r="A102" i="5"/>
  <c r="A101" i="5"/>
  <c r="A100" i="5"/>
  <c r="A99" i="5"/>
  <c r="A98" i="5"/>
  <c r="A97" i="5"/>
  <c r="A96" i="5"/>
  <c r="A95" i="5"/>
  <c r="A94" i="5"/>
  <c r="A93" i="5"/>
  <c r="A92" i="5"/>
  <c r="A91" i="5"/>
  <c r="A90" i="5"/>
  <c r="A89" i="5"/>
  <c r="A88" i="5"/>
  <c r="A87" i="5"/>
  <c r="A86" i="5"/>
  <c r="A85" i="5"/>
  <c r="A84" i="5"/>
  <c r="A83" i="5"/>
  <c r="A82" i="5"/>
  <c r="A81" i="5"/>
  <c r="A80" i="5"/>
  <c r="A79" i="5"/>
  <c r="A78" i="5"/>
  <c r="A77" i="5"/>
  <c r="A76" i="5"/>
  <c r="A75" i="5"/>
  <c r="A74" i="5"/>
  <c r="A73" i="5"/>
  <c r="A72" i="5"/>
  <c r="A71" i="5"/>
  <c r="A70" i="5"/>
  <c r="A69" i="5"/>
  <c r="A68" i="5"/>
  <c r="A67" i="5"/>
  <c r="A66" i="5"/>
  <c r="A65" i="5"/>
  <c r="A64" i="5"/>
  <c r="A63" i="5"/>
  <c r="A62" i="5"/>
  <c r="A61" i="5"/>
  <c r="A60" i="5"/>
  <c r="A59" i="5"/>
  <c r="A58" i="5"/>
  <c r="A57" i="5"/>
  <c r="A56" i="5"/>
  <c r="A55" i="5"/>
  <c r="A54" i="5"/>
  <c r="A53" i="5"/>
  <c r="A52" i="5"/>
  <c r="A51" i="5"/>
  <c r="A50" i="5"/>
  <c r="A49" i="5"/>
  <c r="A48" i="5"/>
  <c r="A47" i="5"/>
  <c r="A46" i="5"/>
  <c r="A45" i="5"/>
  <c r="A44" i="5"/>
  <c r="A43" i="5"/>
  <c r="A42" i="5"/>
  <c r="A41" i="5"/>
  <c r="A40" i="5"/>
  <c r="A39" i="5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5" i="5"/>
  <c r="A14" i="5"/>
  <c r="A13" i="5"/>
  <c r="A12" i="5"/>
  <c r="A11" i="5"/>
  <c r="A10" i="5"/>
  <c r="A9" i="5"/>
  <c r="A8" i="5"/>
  <c r="A7" i="5"/>
  <c r="A6" i="5"/>
  <c r="A5" i="5"/>
  <c r="A155" i="7"/>
  <c r="A154" i="7"/>
  <c r="A153" i="7"/>
  <c r="A152" i="7"/>
  <c r="A151" i="7"/>
  <c r="A150" i="7"/>
  <c r="A149" i="7"/>
  <c r="A148" i="7"/>
  <c r="A147" i="7"/>
  <c r="A146" i="7"/>
  <c r="A145" i="7"/>
  <c r="A144" i="7"/>
  <c r="A143" i="7"/>
  <c r="A142" i="7"/>
  <c r="A141" i="7"/>
  <c r="A140" i="7"/>
  <c r="A139" i="7"/>
  <c r="A138" i="7"/>
  <c r="A137" i="7"/>
  <c r="A136" i="7"/>
  <c r="A135" i="7"/>
  <c r="A134" i="7"/>
  <c r="A133" i="7"/>
  <c r="A132" i="7"/>
  <c r="A131" i="7"/>
  <c r="A130" i="7"/>
  <c r="A129" i="7"/>
  <c r="A128" i="7"/>
  <c r="A127" i="7"/>
  <c r="A126" i="7"/>
  <c r="A125" i="7"/>
  <c r="A124" i="7"/>
  <c r="A123" i="7"/>
  <c r="A122" i="7"/>
  <c r="A121" i="7"/>
  <c r="A120" i="7"/>
  <c r="A119" i="7"/>
  <c r="A118" i="7"/>
  <c r="A117" i="7"/>
  <c r="A116" i="7"/>
  <c r="A115" i="7"/>
  <c r="A114" i="7"/>
  <c r="A113" i="7"/>
  <c r="A112" i="7"/>
  <c r="A111" i="7"/>
  <c r="A110" i="7"/>
  <c r="A109" i="7"/>
  <c r="A108" i="7"/>
  <c r="A107" i="7"/>
  <c r="A106" i="7"/>
  <c r="A105" i="7"/>
  <c r="A104" i="7"/>
  <c r="A103" i="7"/>
  <c r="A102" i="7"/>
  <c r="A101" i="7"/>
  <c r="A100" i="7"/>
  <c r="A99" i="7"/>
  <c r="A98" i="7"/>
  <c r="A97" i="7"/>
  <c r="A96" i="7"/>
  <c r="A95" i="7"/>
  <c r="A94" i="7"/>
  <c r="A93" i="7"/>
  <c r="A92" i="7"/>
  <c r="A91" i="7"/>
  <c r="A90" i="7"/>
  <c r="A89" i="7"/>
  <c r="A88" i="7"/>
  <c r="A87" i="7"/>
  <c r="A86" i="7"/>
  <c r="A85" i="7"/>
  <c r="A84" i="7"/>
  <c r="A83" i="7"/>
  <c r="A82" i="7"/>
  <c r="A81" i="7"/>
  <c r="A80" i="7"/>
  <c r="A79" i="7"/>
  <c r="A78" i="7"/>
  <c r="A77" i="7"/>
  <c r="A76" i="7"/>
  <c r="A75" i="7"/>
  <c r="A74" i="7"/>
  <c r="A73" i="7"/>
  <c r="A72" i="7"/>
  <c r="A71" i="7"/>
  <c r="A70" i="7"/>
  <c r="A69" i="7"/>
  <c r="A68" i="7"/>
  <c r="A67" i="7"/>
  <c r="A66" i="7"/>
  <c r="A65" i="7"/>
  <c r="A64" i="7"/>
  <c r="A63" i="7"/>
  <c r="A62" i="7"/>
  <c r="A61" i="7"/>
  <c r="A60" i="7"/>
  <c r="A59" i="7"/>
  <c r="A58" i="7"/>
  <c r="A57" i="7"/>
  <c r="A56" i="7"/>
  <c r="A55" i="7"/>
  <c r="A54" i="7"/>
  <c r="A53" i="7"/>
  <c r="A52" i="7"/>
  <c r="A51" i="7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B4" i="9"/>
  <c r="F4" i="5"/>
  <c r="D4" i="7"/>
  <c r="D52" i="6"/>
  <c r="E40" i="6"/>
  <c r="E37" i="6"/>
  <c r="AN52" i="6"/>
  <c r="AE52" i="6"/>
  <c r="V52" i="6"/>
  <c r="M52" i="6"/>
  <c r="N40" i="6"/>
  <c r="N37" i="6"/>
  <c r="W40" i="6"/>
  <c r="W37" i="6"/>
  <c r="AF40" i="6"/>
  <c r="AF37" i="6"/>
  <c r="AO40" i="6"/>
  <c r="AO37" i="6"/>
  <c r="C4" i="9" l="1"/>
  <c r="D4" i="9"/>
  <c r="E4" i="9"/>
  <c r="F4" i="9"/>
  <c r="C4" i="5"/>
  <c r="B4" i="5"/>
  <c r="D4" i="5"/>
  <c r="E4" i="5"/>
  <c r="B4" i="7"/>
  <c r="C4" i="7"/>
  <c r="E4" i="7"/>
  <c r="F4" i="7"/>
  <c r="A154" i="4" l="1"/>
  <c r="A155" i="4"/>
  <c r="A149" i="4"/>
  <c r="A150" i="4"/>
  <c r="A151" i="4"/>
  <c r="A152" i="4"/>
  <c r="A153" i="4"/>
  <c r="A135" i="4"/>
  <c r="A136" i="4"/>
  <c r="A137" i="4"/>
  <c r="A138" i="4"/>
  <c r="A139" i="4"/>
  <c r="A140" i="4"/>
  <c r="A141" i="4"/>
  <c r="A142" i="4"/>
  <c r="A143" i="4"/>
  <c r="A144" i="4"/>
  <c r="A145" i="4"/>
  <c r="A146" i="4"/>
  <c r="A147" i="4"/>
  <c r="A148" i="4"/>
  <c r="W8" i="11" l="1"/>
  <c r="X8" i="11"/>
  <c r="X10" i="11" s="1"/>
  <c r="C39" i="11"/>
  <c r="U12" i="11"/>
  <c r="S45" i="11"/>
  <c r="R45" i="11"/>
  <c r="Q45" i="11"/>
  <c r="P45" i="11"/>
  <c r="O45" i="11"/>
  <c r="N45" i="11"/>
  <c r="M45" i="11"/>
  <c r="L45" i="11"/>
  <c r="K45" i="11"/>
  <c r="J45" i="11"/>
  <c r="I45" i="11"/>
  <c r="H45" i="11"/>
  <c r="G45" i="11"/>
  <c r="F45" i="11"/>
  <c r="E45" i="11"/>
  <c r="U10" i="11"/>
  <c r="U8" i="11"/>
  <c r="B4" i="4" l="1"/>
  <c r="C4" i="4"/>
  <c r="E4" i="4"/>
  <c r="F4" i="4"/>
  <c r="D4" i="4"/>
  <c r="E47" i="11"/>
  <c r="E48" i="11" s="1"/>
  <c r="I47" i="11"/>
  <c r="I48" i="11" s="1"/>
  <c r="I51" i="11" s="1"/>
  <c r="M47" i="11"/>
  <c r="M50" i="11" s="1"/>
  <c r="Q47" i="11"/>
  <c r="Q50" i="11" s="1"/>
  <c r="F47" i="11"/>
  <c r="F50" i="11" s="1"/>
  <c r="J47" i="11"/>
  <c r="J50" i="11" s="1"/>
  <c r="N47" i="11"/>
  <c r="N48" i="11" s="1"/>
  <c r="N51" i="11" s="1"/>
  <c r="R47" i="11"/>
  <c r="R50" i="11" s="1"/>
  <c r="G47" i="11"/>
  <c r="G50" i="11" s="1"/>
  <c r="K47" i="11"/>
  <c r="K50" i="11" s="1"/>
  <c r="O47" i="11"/>
  <c r="O48" i="11" s="1"/>
  <c r="O51" i="11" s="1"/>
  <c r="S47" i="11"/>
  <c r="S50" i="11" s="1"/>
  <c r="H47" i="11"/>
  <c r="H48" i="11" s="1"/>
  <c r="H51" i="11" s="1"/>
  <c r="L47" i="11"/>
  <c r="L50" i="11" s="1"/>
  <c r="P47" i="11"/>
  <c r="P50" i="11" s="1"/>
  <c r="W10" i="11"/>
  <c r="C29" i="11" s="1"/>
  <c r="E23" i="11"/>
  <c r="C38" i="11"/>
  <c r="E50" i="11" l="1"/>
  <c r="R48" i="11"/>
  <c r="R51" i="11" s="1"/>
  <c r="J48" i="11"/>
  <c r="J51" i="11" s="1"/>
  <c r="L48" i="11"/>
  <c r="L51" i="11" s="1"/>
  <c r="I50" i="11"/>
  <c r="G48" i="11"/>
  <c r="G51" i="11" s="1"/>
  <c r="K48" i="11"/>
  <c r="K51" i="11" s="1"/>
  <c r="N50" i="11"/>
  <c r="F48" i="11"/>
  <c r="F51" i="11" s="1"/>
  <c r="Q48" i="11"/>
  <c r="Q51" i="11" s="1"/>
  <c r="U47" i="11"/>
  <c r="S48" i="11"/>
  <c r="S51" i="11" s="1"/>
  <c r="E51" i="11"/>
  <c r="O50" i="11"/>
  <c r="M48" i="11"/>
  <c r="M51" i="11" s="1"/>
  <c r="P48" i="11"/>
  <c r="P51" i="11" s="1"/>
  <c r="H50" i="11"/>
  <c r="F23" i="11"/>
  <c r="G23" i="11"/>
  <c r="AX193" i="6" l="1"/>
  <c r="AX199" i="6"/>
  <c r="AX200" i="6"/>
  <c r="AX195" i="6"/>
  <c r="AX185" i="6"/>
  <c r="AX190" i="6"/>
  <c r="AX201" i="6"/>
  <c r="AX189" i="6"/>
  <c r="AX202" i="6"/>
  <c r="AX194" i="6"/>
  <c r="AX186" i="6"/>
  <c r="AX187" i="6"/>
  <c r="AX192" i="6"/>
  <c r="AX205" i="6"/>
  <c r="AX198" i="6"/>
  <c r="AX197" i="6"/>
  <c r="AX203" i="6"/>
  <c r="AX191" i="6"/>
  <c r="AX204" i="6"/>
  <c r="AX196" i="6"/>
  <c r="AX188" i="6"/>
  <c r="AX56" i="6"/>
  <c r="AX120" i="6"/>
  <c r="AX163" i="6"/>
  <c r="AX84" i="6"/>
  <c r="AX97" i="6"/>
  <c r="AX145" i="6"/>
  <c r="AX86" i="6"/>
  <c r="AX142" i="6"/>
  <c r="AX60" i="6"/>
  <c r="AX99" i="6"/>
  <c r="AX171" i="6"/>
  <c r="AX104" i="6"/>
  <c r="AX133" i="6"/>
  <c r="AX119" i="6"/>
  <c r="AX85" i="6"/>
  <c r="AX174" i="6"/>
  <c r="AX93" i="6"/>
  <c r="AX123" i="6"/>
  <c r="AX67" i="6"/>
  <c r="AX177" i="6"/>
  <c r="AX65" i="6"/>
  <c r="AX110" i="6"/>
  <c r="AX126" i="6"/>
  <c r="AX150" i="6"/>
  <c r="AX182" i="6"/>
  <c r="AX101" i="6"/>
  <c r="AX165" i="6"/>
  <c r="AX131" i="6"/>
  <c r="AX113" i="6"/>
  <c r="AX83" i="6"/>
  <c r="AX151" i="6"/>
  <c r="AX179" i="6"/>
  <c r="AX70" i="6"/>
  <c r="AX69" i="6"/>
  <c r="AX96" i="6"/>
  <c r="AX112" i="6"/>
  <c r="AX128" i="6"/>
  <c r="AX158" i="6"/>
  <c r="AX157" i="6"/>
  <c r="AX105" i="6"/>
  <c r="AX143" i="6"/>
  <c r="AX66" i="6"/>
  <c r="AX94" i="6"/>
  <c r="AX88" i="6"/>
  <c r="AX125" i="6"/>
  <c r="AX91" i="6"/>
  <c r="AX155" i="6"/>
  <c r="AX137" i="6"/>
  <c r="AX111" i="6"/>
  <c r="AX169" i="6"/>
  <c r="AX82" i="6"/>
  <c r="AX81" i="6"/>
  <c r="AX102" i="6"/>
  <c r="AX118" i="6"/>
  <c r="AX134" i="6"/>
  <c r="AX166" i="6"/>
  <c r="AX76" i="6"/>
  <c r="AX136" i="6"/>
  <c r="AX144" i="6"/>
  <c r="AX152" i="6"/>
  <c r="AX160" i="6"/>
  <c r="AX168" i="6"/>
  <c r="AX176" i="6"/>
  <c r="AX184" i="6"/>
  <c r="AX64" i="6"/>
  <c r="AX80" i="6"/>
  <c r="AX71" i="6"/>
  <c r="AX109" i="6"/>
  <c r="AX141" i="6"/>
  <c r="AX59" i="6"/>
  <c r="AX107" i="6"/>
  <c r="AX139" i="6"/>
  <c r="AX63" i="6"/>
  <c r="AX121" i="6"/>
  <c r="AX153" i="6"/>
  <c r="AX95" i="6"/>
  <c r="AX127" i="6"/>
  <c r="AX159" i="6"/>
  <c r="AX173" i="6"/>
  <c r="AX181" i="6"/>
  <c r="AX58" i="6"/>
  <c r="AX74" i="6"/>
  <c r="AX90" i="6"/>
  <c r="AX73" i="6"/>
  <c r="AX89" i="6"/>
  <c r="AX98" i="6"/>
  <c r="AX106" i="6"/>
  <c r="AX114" i="6"/>
  <c r="AX122" i="6"/>
  <c r="AX130" i="6"/>
  <c r="AX138" i="6"/>
  <c r="AX146" i="6"/>
  <c r="AX154" i="6"/>
  <c r="AX162" i="6"/>
  <c r="AX170" i="6"/>
  <c r="AX178" i="6"/>
  <c r="AX206" i="6"/>
  <c r="AX68" i="6"/>
  <c r="AX87" i="6"/>
  <c r="AX117" i="6"/>
  <c r="AX149" i="6"/>
  <c r="AX75" i="6"/>
  <c r="AX115" i="6"/>
  <c r="AX147" i="6"/>
  <c r="AX79" i="6"/>
  <c r="AX129" i="6"/>
  <c r="AX161" i="6"/>
  <c r="AX103" i="6"/>
  <c r="AX135" i="6"/>
  <c r="AX167" i="6"/>
  <c r="AX175" i="6"/>
  <c r="AX183" i="6"/>
  <c r="AX62" i="6"/>
  <c r="AX78" i="6"/>
  <c r="AX61" i="6"/>
  <c r="AX77" i="6"/>
  <c r="AX92" i="6"/>
  <c r="AX100" i="6"/>
  <c r="AX108" i="6"/>
  <c r="AX116" i="6"/>
  <c r="AX124" i="6"/>
  <c r="AX132" i="6"/>
  <c r="AX140" i="6"/>
  <c r="AX148" i="6"/>
  <c r="AX156" i="6"/>
  <c r="AX164" i="6"/>
  <c r="AX172" i="6"/>
  <c r="AX180" i="6"/>
  <c r="AX57" i="6"/>
  <c r="AX72" i="6"/>
  <c r="U50" i="11"/>
  <c r="W50" i="11" s="1"/>
  <c r="U51" i="11"/>
  <c r="W51" i="11" s="1"/>
  <c r="U48" i="11"/>
  <c r="A6" i="4"/>
  <c r="A5" i="4"/>
  <c r="A3" i="10"/>
  <c r="D38" i="6" l="1"/>
  <c r="E38" i="6"/>
  <c r="M38" i="6"/>
  <c r="N38" i="6"/>
  <c r="AF38" i="6"/>
  <c r="V38" i="6"/>
  <c r="W38" i="6"/>
  <c r="AE38" i="6"/>
  <c r="AF39" i="6" s="1"/>
  <c r="AO38" i="6"/>
  <c r="AN38" i="6"/>
  <c r="X51" i="11"/>
  <c r="AM56" i="6" l="1"/>
  <c r="D39" i="6"/>
  <c r="E39" i="6"/>
  <c r="AJ201" i="6"/>
  <c r="AK200" i="6"/>
  <c r="AJ193" i="6"/>
  <c r="AK192" i="6"/>
  <c r="AJ185" i="6"/>
  <c r="AK184" i="6"/>
  <c r="AJ177" i="6"/>
  <c r="AK176" i="6"/>
  <c r="AJ169" i="6"/>
  <c r="AK168" i="6"/>
  <c r="AJ161" i="6"/>
  <c r="AK160" i="6"/>
  <c r="AJ200" i="6"/>
  <c r="AK199" i="6"/>
  <c r="AK206" i="6"/>
  <c r="AJ199" i="6"/>
  <c r="AJ206" i="6"/>
  <c r="AK205" i="6"/>
  <c r="AJ198" i="6"/>
  <c r="AK197" i="6"/>
  <c r="AJ190" i="6"/>
  <c r="AK189" i="6"/>
  <c r="AJ182" i="6"/>
  <c r="AK181" i="6"/>
  <c r="AJ174" i="6"/>
  <c r="AK173" i="6"/>
  <c r="AJ166" i="6"/>
  <c r="AK165" i="6"/>
  <c r="AJ158" i="6"/>
  <c r="AK157" i="6"/>
  <c r="AJ150" i="6"/>
  <c r="AK149" i="6"/>
  <c r="AJ142" i="6"/>
  <c r="AK141" i="6"/>
  <c r="AJ134" i="6"/>
  <c r="AK133" i="6"/>
  <c r="AJ205" i="6"/>
  <c r="AK204" i="6"/>
  <c r="AJ197" i="6"/>
  <c r="AK196" i="6"/>
  <c r="AJ189" i="6"/>
  <c r="AK188" i="6"/>
  <c r="AJ181" i="6"/>
  <c r="AK180" i="6"/>
  <c r="AJ173" i="6"/>
  <c r="AK172" i="6"/>
  <c r="AJ165" i="6"/>
  <c r="AK164" i="6"/>
  <c r="AJ204" i="6"/>
  <c r="AK203" i="6"/>
  <c r="AJ196" i="6"/>
  <c r="AK195" i="6"/>
  <c r="AJ203" i="6"/>
  <c r="AK202" i="6"/>
  <c r="AJ202" i="6"/>
  <c r="AK201" i="6"/>
  <c r="AJ194" i="6"/>
  <c r="AK193" i="6"/>
  <c r="AJ186" i="6"/>
  <c r="AK185" i="6"/>
  <c r="AJ178" i="6"/>
  <c r="AK177" i="6"/>
  <c r="AJ170" i="6"/>
  <c r="AK169" i="6"/>
  <c r="AJ162" i="6"/>
  <c r="AK161" i="6"/>
  <c r="AJ154" i="6"/>
  <c r="AK153" i="6"/>
  <c r="AJ146" i="6"/>
  <c r="AK145" i="6"/>
  <c r="AJ138" i="6"/>
  <c r="AK137" i="6"/>
  <c r="AJ192" i="6"/>
  <c r="AK183" i="6"/>
  <c r="AJ176" i="6"/>
  <c r="AK167" i="6"/>
  <c r="AK162" i="6"/>
  <c r="AK159" i="6"/>
  <c r="AJ152" i="6"/>
  <c r="AK146" i="6"/>
  <c r="AK140" i="6"/>
  <c r="AJ139" i="6"/>
  <c r="AJ133" i="6"/>
  <c r="AJ128" i="6"/>
  <c r="AK127" i="6"/>
  <c r="AJ120" i="6"/>
  <c r="AK119" i="6"/>
  <c r="AJ112" i="6"/>
  <c r="AK111" i="6"/>
  <c r="AJ104" i="6"/>
  <c r="AK103" i="6"/>
  <c r="AJ96" i="6"/>
  <c r="AJ195" i="6"/>
  <c r="AK186" i="6"/>
  <c r="AJ179" i="6"/>
  <c r="AK170" i="6"/>
  <c r="AJ163" i="6"/>
  <c r="AJ160" i="6"/>
  <c r="AK155" i="6"/>
  <c r="AJ148" i="6"/>
  <c r="AK142" i="6"/>
  <c r="AK136" i="6"/>
  <c r="AJ135" i="6"/>
  <c r="AJ125" i="6"/>
  <c r="AK124" i="6"/>
  <c r="AJ117" i="6"/>
  <c r="AK116" i="6"/>
  <c r="AJ109" i="6"/>
  <c r="AK108" i="6"/>
  <c r="AJ101" i="6"/>
  <c r="AK100" i="6"/>
  <c r="AK194" i="6"/>
  <c r="AJ187" i="6"/>
  <c r="AK182" i="6"/>
  <c r="AJ175" i="6"/>
  <c r="AK163" i="6"/>
  <c r="AJ156" i="6"/>
  <c r="AJ191" i="6"/>
  <c r="AK179" i="6"/>
  <c r="AJ172" i="6"/>
  <c r="AK154" i="6"/>
  <c r="AJ151" i="6"/>
  <c r="AJ143" i="6"/>
  <c r="AK135" i="6"/>
  <c r="AJ132" i="6"/>
  <c r="AK128" i="6"/>
  <c r="AK122" i="6"/>
  <c r="AJ121" i="6"/>
  <c r="AJ115" i="6"/>
  <c r="AK109" i="6"/>
  <c r="AJ102" i="6"/>
  <c r="AJ89" i="6"/>
  <c r="AK88" i="6"/>
  <c r="AJ81" i="6"/>
  <c r="AK80" i="6"/>
  <c r="AJ188" i="6"/>
  <c r="AK178" i="6"/>
  <c r="AJ171" i="6"/>
  <c r="AK166" i="6"/>
  <c r="AK158" i="6"/>
  <c r="AK150" i="6"/>
  <c r="AJ147" i="6"/>
  <c r="AK139" i="6"/>
  <c r="AK131" i="6"/>
  <c r="AK125" i="6"/>
  <c r="AJ118" i="6"/>
  <c r="AK112" i="6"/>
  <c r="AK106" i="6"/>
  <c r="AJ105" i="6"/>
  <c r="AJ99" i="6"/>
  <c r="AJ93" i="6"/>
  <c r="AK92" i="6"/>
  <c r="AJ85" i="6"/>
  <c r="AK84" i="6"/>
  <c r="AJ77" i="6"/>
  <c r="AJ153" i="6"/>
  <c r="AJ130" i="6"/>
  <c r="AK72" i="6"/>
  <c r="AK64" i="6"/>
  <c r="AK117" i="6"/>
  <c r="AJ114" i="6"/>
  <c r="AJ106" i="6"/>
  <c r="AK98" i="6"/>
  <c r="AK94" i="6"/>
  <c r="AK191" i="6"/>
  <c r="AJ159" i="6"/>
  <c r="AK144" i="6"/>
  <c r="AJ87" i="6"/>
  <c r="AK81" i="6"/>
  <c r="AJ167" i="6"/>
  <c r="AK148" i="6"/>
  <c r="AJ144" i="6"/>
  <c r="AK123" i="6"/>
  <c r="AK120" i="6"/>
  <c r="AK190" i="6"/>
  <c r="AK171" i="6"/>
  <c r="AJ155" i="6"/>
  <c r="AK152" i="6"/>
  <c r="AJ131" i="6"/>
  <c r="AK126" i="6"/>
  <c r="AJ123" i="6"/>
  <c r="AK115" i="6"/>
  <c r="AK107" i="6"/>
  <c r="AK104" i="6"/>
  <c r="AJ95" i="6"/>
  <c r="AK89" i="6"/>
  <c r="AK83" i="6"/>
  <c r="AJ82" i="6"/>
  <c r="AJ70" i="6"/>
  <c r="AK69" i="6"/>
  <c r="AJ62" i="6"/>
  <c r="AK61" i="6"/>
  <c r="AJ180" i="6"/>
  <c r="AK175" i="6"/>
  <c r="AJ137" i="6"/>
  <c r="AK129" i="6"/>
  <c r="AK118" i="6"/>
  <c r="AK110" i="6"/>
  <c r="AJ107" i="6"/>
  <c r="AK99" i="6"/>
  <c r="AK96" i="6"/>
  <c r="AK90" i="6"/>
  <c r="AJ83" i="6"/>
  <c r="AK77" i="6"/>
  <c r="AJ69" i="6"/>
  <c r="AJ61" i="6"/>
  <c r="AK60" i="6"/>
  <c r="AJ129" i="6"/>
  <c r="AJ84" i="6"/>
  <c r="AK78" i="6"/>
  <c r="AK75" i="6"/>
  <c r="AJ126" i="6"/>
  <c r="AK76" i="6"/>
  <c r="AK68" i="6"/>
  <c r="AK121" i="6"/>
  <c r="AK113" i="6"/>
  <c r="AJ110" i="6"/>
  <c r="AJ90" i="6"/>
  <c r="AJ76" i="6"/>
  <c r="AJ184" i="6"/>
  <c r="AK143" i="6"/>
  <c r="AJ141" i="6"/>
  <c r="AK102" i="6"/>
  <c r="AK91" i="6"/>
  <c r="AK174" i="6"/>
  <c r="AJ157" i="6"/>
  <c r="AJ149" i="6"/>
  <c r="AK147" i="6"/>
  <c r="AJ145" i="6"/>
  <c r="AJ124" i="6"/>
  <c r="AJ116" i="6"/>
  <c r="AJ113" i="6"/>
  <c r="AJ183" i="6"/>
  <c r="AJ164" i="6"/>
  <c r="AK151" i="6"/>
  <c r="AK134" i="6"/>
  <c r="AK132" i="6"/>
  <c r="AK130" i="6"/>
  <c r="AJ127" i="6"/>
  <c r="AJ119" i="6"/>
  <c r="AJ108" i="6"/>
  <c r="AJ100" i="6"/>
  <c r="AJ97" i="6"/>
  <c r="AJ92" i="6"/>
  <c r="AK86" i="6"/>
  <c r="AJ79" i="6"/>
  <c r="AJ74" i="6"/>
  <c r="AK73" i="6"/>
  <c r="AJ66" i="6"/>
  <c r="AK65" i="6"/>
  <c r="AJ58" i="6"/>
  <c r="AK57" i="6"/>
  <c r="AK198" i="6"/>
  <c r="AK187" i="6"/>
  <c r="AJ168" i="6"/>
  <c r="AK156" i="6"/>
  <c r="AK138" i="6"/>
  <c r="AJ136" i="6"/>
  <c r="AJ122" i="6"/>
  <c r="AM122" i="6" s="1"/>
  <c r="E71" i="7" s="1"/>
  <c r="AK114" i="6"/>
  <c r="AJ111" i="6"/>
  <c r="AJ103" i="6"/>
  <c r="AK93" i="6"/>
  <c r="AK87" i="6"/>
  <c r="AJ86" i="6"/>
  <c r="AJ80" i="6"/>
  <c r="AJ73" i="6"/>
  <c r="AJ65" i="6"/>
  <c r="AJ57" i="6"/>
  <c r="AJ140" i="6"/>
  <c r="AK105" i="6"/>
  <c r="AK79" i="6"/>
  <c r="AJ75" i="6"/>
  <c r="AK67" i="6"/>
  <c r="AJ60" i="6"/>
  <c r="AJ98" i="6"/>
  <c r="AJ88" i="6"/>
  <c r="AM88" i="6" s="1"/>
  <c r="E37" i="7" s="1"/>
  <c r="AJ67" i="6"/>
  <c r="AK58" i="6"/>
  <c r="AK97" i="6"/>
  <c r="AJ78" i="6"/>
  <c r="AK74" i="6"/>
  <c r="AJ72" i="6"/>
  <c r="AK63" i="6"/>
  <c r="AK82" i="6"/>
  <c r="AK70" i="6"/>
  <c r="AJ63" i="6"/>
  <c r="AJ91" i="6"/>
  <c r="AJ68" i="6"/>
  <c r="AK59" i="6"/>
  <c r="AK101" i="6"/>
  <c r="AK95" i="6"/>
  <c r="AK66" i="6"/>
  <c r="AJ59" i="6"/>
  <c r="AK85" i="6"/>
  <c r="AK71" i="6"/>
  <c r="AJ64" i="6"/>
  <c r="AJ94" i="6"/>
  <c r="AJ71" i="6"/>
  <c r="AK62" i="6"/>
  <c r="M39" i="6"/>
  <c r="N39" i="6"/>
  <c r="V39" i="6"/>
  <c r="W39" i="6"/>
  <c r="AM126" i="6" l="1"/>
  <c r="E75" i="7" s="1"/>
  <c r="AM174" i="6"/>
  <c r="E123" i="7" s="1"/>
  <c r="AM113" i="6"/>
  <c r="E62" i="7" s="1"/>
  <c r="AM91" i="6"/>
  <c r="E40" i="7" s="1"/>
  <c r="AM153" i="6"/>
  <c r="E102" i="7" s="1"/>
  <c r="AM159" i="6"/>
  <c r="E108" i="7" s="1"/>
  <c r="AM60" i="6"/>
  <c r="E9" i="7" s="1"/>
  <c r="AF56" i="6"/>
  <c r="E5" i="7"/>
  <c r="AM141" i="6"/>
  <c r="AF88" i="6"/>
  <c r="AF122" i="6"/>
  <c r="AM80" i="6"/>
  <c r="E29" i="7" s="1"/>
  <c r="AM100" i="6"/>
  <c r="E49" i="7" s="1"/>
  <c r="AM140" i="6"/>
  <c r="E89" i="7" s="1"/>
  <c r="AM187" i="6"/>
  <c r="E136" i="7" s="1"/>
  <c r="AM124" i="6"/>
  <c r="E73" i="7" s="1"/>
  <c r="AM94" i="6"/>
  <c r="E43" i="7" s="1"/>
  <c r="AM129" i="6"/>
  <c r="E78" i="7" s="1"/>
  <c r="AM133" i="6"/>
  <c r="E82" i="7" s="1"/>
  <c r="AM164" i="6"/>
  <c r="E113" i="7" s="1"/>
  <c r="AM167" i="6"/>
  <c r="E116" i="7" s="1"/>
  <c r="AM106" i="6"/>
  <c r="E55" i="7" s="1"/>
  <c r="AM160" i="6"/>
  <c r="E109" i="7" s="1"/>
  <c r="AM165" i="6"/>
  <c r="E114" i="7" s="1"/>
  <c r="AM197" i="6"/>
  <c r="E146" i="7" s="1"/>
  <c r="AM189" i="6"/>
  <c r="E138" i="7" s="1"/>
  <c r="AM57" i="6"/>
  <c r="E6" i="7" s="1"/>
  <c r="AM195" i="6"/>
  <c r="E144" i="7" s="1"/>
  <c r="AM61" i="6"/>
  <c r="E10" i="7" s="1"/>
  <c r="AM136" i="6"/>
  <c r="E85" i="7" s="1"/>
  <c r="AM157" i="6"/>
  <c r="E106" i="7" s="1"/>
  <c r="AM83" i="6"/>
  <c r="E32" i="7" s="1"/>
  <c r="AM206" i="6"/>
  <c r="E155" i="7" s="1"/>
  <c r="AM111" i="6"/>
  <c r="E60" i="7" s="1"/>
  <c r="AM142" i="6"/>
  <c r="E91" i="7" s="1"/>
  <c r="AM123" i="6"/>
  <c r="E72" i="7" s="1"/>
  <c r="AM92" i="6"/>
  <c r="E41" i="7" s="1"/>
  <c r="AM73" i="6"/>
  <c r="E22" i="7" s="1"/>
  <c r="AM149" i="6"/>
  <c r="E98" i="7" s="1"/>
  <c r="AM76" i="6"/>
  <c r="E25" i="7" s="1"/>
  <c r="AM137" i="6"/>
  <c r="E86" i="7" s="1"/>
  <c r="AM131" i="6"/>
  <c r="E80" i="7" s="1"/>
  <c r="AM176" i="6"/>
  <c r="E125" i="7" s="1"/>
  <c r="AM108" i="6"/>
  <c r="E57" i="7" s="1"/>
  <c r="AM168" i="6"/>
  <c r="E117" i="7" s="1"/>
  <c r="AM127" i="6"/>
  <c r="E76" i="7" s="1"/>
  <c r="AM95" i="6"/>
  <c r="E44" i="7" s="1"/>
  <c r="AM90" i="6"/>
  <c r="E39" i="7" s="1"/>
  <c r="AM183" i="6"/>
  <c r="E132" i="7" s="1"/>
  <c r="AM145" i="6"/>
  <c r="E94" i="7" s="1"/>
  <c r="AM68" i="6"/>
  <c r="E17" i="7" s="1"/>
  <c r="AM78" i="6"/>
  <c r="E27" i="7" s="1"/>
  <c r="AM64" i="6"/>
  <c r="E13" i="7" s="1"/>
  <c r="AM107" i="6"/>
  <c r="E56" i="7" s="1"/>
  <c r="AM97" i="6"/>
  <c r="E46" i="7" s="1"/>
  <c r="AM77" i="6"/>
  <c r="E26" i="7" s="1"/>
  <c r="AM196" i="6"/>
  <c r="E145" i="7" s="1"/>
  <c r="AM181" i="6"/>
  <c r="E130" i="7" s="1"/>
  <c r="AM173" i="6"/>
  <c r="E122" i="7" s="1"/>
  <c r="AM86" i="6"/>
  <c r="E35" i="7" s="1"/>
  <c r="AM118" i="6"/>
  <c r="E67" i="7" s="1"/>
  <c r="AM171" i="6"/>
  <c r="E120" i="7" s="1"/>
  <c r="AM117" i="6"/>
  <c r="E66" i="7" s="1"/>
  <c r="AM104" i="6"/>
  <c r="E53" i="7" s="1"/>
  <c r="AM194" i="6"/>
  <c r="E143" i="7" s="1"/>
  <c r="AM116" i="6"/>
  <c r="E65" i="7" s="1"/>
  <c r="AM62" i="6"/>
  <c r="E11" i="7" s="1"/>
  <c r="AM135" i="6"/>
  <c r="E84" i="7" s="1"/>
  <c r="AM170" i="6"/>
  <c r="E119" i="7" s="1"/>
  <c r="AM202" i="6"/>
  <c r="E151" i="7" s="1"/>
  <c r="AM103" i="6"/>
  <c r="E52" i="7" s="1"/>
  <c r="AM79" i="6"/>
  <c r="E28" i="7" s="1"/>
  <c r="AM147" i="6"/>
  <c r="E96" i="7" s="1"/>
  <c r="AM81" i="6"/>
  <c r="E30" i="7" s="1"/>
  <c r="AM146" i="6"/>
  <c r="E95" i="7" s="1"/>
  <c r="AM185" i="6"/>
  <c r="E134" i="7" s="1"/>
  <c r="AM200" i="6"/>
  <c r="E149" i="7" s="1"/>
  <c r="L56" i="6"/>
  <c r="AM114" i="6"/>
  <c r="E63" i="7" s="1"/>
  <c r="AM143" i="6"/>
  <c r="E92" i="7" s="1"/>
  <c r="AM154" i="6"/>
  <c r="E103" i="7" s="1"/>
  <c r="AM134" i="6"/>
  <c r="E83" i="7" s="1"/>
  <c r="AM110" i="6"/>
  <c r="E59" i="7" s="1"/>
  <c r="U56" i="6"/>
  <c r="AM156" i="6"/>
  <c r="E105" i="7" s="1"/>
  <c r="AM150" i="6"/>
  <c r="E99" i="7" s="1"/>
  <c r="AM120" i="6"/>
  <c r="E69" i="7" s="1"/>
  <c r="AM205" i="6"/>
  <c r="E154" i="7" s="1"/>
  <c r="AM66" i="6"/>
  <c r="E15" i="7" s="1"/>
  <c r="AM63" i="6"/>
  <c r="E12" i="7" s="1"/>
  <c r="AM119" i="6"/>
  <c r="E68" i="7" s="1"/>
  <c r="AM99" i="6"/>
  <c r="E48" i="7" s="1"/>
  <c r="AM87" i="6"/>
  <c r="E36" i="7" s="1"/>
  <c r="AM188" i="6"/>
  <c r="E137" i="7" s="1"/>
  <c r="AM121" i="6"/>
  <c r="E70" i="7" s="1"/>
  <c r="AM172" i="6"/>
  <c r="E121" i="7" s="1"/>
  <c r="AM125" i="6"/>
  <c r="E74" i="7" s="1"/>
  <c r="AM112" i="6"/>
  <c r="E61" i="7" s="1"/>
  <c r="AM169" i="6"/>
  <c r="E118" i="7" s="1"/>
  <c r="AM201" i="6"/>
  <c r="E150" i="7" s="1"/>
  <c r="AM199" i="6"/>
  <c r="E148" i="7" s="1"/>
  <c r="AM59" i="6"/>
  <c r="E8" i="7" s="1"/>
  <c r="AM93" i="6"/>
  <c r="E42" i="7" s="1"/>
  <c r="AM179" i="6"/>
  <c r="E128" i="7" s="1"/>
  <c r="AM152" i="6"/>
  <c r="E101" i="7" s="1"/>
  <c r="AM138" i="6"/>
  <c r="E87" i="7" s="1"/>
  <c r="AM182" i="6"/>
  <c r="E131" i="7" s="1"/>
  <c r="AM177" i="6"/>
  <c r="E126" i="7" s="1"/>
  <c r="AM74" i="6"/>
  <c r="E23" i="7" s="1"/>
  <c r="AM69" i="6"/>
  <c r="E18" i="7" s="1"/>
  <c r="AM70" i="6"/>
  <c r="E19" i="7" s="1"/>
  <c r="AM191" i="6"/>
  <c r="E140" i="7" s="1"/>
  <c r="AM130" i="6"/>
  <c r="E79" i="7" s="1"/>
  <c r="AM105" i="6"/>
  <c r="E54" i="7" s="1"/>
  <c r="AM132" i="6"/>
  <c r="E81" i="7" s="1"/>
  <c r="AM178" i="6"/>
  <c r="E127" i="7" s="1"/>
  <c r="AM203" i="6"/>
  <c r="E152" i="7" s="1"/>
  <c r="AM158" i="6"/>
  <c r="E107" i="7" s="1"/>
  <c r="AM190" i="6"/>
  <c r="E139" i="7" s="1"/>
  <c r="AD56" i="6"/>
  <c r="AM67" i="6"/>
  <c r="E16" i="7" s="1"/>
  <c r="AM71" i="6"/>
  <c r="E20" i="7" s="1"/>
  <c r="AM101" i="6"/>
  <c r="E50" i="7" s="1"/>
  <c r="AM72" i="6"/>
  <c r="E21" i="7" s="1"/>
  <c r="AM98" i="6"/>
  <c r="E47" i="7" s="1"/>
  <c r="AM65" i="6"/>
  <c r="E14" i="7" s="1"/>
  <c r="AM184" i="6"/>
  <c r="E133" i="7" s="1"/>
  <c r="AM82" i="6"/>
  <c r="E31" i="7" s="1"/>
  <c r="AM144" i="6"/>
  <c r="E93" i="7" s="1"/>
  <c r="AM89" i="6"/>
  <c r="E38" i="7" s="1"/>
  <c r="AM163" i="6"/>
  <c r="E112" i="7" s="1"/>
  <c r="AM109" i="6"/>
  <c r="E58" i="7" s="1"/>
  <c r="AM148" i="6"/>
  <c r="E97" i="7" s="1"/>
  <c r="AM96" i="6"/>
  <c r="E45" i="7" s="1"/>
  <c r="AM128" i="6"/>
  <c r="E77" i="7" s="1"/>
  <c r="AM180" i="6"/>
  <c r="E129" i="7" s="1"/>
  <c r="AM192" i="6"/>
  <c r="E141" i="7" s="1"/>
  <c r="AM102" i="6"/>
  <c r="E51" i="7" s="1"/>
  <c r="AM175" i="6"/>
  <c r="E124" i="7" s="1"/>
  <c r="AM186" i="6"/>
  <c r="E135" i="7" s="1"/>
  <c r="AM166" i="6"/>
  <c r="E115" i="7" s="1"/>
  <c r="AM198" i="6"/>
  <c r="E147" i="7" s="1"/>
  <c r="AM161" i="6"/>
  <c r="E110" i="7" s="1"/>
  <c r="AM193" i="6"/>
  <c r="E142" i="7" s="1"/>
  <c r="AM58" i="6"/>
  <c r="E7" i="7" s="1"/>
  <c r="AM151" i="6"/>
  <c r="E100" i="7" s="1"/>
  <c r="AM139" i="6"/>
  <c r="E88" i="7" s="1"/>
  <c r="AM75" i="6"/>
  <c r="E24" i="7" s="1"/>
  <c r="AM84" i="6"/>
  <c r="E33" i="7" s="1"/>
  <c r="AM155" i="6"/>
  <c r="E104" i="7" s="1"/>
  <c r="AM85" i="6"/>
  <c r="E34" i="7" s="1"/>
  <c r="AM115" i="6"/>
  <c r="E64" i="7" s="1"/>
  <c r="AM162" i="6"/>
  <c r="E111" i="7" s="1"/>
  <c r="AM204" i="6"/>
  <c r="E153" i="7" s="1"/>
  <c r="M41" i="6"/>
  <c r="D41" i="6"/>
  <c r="J200" i="6"/>
  <c r="J168" i="6"/>
  <c r="J199" i="6"/>
  <c r="J167" i="6"/>
  <c r="I199" i="6"/>
  <c r="I167" i="6"/>
  <c r="I206" i="6"/>
  <c r="I174" i="6"/>
  <c r="I142" i="6"/>
  <c r="J188" i="6"/>
  <c r="J156" i="6"/>
  <c r="J195" i="6"/>
  <c r="J163" i="6"/>
  <c r="J202" i="6"/>
  <c r="J170" i="6"/>
  <c r="J201" i="6"/>
  <c r="J169" i="6"/>
  <c r="J137" i="6"/>
  <c r="I115" i="6"/>
  <c r="I83" i="6"/>
  <c r="I133" i="6"/>
  <c r="J113" i="6"/>
  <c r="I121" i="6"/>
  <c r="J136" i="6"/>
  <c r="I104" i="6"/>
  <c r="I72" i="6"/>
  <c r="I111" i="6"/>
  <c r="I79" i="6"/>
  <c r="I110" i="6"/>
  <c r="I78" i="6"/>
  <c r="I116" i="6"/>
  <c r="I84" i="6"/>
  <c r="J84" i="6"/>
  <c r="J81" i="6"/>
  <c r="I63" i="6"/>
  <c r="I101" i="6"/>
  <c r="J64" i="6"/>
  <c r="J58" i="6"/>
  <c r="I193" i="6"/>
  <c r="I161" i="6"/>
  <c r="I192" i="6"/>
  <c r="I160" i="6"/>
  <c r="J198" i="6"/>
  <c r="J166" i="6"/>
  <c r="J205" i="6"/>
  <c r="J173" i="6"/>
  <c r="J141" i="6"/>
  <c r="I181" i="6"/>
  <c r="I149" i="6"/>
  <c r="I188" i="6"/>
  <c r="I156" i="6"/>
  <c r="I195" i="6"/>
  <c r="I163" i="6"/>
  <c r="I194" i="6"/>
  <c r="I162" i="6"/>
  <c r="I139" i="6"/>
  <c r="J114" i="6"/>
  <c r="J82" i="6"/>
  <c r="I132" i="6"/>
  <c r="I106" i="6"/>
  <c r="J120" i="6"/>
  <c r="I135" i="6"/>
  <c r="J103" i="6"/>
  <c r="J71" i="6"/>
  <c r="J110" i="6"/>
  <c r="J78" i="6"/>
  <c r="J109" i="6"/>
  <c r="J77" i="6"/>
  <c r="J115" i="6"/>
  <c r="J83" i="6"/>
  <c r="I77" i="6"/>
  <c r="I74" i="6"/>
  <c r="J92" i="6"/>
  <c r="J88" i="6"/>
  <c r="I85" i="6"/>
  <c r="J192" i="6"/>
  <c r="J160" i="6"/>
  <c r="J191" i="6"/>
  <c r="J159" i="6"/>
  <c r="I191" i="6"/>
  <c r="I159" i="6"/>
  <c r="I198" i="6"/>
  <c r="I166" i="6"/>
  <c r="I134" i="6"/>
  <c r="J180" i="6"/>
  <c r="J148" i="6"/>
  <c r="J187" i="6"/>
  <c r="J155" i="6"/>
  <c r="J194" i="6"/>
  <c r="J162" i="6"/>
  <c r="J193" i="6"/>
  <c r="J161" i="6"/>
  <c r="J133" i="6"/>
  <c r="I107" i="6"/>
  <c r="I75" i="6"/>
  <c r="I131" i="6"/>
  <c r="J105" i="6"/>
  <c r="I113" i="6"/>
  <c r="I128" i="6"/>
  <c r="I96" i="6"/>
  <c r="I64" i="6"/>
  <c r="I103" i="6"/>
  <c r="I71" i="6"/>
  <c r="I102" i="6"/>
  <c r="I70" i="6"/>
  <c r="I108" i="6"/>
  <c r="I76" i="6"/>
  <c r="J65" i="6"/>
  <c r="J60" i="6"/>
  <c r="J73" i="6"/>
  <c r="I81" i="6"/>
  <c r="I66" i="6"/>
  <c r="I82" i="6"/>
  <c r="I185" i="6"/>
  <c r="I153" i="6"/>
  <c r="I184" i="6"/>
  <c r="I152" i="6"/>
  <c r="J190" i="6"/>
  <c r="J158" i="6"/>
  <c r="J197" i="6"/>
  <c r="J165" i="6"/>
  <c r="I205" i="6"/>
  <c r="I173" i="6"/>
  <c r="I141" i="6"/>
  <c r="I180" i="6"/>
  <c r="I148" i="6"/>
  <c r="I187" i="6"/>
  <c r="I155" i="6"/>
  <c r="I186" i="6"/>
  <c r="I154" i="6"/>
  <c r="J132" i="6"/>
  <c r="J106" i="6"/>
  <c r="J74" i="6"/>
  <c r="I130" i="6"/>
  <c r="I98" i="6"/>
  <c r="J112" i="6"/>
  <c r="J127" i="6"/>
  <c r="J95" i="6"/>
  <c r="I136" i="6"/>
  <c r="J102" i="6"/>
  <c r="J70" i="6"/>
  <c r="J101" i="6"/>
  <c r="J69" i="6"/>
  <c r="J107" i="6"/>
  <c r="J75" i="6"/>
  <c r="J63" i="6"/>
  <c r="I58" i="6"/>
  <c r="J59" i="6"/>
  <c r="J76" i="6"/>
  <c r="I61" i="6"/>
  <c r="J57" i="6"/>
  <c r="J184" i="6"/>
  <c r="J152" i="6"/>
  <c r="J183" i="6"/>
  <c r="J151" i="6"/>
  <c r="I183" i="6"/>
  <c r="I151" i="6"/>
  <c r="I190" i="6"/>
  <c r="I158" i="6"/>
  <c r="J204" i="6"/>
  <c r="J172" i="6"/>
  <c r="J140" i="6"/>
  <c r="J179" i="6"/>
  <c r="J147" i="6"/>
  <c r="J186" i="6"/>
  <c r="J154" i="6"/>
  <c r="J185" i="6"/>
  <c r="J153" i="6"/>
  <c r="J131" i="6"/>
  <c r="I99" i="6"/>
  <c r="I67" i="6"/>
  <c r="J129" i="6"/>
  <c r="J97" i="6"/>
  <c r="I105" i="6"/>
  <c r="I120" i="6"/>
  <c r="I88" i="6"/>
  <c r="I127" i="6"/>
  <c r="I95" i="6"/>
  <c r="I126" i="6"/>
  <c r="I94" i="6"/>
  <c r="I62" i="6"/>
  <c r="I100" i="6"/>
  <c r="I68" i="6"/>
  <c r="I57" i="6"/>
  <c r="J124" i="6"/>
  <c r="J80" i="6"/>
  <c r="I69" i="6"/>
  <c r="I60" i="6"/>
  <c r="I177" i="6"/>
  <c r="I145" i="6"/>
  <c r="I176" i="6"/>
  <c r="I144" i="6"/>
  <c r="J182" i="6"/>
  <c r="J150" i="6"/>
  <c r="J189" i="6"/>
  <c r="J157" i="6"/>
  <c r="I197" i="6"/>
  <c r="I165" i="6"/>
  <c r="I204" i="6"/>
  <c r="I172" i="6"/>
  <c r="I140" i="6"/>
  <c r="I179" i="6"/>
  <c r="I147" i="6"/>
  <c r="I178" i="6"/>
  <c r="I146" i="6"/>
  <c r="J130" i="6"/>
  <c r="J98" i="6"/>
  <c r="J66" i="6"/>
  <c r="I122" i="6"/>
  <c r="J135" i="6"/>
  <c r="J104" i="6"/>
  <c r="J119" i="6"/>
  <c r="J87" i="6"/>
  <c r="J126" i="6"/>
  <c r="J94" i="6"/>
  <c r="J125" i="6"/>
  <c r="J93" i="6"/>
  <c r="J61" i="6"/>
  <c r="J99" i="6"/>
  <c r="J67" i="6"/>
  <c r="J116" i="6"/>
  <c r="I117" i="6"/>
  <c r="I59" i="6"/>
  <c r="I137" i="6"/>
  <c r="I73" i="6"/>
  <c r="J176" i="6"/>
  <c r="J144" i="6"/>
  <c r="J175" i="6"/>
  <c r="J143" i="6"/>
  <c r="I175" i="6"/>
  <c r="I143" i="6"/>
  <c r="I182" i="6"/>
  <c r="I150" i="6"/>
  <c r="J196" i="6"/>
  <c r="J164" i="6"/>
  <c r="J203" i="6"/>
  <c r="J171" i="6"/>
  <c r="J139" i="6"/>
  <c r="J178" i="6"/>
  <c r="J146" i="6"/>
  <c r="J177" i="6"/>
  <c r="J145" i="6"/>
  <c r="I123" i="6"/>
  <c r="I91" i="6"/>
  <c r="J138" i="6"/>
  <c r="J121" i="6"/>
  <c r="I129" i="6"/>
  <c r="I97" i="6"/>
  <c r="I112" i="6"/>
  <c r="I80" i="6"/>
  <c r="I119" i="6"/>
  <c r="I87" i="6"/>
  <c r="I118" i="6"/>
  <c r="I86" i="6"/>
  <c r="I124" i="6"/>
  <c r="I92" i="6"/>
  <c r="I125" i="6"/>
  <c r="I109" i="6"/>
  <c r="J72" i="6"/>
  <c r="J89" i="6"/>
  <c r="J100" i="6"/>
  <c r="J68" i="6"/>
  <c r="I201" i="6"/>
  <c r="I169" i="6"/>
  <c r="I200" i="6"/>
  <c r="I168" i="6"/>
  <c r="L168" i="6" s="1"/>
  <c r="B117" i="7" s="1"/>
  <c r="J206" i="6"/>
  <c r="J174" i="6"/>
  <c r="J142" i="6"/>
  <c r="J181" i="6"/>
  <c r="J149" i="6"/>
  <c r="I189" i="6"/>
  <c r="I157" i="6"/>
  <c r="I196" i="6"/>
  <c r="I164" i="6"/>
  <c r="I203" i="6"/>
  <c r="I171" i="6"/>
  <c r="I202" i="6"/>
  <c r="L202" i="6" s="1"/>
  <c r="B151" i="7" s="1"/>
  <c r="I170" i="6"/>
  <c r="L170" i="6" s="1"/>
  <c r="B119" i="7" s="1"/>
  <c r="I138" i="6"/>
  <c r="J122" i="6"/>
  <c r="J90" i="6"/>
  <c r="J134" i="6"/>
  <c r="I114" i="6"/>
  <c r="J128" i="6"/>
  <c r="J96" i="6"/>
  <c r="J111" i="6"/>
  <c r="J79" i="6"/>
  <c r="J118" i="6"/>
  <c r="J86" i="6"/>
  <c r="J117" i="6"/>
  <c r="J85" i="6"/>
  <c r="J123" i="6"/>
  <c r="J91" i="6"/>
  <c r="I89" i="6"/>
  <c r="I93" i="6"/>
  <c r="I65" i="6"/>
  <c r="J108" i="6"/>
  <c r="I90" i="6"/>
  <c r="J62" i="6"/>
  <c r="H202" i="6"/>
  <c r="H201" i="6"/>
  <c r="H200" i="6"/>
  <c r="H199" i="6"/>
  <c r="H135" i="6"/>
  <c r="H150" i="6"/>
  <c r="H157" i="6"/>
  <c r="H164" i="6"/>
  <c r="H171" i="6"/>
  <c r="H108" i="6"/>
  <c r="H107" i="6"/>
  <c r="H114" i="6"/>
  <c r="H89" i="6"/>
  <c r="H96" i="6"/>
  <c r="H111" i="6"/>
  <c r="H125" i="6"/>
  <c r="H61" i="6"/>
  <c r="H110" i="6"/>
  <c r="H83" i="6"/>
  <c r="H194" i="6"/>
  <c r="H193" i="6"/>
  <c r="H192" i="6"/>
  <c r="H191" i="6"/>
  <c r="H206" i="6"/>
  <c r="H142" i="6"/>
  <c r="H149" i="6"/>
  <c r="H156" i="6"/>
  <c r="H163" i="6"/>
  <c r="H100" i="6"/>
  <c r="H99" i="6"/>
  <c r="H106" i="6"/>
  <c r="H81" i="6"/>
  <c r="H88" i="6"/>
  <c r="H103" i="6"/>
  <c r="H117" i="6"/>
  <c r="H118" i="6"/>
  <c r="H91" i="6"/>
  <c r="H66" i="6"/>
  <c r="H186" i="6"/>
  <c r="H185" i="6"/>
  <c r="H184" i="6"/>
  <c r="H183" i="6"/>
  <c r="H198" i="6"/>
  <c r="H205" i="6"/>
  <c r="H141" i="6"/>
  <c r="H148" i="6"/>
  <c r="H155" i="6"/>
  <c r="H92" i="6"/>
  <c r="H138" i="6"/>
  <c r="H98" i="6"/>
  <c r="H73" i="6"/>
  <c r="H80" i="6"/>
  <c r="H95" i="6"/>
  <c r="H109" i="6"/>
  <c r="H82" i="6"/>
  <c r="H57" i="6"/>
  <c r="H60" i="6"/>
  <c r="H178" i="6"/>
  <c r="H177" i="6"/>
  <c r="H176" i="6"/>
  <c r="H175" i="6"/>
  <c r="H190" i="6"/>
  <c r="H197" i="6"/>
  <c r="H204" i="6"/>
  <c r="H140" i="6"/>
  <c r="H147" i="6"/>
  <c r="H84" i="6"/>
  <c r="H134" i="6"/>
  <c r="H129" i="6"/>
  <c r="H65" i="6"/>
  <c r="H72" i="6"/>
  <c r="H87" i="6"/>
  <c r="H101" i="6"/>
  <c r="H70" i="6"/>
  <c r="H67" i="6"/>
  <c r="H126" i="6"/>
  <c r="H170" i="6"/>
  <c r="H169" i="6"/>
  <c r="H168" i="6"/>
  <c r="H167" i="6"/>
  <c r="H182" i="6"/>
  <c r="H189" i="6"/>
  <c r="H196" i="6"/>
  <c r="H203" i="6"/>
  <c r="H139" i="6"/>
  <c r="H76" i="6"/>
  <c r="H133" i="6"/>
  <c r="H121" i="6"/>
  <c r="H128" i="6"/>
  <c r="H64" i="6"/>
  <c r="H79" i="6"/>
  <c r="H93" i="6"/>
  <c r="H58" i="6"/>
  <c r="H90" i="6"/>
  <c r="H75" i="6"/>
  <c r="H162" i="6"/>
  <c r="H161" i="6"/>
  <c r="H160" i="6"/>
  <c r="H159" i="6"/>
  <c r="H174" i="6"/>
  <c r="H181" i="6"/>
  <c r="H188" i="6"/>
  <c r="H195" i="6"/>
  <c r="H131" i="6"/>
  <c r="H68" i="6"/>
  <c r="H132" i="6"/>
  <c r="H113" i="6"/>
  <c r="H120" i="6"/>
  <c r="H136" i="6"/>
  <c r="H71" i="6"/>
  <c r="H85" i="6"/>
  <c r="H102" i="6"/>
  <c r="H78" i="6"/>
  <c r="H62" i="6"/>
  <c r="H154" i="6"/>
  <c r="H153" i="6"/>
  <c r="H152" i="6"/>
  <c r="H151" i="6"/>
  <c r="H166" i="6"/>
  <c r="H173" i="6"/>
  <c r="H180" i="6"/>
  <c r="H187" i="6"/>
  <c r="H124" i="6"/>
  <c r="H123" i="6"/>
  <c r="H130" i="6"/>
  <c r="H105" i="6"/>
  <c r="H112" i="6"/>
  <c r="H127" i="6"/>
  <c r="H63" i="6"/>
  <c r="H77" i="6"/>
  <c r="H86" i="6"/>
  <c r="H94" i="6"/>
  <c r="H59" i="6"/>
  <c r="H146" i="6"/>
  <c r="H145" i="6"/>
  <c r="H144" i="6"/>
  <c r="H143" i="6"/>
  <c r="H158" i="6"/>
  <c r="H165" i="6"/>
  <c r="H172" i="6"/>
  <c r="H179" i="6"/>
  <c r="H116" i="6"/>
  <c r="H115" i="6"/>
  <c r="H122" i="6"/>
  <c r="H97" i="6"/>
  <c r="H104" i="6"/>
  <c r="H119" i="6"/>
  <c r="H137" i="6"/>
  <c r="H69" i="6"/>
  <c r="K56" i="6"/>
  <c r="B5" i="4" s="1"/>
  <c r="H74" i="6"/>
  <c r="R206" i="6"/>
  <c r="R203" i="6"/>
  <c r="S202" i="6"/>
  <c r="R195" i="6"/>
  <c r="S194" i="6"/>
  <c r="R187" i="6"/>
  <c r="S186" i="6"/>
  <c r="R179" i="6"/>
  <c r="S178" i="6"/>
  <c r="R171" i="6"/>
  <c r="S170" i="6"/>
  <c r="R163" i="6"/>
  <c r="S162" i="6"/>
  <c r="R155" i="6"/>
  <c r="S154" i="6"/>
  <c r="R147" i="6"/>
  <c r="S146" i="6"/>
  <c r="R139" i="6"/>
  <c r="S138" i="6"/>
  <c r="R131" i="6"/>
  <c r="R202" i="6"/>
  <c r="S201" i="6"/>
  <c r="R194" i="6"/>
  <c r="S193" i="6"/>
  <c r="R186" i="6"/>
  <c r="S185" i="6"/>
  <c r="R178" i="6"/>
  <c r="S177" i="6"/>
  <c r="R170" i="6"/>
  <c r="S169" i="6"/>
  <c r="R162" i="6"/>
  <c r="S161" i="6"/>
  <c r="R154" i="6"/>
  <c r="S153" i="6"/>
  <c r="R146" i="6"/>
  <c r="S145" i="6"/>
  <c r="R138" i="6"/>
  <c r="S137" i="6"/>
  <c r="S204" i="6"/>
  <c r="S198" i="6"/>
  <c r="R197" i="6"/>
  <c r="S192" i="6"/>
  <c r="R191" i="6"/>
  <c r="R185" i="6"/>
  <c r="S172" i="6"/>
  <c r="S166" i="6"/>
  <c r="R165" i="6"/>
  <c r="S160" i="6"/>
  <c r="R159" i="6"/>
  <c r="R153" i="6"/>
  <c r="S140" i="6"/>
  <c r="S134" i="6"/>
  <c r="R133" i="6"/>
  <c r="R127" i="6"/>
  <c r="S126" i="6"/>
  <c r="R119" i="6"/>
  <c r="S118" i="6"/>
  <c r="S205" i="6"/>
  <c r="R204" i="6"/>
  <c r="S199" i="6"/>
  <c r="R198" i="6"/>
  <c r="R192" i="6"/>
  <c r="S179" i="6"/>
  <c r="S173" i="6"/>
  <c r="R172" i="6"/>
  <c r="S167" i="6"/>
  <c r="R166" i="6"/>
  <c r="R160" i="6"/>
  <c r="S147" i="6"/>
  <c r="S141" i="6"/>
  <c r="R140" i="6"/>
  <c r="S135" i="6"/>
  <c r="R134" i="6"/>
  <c r="R126" i="6"/>
  <c r="S125" i="6"/>
  <c r="R118" i="6"/>
  <c r="S117" i="6"/>
  <c r="R189" i="6"/>
  <c r="S184" i="6"/>
  <c r="S176" i="6"/>
  <c r="R173" i="6"/>
  <c r="S168" i="6"/>
  <c r="S128" i="6"/>
  <c r="S122" i="6"/>
  <c r="S116" i="6"/>
  <c r="S98" i="6"/>
  <c r="S90" i="6"/>
  <c r="R83" i="6"/>
  <c r="S206" i="6"/>
  <c r="S203" i="6"/>
  <c r="S195" i="6"/>
  <c r="R184" i="6"/>
  <c r="R201" i="6"/>
  <c r="R193" i="6"/>
  <c r="S190" i="6"/>
  <c r="R190" i="6"/>
  <c r="R182" i="6"/>
  <c r="R174" i="6"/>
  <c r="S171" i="6"/>
  <c r="S163" i="6"/>
  <c r="S155" i="6"/>
  <c r="R152" i="6"/>
  <c r="R144" i="6"/>
  <c r="R136" i="6"/>
  <c r="S133" i="6"/>
  <c r="R130" i="6"/>
  <c r="R124" i="6"/>
  <c r="S111" i="6"/>
  <c r="R104" i="6"/>
  <c r="S103" i="6"/>
  <c r="R96" i="6"/>
  <c r="S95" i="6"/>
  <c r="R199" i="6"/>
  <c r="S196" i="6"/>
  <c r="R196" i="6"/>
  <c r="S191" i="6"/>
  <c r="R188" i="6"/>
  <c r="R205" i="6"/>
  <c r="S200" i="6"/>
  <c r="R183" i="6"/>
  <c r="R175" i="6"/>
  <c r="R167" i="6"/>
  <c r="S164" i="6"/>
  <c r="S156" i="6"/>
  <c r="S148" i="6"/>
  <c r="R145" i="6"/>
  <c r="R137" i="6"/>
  <c r="S120" i="6"/>
  <c r="S114" i="6"/>
  <c r="R113" i="6"/>
  <c r="R109" i="6"/>
  <c r="S108" i="6"/>
  <c r="R101" i="6"/>
  <c r="S100" i="6"/>
  <c r="R93" i="6"/>
  <c r="S92" i="6"/>
  <c r="R85" i="6"/>
  <c r="S84" i="6"/>
  <c r="R77" i="6"/>
  <c r="S76" i="6"/>
  <c r="R69" i="6"/>
  <c r="S68" i="6"/>
  <c r="R61" i="6"/>
  <c r="S60" i="6"/>
  <c r="R121" i="6"/>
  <c r="R107" i="6"/>
  <c r="R99" i="6"/>
  <c r="R91" i="6"/>
  <c r="S82" i="6"/>
  <c r="R75" i="6"/>
  <c r="S66" i="6"/>
  <c r="S58" i="6"/>
  <c r="S187" i="6"/>
  <c r="R200" i="6"/>
  <c r="S197" i="6"/>
  <c r="S189" i="6"/>
  <c r="S181" i="6"/>
  <c r="R164" i="6"/>
  <c r="S159" i="6"/>
  <c r="R156" i="6"/>
  <c r="S151" i="6"/>
  <c r="R148" i="6"/>
  <c r="S143" i="6"/>
  <c r="S127" i="6"/>
  <c r="S121" i="6"/>
  <c r="R120" i="6"/>
  <c r="S115" i="6"/>
  <c r="R114" i="6"/>
  <c r="R108" i="6"/>
  <c r="S107" i="6"/>
  <c r="R100" i="6"/>
  <c r="S99" i="6"/>
  <c r="R92" i="6"/>
  <c r="S91" i="6"/>
  <c r="R84" i="6"/>
  <c r="S83" i="6"/>
  <c r="R76" i="6"/>
  <c r="S75" i="6"/>
  <c r="R68" i="6"/>
  <c r="S67" i="6"/>
  <c r="R60" i="6"/>
  <c r="S59" i="6"/>
  <c r="R181" i="6"/>
  <c r="R151" i="6"/>
  <c r="R143" i="6"/>
  <c r="R135" i="6"/>
  <c r="S132" i="6"/>
  <c r="R115" i="6"/>
  <c r="S106" i="6"/>
  <c r="S74" i="6"/>
  <c r="R67" i="6"/>
  <c r="R59" i="6"/>
  <c r="S85" i="6"/>
  <c r="S131" i="6"/>
  <c r="R168" i="6"/>
  <c r="S165" i="6"/>
  <c r="S149" i="6"/>
  <c r="S174" i="6"/>
  <c r="S152" i="6"/>
  <c r="R149" i="6"/>
  <c r="S136" i="6"/>
  <c r="S130" i="6"/>
  <c r="R123" i="6"/>
  <c r="S104" i="6"/>
  <c r="R89" i="6"/>
  <c r="S180" i="6"/>
  <c r="R177" i="6"/>
  <c r="R161" i="6"/>
  <c r="S158" i="6"/>
  <c r="S142" i="6"/>
  <c r="R125" i="6"/>
  <c r="R111" i="6"/>
  <c r="S102" i="6"/>
  <c r="R95" i="6"/>
  <c r="R180" i="6"/>
  <c r="R158" i="6"/>
  <c r="R142" i="6"/>
  <c r="S139" i="6"/>
  <c r="S113" i="6"/>
  <c r="S109" i="6"/>
  <c r="R102" i="6"/>
  <c r="S93" i="6"/>
  <c r="R90" i="6"/>
  <c r="R86" i="6"/>
  <c r="S80" i="6"/>
  <c r="R73" i="6"/>
  <c r="S63" i="6"/>
  <c r="S183" i="6"/>
  <c r="R157" i="6"/>
  <c r="R141" i="6"/>
  <c r="R129" i="6"/>
  <c r="S124" i="6"/>
  <c r="S96" i="6"/>
  <c r="S81" i="6"/>
  <c r="S77" i="6"/>
  <c r="R74" i="6"/>
  <c r="S64" i="6"/>
  <c r="R57" i="6"/>
  <c r="R169" i="6"/>
  <c r="S150" i="6"/>
  <c r="S112" i="6"/>
  <c r="S110" i="6"/>
  <c r="S94" i="6"/>
  <c r="S88" i="6"/>
  <c r="R81" i="6"/>
  <c r="S119" i="6"/>
  <c r="R112" i="6"/>
  <c r="S101" i="6"/>
  <c r="R94" i="6"/>
  <c r="R88" i="6"/>
  <c r="R71" i="6"/>
  <c r="S65" i="6"/>
  <c r="S61" i="6"/>
  <c r="R58" i="6"/>
  <c r="R128" i="6"/>
  <c r="S97" i="6"/>
  <c r="S89" i="6"/>
  <c r="R82" i="6"/>
  <c r="R176" i="6"/>
  <c r="S157" i="6"/>
  <c r="R132" i="6"/>
  <c r="S129" i="6"/>
  <c r="R122" i="6"/>
  <c r="S105" i="6"/>
  <c r="R98" i="6"/>
  <c r="S87" i="6"/>
  <c r="R80" i="6"/>
  <c r="S70" i="6"/>
  <c r="R63" i="6"/>
  <c r="S57" i="6"/>
  <c r="S144" i="6"/>
  <c r="R117" i="6"/>
  <c r="R105" i="6"/>
  <c r="R87" i="6"/>
  <c r="R70" i="6"/>
  <c r="S182" i="6"/>
  <c r="R103" i="6"/>
  <c r="S71" i="6"/>
  <c r="R64" i="6"/>
  <c r="S188" i="6"/>
  <c r="S175" i="6"/>
  <c r="R150" i="6"/>
  <c r="R110" i="6"/>
  <c r="S78" i="6"/>
  <c r="S123" i="6"/>
  <c r="R116" i="6"/>
  <c r="R106" i="6"/>
  <c r="R78" i="6"/>
  <c r="S72" i="6"/>
  <c r="R65" i="6"/>
  <c r="R97" i="6"/>
  <c r="S69" i="6"/>
  <c r="S86" i="6"/>
  <c r="S79" i="6"/>
  <c r="S62" i="6"/>
  <c r="R79" i="6"/>
  <c r="S73" i="6"/>
  <c r="R62" i="6"/>
  <c r="R72" i="6"/>
  <c r="R66" i="6"/>
  <c r="Q204" i="6"/>
  <c r="Q196" i="6"/>
  <c r="Q188" i="6"/>
  <c r="Q180" i="6"/>
  <c r="Q172" i="6"/>
  <c r="Q164" i="6"/>
  <c r="Q156" i="6"/>
  <c r="Q148" i="6"/>
  <c r="Q140" i="6"/>
  <c r="Q132" i="6"/>
  <c r="Q203" i="6"/>
  <c r="Q195" i="6"/>
  <c r="Q187" i="6"/>
  <c r="Q179" i="6"/>
  <c r="Q171" i="6"/>
  <c r="Q163" i="6"/>
  <c r="Q155" i="6"/>
  <c r="Q147" i="6"/>
  <c r="Q139" i="6"/>
  <c r="Q131" i="6"/>
  <c r="Q190" i="6"/>
  <c r="Q184" i="6"/>
  <c r="Q178" i="6"/>
  <c r="Q158" i="6"/>
  <c r="Q152" i="6"/>
  <c r="Q146" i="6"/>
  <c r="Q128" i="6"/>
  <c r="Q120" i="6"/>
  <c r="Q112" i="6"/>
  <c r="Q197" i="6"/>
  <c r="Q191" i="6"/>
  <c r="Q185" i="6"/>
  <c r="Q165" i="6"/>
  <c r="Q159" i="6"/>
  <c r="Q153" i="6"/>
  <c r="Q133" i="6"/>
  <c r="Q127" i="6"/>
  <c r="Q119" i="6"/>
  <c r="Q200" i="6"/>
  <c r="Q192" i="6"/>
  <c r="Q170" i="6"/>
  <c r="Q162" i="6"/>
  <c r="Q60" i="6"/>
  <c r="Q189" i="6"/>
  <c r="Q206" i="6"/>
  <c r="Q198" i="6"/>
  <c r="Q201" i="6"/>
  <c r="Q193" i="6"/>
  <c r="Q157" i="6"/>
  <c r="Q149" i="6"/>
  <c r="Q141" i="6"/>
  <c r="Q129" i="6"/>
  <c r="Q123" i="6"/>
  <c r="Q117" i="6"/>
  <c r="Q105" i="6"/>
  <c r="Q97" i="6"/>
  <c r="Q199" i="6"/>
  <c r="Q202" i="6"/>
  <c r="Q194" i="6"/>
  <c r="Q186" i="6"/>
  <c r="Q150" i="6"/>
  <c r="Q142" i="6"/>
  <c r="Q134" i="6"/>
  <c r="Q126" i="6"/>
  <c r="Q110" i="6"/>
  <c r="Q102" i="6"/>
  <c r="Q94" i="6"/>
  <c r="Q86" i="6"/>
  <c r="Q78" i="6"/>
  <c r="Q70" i="6"/>
  <c r="Q62" i="6"/>
  <c r="Q114" i="6"/>
  <c r="Q84" i="6"/>
  <c r="Q68" i="6"/>
  <c r="Q181" i="6"/>
  <c r="Q205" i="6"/>
  <c r="Q183" i="6"/>
  <c r="Q175" i="6"/>
  <c r="Q167" i="6"/>
  <c r="Q145" i="6"/>
  <c r="Q137" i="6"/>
  <c r="Q113" i="6"/>
  <c r="Q109" i="6"/>
  <c r="Q101" i="6"/>
  <c r="Q93" i="6"/>
  <c r="Q85" i="6"/>
  <c r="Q77" i="6"/>
  <c r="Q69" i="6"/>
  <c r="Q61" i="6"/>
  <c r="Q154" i="6"/>
  <c r="Q108" i="6"/>
  <c r="Q100" i="6"/>
  <c r="Q92" i="6"/>
  <c r="Q76" i="6"/>
  <c r="Q75" i="6"/>
  <c r="Q168" i="6"/>
  <c r="Q116" i="6"/>
  <c r="Q106" i="6"/>
  <c r="Q174" i="6"/>
  <c r="Q136" i="6"/>
  <c r="Q130" i="6"/>
  <c r="Q118" i="6"/>
  <c r="Q104" i="6"/>
  <c r="Q177" i="6"/>
  <c r="Q161" i="6"/>
  <c r="Q125" i="6"/>
  <c r="Q111" i="6"/>
  <c r="Q95" i="6"/>
  <c r="Q83" i="6"/>
  <c r="Q79" i="6"/>
  <c r="Q66" i="6"/>
  <c r="Q67" i="6"/>
  <c r="Q144" i="6"/>
  <c r="Q91" i="6"/>
  <c r="Q182" i="6"/>
  <c r="Q103" i="6"/>
  <c r="Q121" i="6"/>
  <c r="Q71" i="6"/>
  <c r="Q58" i="6"/>
  <c r="Q173" i="6"/>
  <c r="Q151" i="6"/>
  <c r="Q135" i="6"/>
  <c r="Q115" i="6"/>
  <c r="Q107" i="6"/>
  <c r="Q90" i="6"/>
  <c r="Q73" i="6"/>
  <c r="Q176" i="6"/>
  <c r="Q160" i="6"/>
  <c r="Q138" i="6"/>
  <c r="Q122" i="6"/>
  <c r="Q98" i="6"/>
  <c r="Q80" i="6"/>
  <c r="Q63" i="6"/>
  <c r="Q166" i="6"/>
  <c r="Q124" i="6"/>
  <c r="Q96" i="6"/>
  <c r="Q87" i="6"/>
  <c r="Q74" i="6"/>
  <c r="Q57" i="6"/>
  <c r="Q169" i="6"/>
  <c r="Q81" i="6"/>
  <c r="Q64" i="6"/>
  <c r="Q143" i="6"/>
  <c r="Q99" i="6"/>
  <c r="Q88" i="6"/>
  <c r="Q82" i="6"/>
  <c r="Q65" i="6"/>
  <c r="Q59" i="6"/>
  <c r="Q89" i="6"/>
  <c r="T56" i="6"/>
  <c r="Q72" i="6"/>
  <c r="Z202" i="6"/>
  <c r="Z194" i="6"/>
  <c r="Z186" i="6"/>
  <c r="Z178" i="6"/>
  <c r="Z170" i="6"/>
  <c r="Z162" i="6"/>
  <c r="Z154" i="6"/>
  <c r="Z146" i="6"/>
  <c r="Z138" i="6"/>
  <c r="Z201" i="6"/>
  <c r="Z193" i="6"/>
  <c r="Z185" i="6"/>
  <c r="Z177" i="6"/>
  <c r="Z169" i="6"/>
  <c r="Z161" i="6"/>
  <c r="Z153" i="6"/>
  <c r="Z145" i="6"/>
  <c r="Z137" i="6"/>
  <c r="Z200" i="6"/>
  <c r="Z192" i="6"/>
  <c r="Z184" i="6"/>
  <c r="Z176" i="6"/>
  <c r="Z168" i="6"/>
  <c r="Z160" i="6"/>
  <c r="Z152" i="6"/>
  <c r="Z144" i="6"/>
  <c r="Z136" i="6"/>
  <c r="Z199" i="6"/>
  <c r="Z191" i="6"/>
  <c r="Z183" i="6"/>
  <c r="Z175" i="6"/>
  <c r="Z167" i="6"/>
  <c r="Z159" i="6"/>
  <c r="Z151" i="6"/>
  <c r="Z143" i="6"/>
  <c r="Z135" i="6"/>
  <c r="Z206" i="6"/>
  <c r="Z198" i="6"/>
  <c r="Z190" i="6"/>
  <c r="Z182" i="6"/>
  <c r="Z174" i="6"/>
  <c r="Z166" i="6"/>
  <c r="Z158" i="6"/>
  <c r="Z150" i="6"/>
  <c r="Z142" i="6"/>
  <c r="Z134" i="6"/>
  <c r="Z205" i="6"/>
  <c r="Z197" i="6"/>
  <c r="Z189" i="6"/>
  <c r="Z181" i="6"/>
  <c r="Z173" i="6"/>
  <c r="Z165" i="6"/>
  <c r="Z157" i="6"/>
  <c r="Z149" i="6"/>
  <c r="Z141" i="6"/>
  <c r="Z133" i="6"/>
  <c r="Z204" i="6"/>
  <c r="Z196" i="6"/>
  <c r="Z188" i="6"/>
  <c r="Z180" i="6"/>
  <c r="Z172" i="6"/>
  <c r="Z164" i="6"/>
  <c r="Z156" i="6"/>
  <c r="Z148" i="6"/>
  <c r="Z140" i="6"/>
  <c r="Z132" i="6"/>
  <c r="Z203" i="6"/>
  <c r="Z195" i="6"/>
  <c r="Z187" i="6"/>
  <c r="Z179" i="6"/>
  <c r="Z171" i="6"/>
  <c r="Z163" i="6"/>
  <c r="Z155" i="6"/>
  <c r="Z147" i="6"/>
  <c r="Z139" i="6"/>
  <c r="Z128" i="6"/>
  <c r="Z120" i="6"/>
  <c r="Z112" i="6"/>
  <c r="Z104" i="6"/>
  <c r="Z96" i="6"/>
  <c r="Z88" i="6"/>
  <c r="Z80" i="6"/>
  <c r="Z127" i="6"/>
  <c r="Z119" i="6"/>
  <c r="Z111" i="6"/>
  <c r="Z126" i="6"/>
  <c r="Z118" i="6"/>
  <c r="Z125" i="6"/>
  <c r="Z117" i="6"/>
  <c r="Z109" i="6"/>
  <c r="Z101" i="6"/>
  <c r="Z93" i="6"/>
  <c r="Z85" i="6"/>
  <c r="Z77" i="6"/>
  <c r="Z69" i="6"/>
  <c r="Z61" i="6"/>
  <c r="Z124" i="6"/>
  <c r="Z116" i="6"/>
  <c r="Z108" i="6"/>
  <c r="Z100" i="6"/>
  <c r="Z92" i="6"/>
  <c r="Z84" i="6"/>
  <c r="Z131" i="6"/>
  <c r="Z123" i="6"/>
  <c r="Z115" i="6"/>
  <c r="Z130" i="6"/>
  <c r="Z122" i="6"/>
  <c r="Z114" i="6"/>
  <c r="Z129" i="6"/>
  <c r="Z121" i="6"/>
  <c r="Z113" i="6"/>
  <c r="Z105" i="6"/>
  <c r="Z97" i="6"/>
  <c r="Z89" i="6"/>
  <c r="Z81" i="6"/>
  <c r="Z73" i="6"/>
  <c r="Z65" i="6"/>
  <c r="Z57" i="6"/>
  <c r="Z107" i="6"/>
  <c r="Z91" i="6"/>
  <c r="Z70" i="6"/>
  <c r="Z64" i="6"/>
  <c r="Z98" i="6"/>
  <c r="Z71" i="6"/>
  <c r="Z58" i="6"/>
  <c r="Z103" i="6"/>
  <c r="Z110" i="6"/>
  <c r="Z99" i="6"/>
  <c r="Z83" i="6"/>
  <c r="Z67" i="6"/>
  <c r="AC56" i="6"/>
  <c r="Z106" i="6"/>
  <c r="Z90" i="6"/>
  <c r="Z74" i="6"/>
  <c r="Z68" i="6"/>
  <c r="Z95" i="6"/>
  <c r="Z62" i="6"/>
  <c r="Z76" i="6"/>
  <c r="Z87" i="6"/>
  <c r="Z78" i="6"/>
  <c r="Z59" i="6"/>
  <c r="Z94" i="6"/>
  <c r="Z66" i="6"/>
  <c r="Z75" i="6"/>
  <c r="Z86" i="6"/>
  <c r="Z63" i="6"/>
  <c r="Z82" i="6"/>
  <c r="Z72" i="6"/>
  <c r="Z102" i="6"/>
  <c r="Z79" i="6"/>
  <c r="Z60" i="6"/>
  <c r="AA201" i="6"/>
  <c r="AB200" i="6"/>
  <c r="AA193" i="6"/>
  <c r="AB192" i="6"/>
  <c r="AA185" i="6"/>
  <c r="AB184" i="6"/>
  <c r="AA177" i="6"/>
  <c r="AB176" i="6"/>
  <c r="AA169" i="6"/>
  <c r="AB168" i="6"/>
  <c r="AA161" i="6"/>
  <c r="AB160" i="6"/>
  <c r="AA153" i="6"/>
  <c r="AB152" i="6"/>
  <c r="AA145" i="6"/>
  <c r="AB144" i="6"/>
  <c r="AA137" i="6"/>
  <c r="AB136" i="6"/>
  <c r="AA200" i="6"/>
  <c r="AB199" i="6"/>
  <c r="AA192" i="6"/>
  <c r="AB191" i="6"/>
  <c r="AA184" i="6"/>
  <c r="AB183" i="6"/>
  <c r="AA176" i="6"/>
  <c r="AB175" i="6"/>
  <c r="AA168" i="6"/>
  <c r="AB167" i="6"/>
  <c r="AA160" i="6"/>
  <c r="AB159" i="6"/>
  <c r="AA152" i="6"/>
  <c r="AB151" i="6"/>
  <c r="AA144" i="6"/>
  <c r="AB143" i="6"/>
  <c r="AA136" i="6"/>
  <c r="AB135" i="6"/>
  <c r="AB206" i="6"/>
  <c r="AA199" i="6"/>
  <c r="AB198" i="6"/>
  <c r="AA191" i="6"/>
  <c r="AB190" i="6"/>
  <c r="AA183" i="6"/>
  <c r="AB182" i="6"/>
  <c r="AA175" i="6"/>
  <c r="AB174" i="6"/>
  <c r="AA167" i="6"/>
  <c r="AB166" i="6"/>
  <c r="AA159" i="6"/>
  <c r="AB158" i="6"/>
  <c r="AA151" i="6"/>
  <c r="AB150" i="6"/>
  <c r="AA143" i="6"/>
  <c r="AB142" i="6"/>
  <c r="AA135" i="6"/>
  <c r="AB134" i="6"/>
  <c r="AA206" i="6"/>
  <c r="AB205" i="6"/>
  <c r="AA198" i="6"/>
  <c r="AB197" i="6"/>
  <c r="AA190" i="6"/>
  <c r="AB189" i="6"/>
  <c r="AA182" i="6"/>
  <c r="AB181" i="6"/>
  <c r="AA174" i="6"/>
  <c r="AB173" i="6"/>
  <c r="AA166" i="6"/>
  <c r="AB165" i="6"/>
  <c r="AA158" i="6"/>
  <c r="AB157" i="6"/>
  <c r="AA150" i="6"/>
  <c r="AB149" i="6"/>
  <c r="AA142" i="6"/>
  <c r="AB141" i="6"/>
  <c r="AA205" i="6"/>
  <c r="AB204" i="6"/>
  <c r="AA197" i="6"/>
  <c r="AB196" i="6"/>
  <c r="AA189" i="6"/>
  <c r="AB188" i="6"/>
  <c r="AA181" i="6"/>
  <c r="AB180" i="6"/>
  <c r="AA173" i="6"/>
  <c r="AB172" i="6"/>
  <c r="AA165" i="6"/>
  <c r="AB164" i="6"/>
  <c r="AA157" i="6"/>
  <c r="AB156" i="6"/>
  <c r="AA149" i="6"/>
  <c r="AB148" i="6"/>
  <c r="AA141" i="6"/>
  <c r="AB140" i="6"/>
  <c r="AA133" i="6"/>
  <c r="AB132" i="6"/>
  <c r="AA204" i="6"/>
  <c r="AB203" i="6"/>
  <c r="AA196" i="6"/>
  <c r="AB195" i="6"/>
  <c r="AA188" i="6"/>
  <c r="AB187" i="6"/>
  <c r="AA180" i="6"/>
  <c r="AB179" i="6"/>
  <c r="AA172" i="6"/>
  <c r="AB171" i="6"/>
  <c r="AA164" i="6"/>
  <c r="AB163" i="6"/>
  <c r="AA156" i="6"/>
  <c r="AB155" i="6"/>
  <c r="AA148" i="6"/>
  <c r="AB147" i="6"/>
  <c r="AA140" i="6"/>
  <c r="AB139" i="6"/>
  <c r="AA132" i="6"/>
  <c r="AB131" i="6"/>
  <c r="AA203" i="6"/>
  <c r="AB202" i="6"/>
  <c r="AA195" i="6"/>
  <c r="AB194" i="6"/>
  <c r="AA187" i="6"/>
  <c r="AB186" i="6"/>
  <c r="AA179" i="6"/>
  <c r="AB178" i="6"/>
  <c r="AA171" i="6"/>
  <c r="AB170" i="6"/>
  <c r="AA163" i="6"/>
  <c r="AB162" i="6"/>
  <c r="AA155" i="6"/>
  <c r="AB154" i="6"/>
  <c r="AA147" i="6"/>
  <c r="AB146" i="6"/>
  <c r="AA139" i="6"/>
  <c r="AB138" i="6"/>
  <c r="AA202" i="6"/>
  <c r="AB201" i="6"/>
  <c r="AA194" i="6"/>
  <c r="AB193" i="6"/>
  <c r="AA186" i="6"/>
  <c r="AB185" i="6"/>
  <c r="AA178" i="6"/>
  <c r="AB177" i="6"/>
  <c r="AA170" i="6"/>
  <c r="AB169" i="6"/>
  <c r="AA162" i="6"/>
  <c r="AB161" i="6"/>
  <c r="AA154" i="6"/>
  <c r="AB153" i="6"/>
  <c r="AA146" i="6"/>
  <c r="AB145" i="6"/>
  <c r="AA138" i="6"/>
  <c r="AB137" i="6"/>
  <c r="AA134" i="6"/>
  <c r="AA127" i="6"/>
  <c r="AB126" i="6"/>
  <c r="AA119" i="6"/>
  <c r="AB118" i="6"/>
  <c r="AA111" i="6"/>
  <c r="AB110" i="6"/>
  <c r="AA103" i="6"/>
  <c r="AB102" i="6"/>
  <c r="AA95" i="6"/>
  <c r="AB94" i="6"/>
  <c r="AA87" i="6"/>
  <c r="AB86" i="6"/>
  <c r="AB133" i="6"/>
  <c r="AA126" i="6"/>
  <c r="AB125" i="6"/>
  <c r="AA118" i="6"/>
  <c r="AB117" i="6"/>
  <c r="AA110" i="6"/>
  <c r="AB109" i="6"/>
  <c r="AA125" i="6"/>
  <c r="AB124" i="6"/>
  <c r="AA117" i="6"/>
  <c r="AB116" i="6"/>
  <c r="AA124" i="6"/>
  <c r="AB123" i="6"/>
  <c r="AA116" i="6"/>
  <c r="AB115" i="6"/>
  <c r="AA108" i="6"/>
  <c r="AB107" i="6"/>
  <c r="AA100" i="6"/>
  <c r="AB99" i="6"/>
  <c r="AA92" i="6"/>
  <c r="AB91" i="6"/>
  <c r="AA84" i="6"/>
  <c r="AB83" i="6"/>
  <c r="AA76" i="6"/>
  <c r="AB75" i="6"/>
  <c r="AA68" i="6"/>
  <c r="AB67" i="6"/>
  <c r="AA60" i="6"/>
  <c r="AB59" i="6"/>
  <c r="AA131" i="6"/>
  <c r="AB130" i="6"/>
  <c r="AA123" i="6"/>
  <c r="AB122" i="6"/>
  <c r="AA115" i="6"/>
  <c r="AB114" i="6"/>
  <c r="AA107" i="6"/>
  <c r="AB106" i="6"/>
  <c r="AA99" i="6"/>
  <c r="AB98" i="6"/>
  <c r="AA91" i="6"/>
  <c r="AB90" i="6"/>
  <c r="AA83" i="6"/>
  <c r="AA130" i="6"/>
  <c r="AB129" i="6"/>
  <c r="AA122" i="6"/>
  <c r="AB121" i="6"/>
  <c r="AA114" i="6"/>
  <c r="AB113" i="6"/>
  <c r="AA129" i="6"/>
  <c r="AB128" i="6"/>
  <c r="AA121" i="6"/>
  <c r="AB120" i="6"/>
  <c r="AA113" i="6"/>
  <c r="AB112" i="6"/>
  <c r="AA128" i="6"/>
  <c r="AB127" i="6"/>
  <c r="AA120" i="6"/>
  <c r="AB119" i="6"/>
  <c r="AA112" i="6"/>
  <c r="AB111" i="6"/>
  <c r="AA104" i="6"/>
  <c r="AB103" i="6"/>
  <c r="AA96" i="6"/>
  <c r="AB95" i="6"/>
  <c r="AA88" i="6"/>
  <c r="AB87" i="6"/>
  <c r="AA80" i="6"/>
  <c r="AB79" i="6"/>
  <c r="AA72" i="6"/>
  <c r="AB71" i="6"/>
  <c r="AA64" i="6"/>
  <c r="AB63" i="6"/>
  <c r="AB105" i="6"/>
  <c r="AA98" i="6"/>
  <c r="AB89" i="6"/>
  <c r="AB82" i="6"/>
  <c r="AB78" i="6"/>
  <c r="AA77" i="6"/>
  <c r="AA71" i="6"/>
  <c r="AB65" i="6"/>
  <c r="AA58" i="6"/>
  <c r="AA105" i="6"/>
  <c r="AB96" i="6"/>
  <c r="AA89" i="6"/>
  <c r="AA82" i="6"/>
  <c r="AA78" i="6"/>
  <c r="AB72" i="6"/>
  <c r="AB66" i="6"/>
  <c r="AA65" i="6"/>
  <c r="AA59" i="6"/>
  <c r="AB101" i="6"/>
  <c r="AA106" i="6"/>
  <c r="AB97" i="6"/>
  <c r="AA90" i="6"/>
  <c r="AB80" i="6"/>
  <c r="AA74" i="6"/>
  <c r="AB68" i="6"/>
  <c r="AB62" i="6"/>
  <c r="AA61" i="6"/>
  <c r="AB104" i="6"/>
  <c r="AA97" i="6"/>
  <c r="AB88" i="6"/>
  <c r="AA75" i="6"/>
  <c r="AB69" i="6"/>
  <c r="AA62" i="6"/>
  <c r="AA102" i="6"/>
  <c r="AB108" i="6"/>
  <c r="AA101" i="6"/>
  <c r="AB81" i="6"/>
  <c r="AB76" i="6"/>
  <c r="AA69" i="6"/>
  <c r="AB57" i="6"/>
  <c r="AB100" i="6"/>
  <c r="AB84" i="6"/>
  <c r="AA81" i="6"/>
  <c r="AB64" i="6"/>
  <c r="AA57" i="6"/>
  <c r="AA94" i="6"/>
  <c r="AB73" i="6"/>
  <c r="AA66" i="6"/>
  <c r="AA73" i="6"/>
  <c r="AB61" i="6"/>
  <c r="AB93" i="6"/>
  <c r="AA86" i="6"/>
  <c r="AB70" i="6"/>
  <c r="AA63" i="6"/>
  <c r="AA93" i="6"/>
  <c r="AB77" i="6"/>
  <c r="AA70" i="6"/>
  <c r="AB58" i="6"/>
  <c r="AB85" i="6"/>
  <c r="AA79" i="6"/>
  <c r="AB60" i="6"/>
  <c r="AA109" i="6"/>
  <c r="AB92" i="6"/>
  <c r="AA85" i="6"/>
  <c r="AB74" i="6"/>
  <c r="AA67" i="6"/>
  <c r="AF174" i="6" l="1"/>
  <c r="AF126" i="6"/>
  <c r="AD94" i="6"/>
  <c r="D43" i="7" s="1"/>
  <c r="L163" i="6"/>
  <c r="B112" i="7" s="1"/>
  <c r="AF91" i="6"/>
  <c r="L196" i="6"/>
  <c r="B145" i="7" s="1"/>
  <c r="L80" i="6"/>
  <c r="B29" i="7" s="1"/>
  <c r="L95" i="6"/>
  <c r="B44" i="7" s="1"/>
  <c r="AD66" i="6"/>
  <c r="D15" i="7" s="1"/>
  <c r="U111" i="6"/>
  <c r="C60" i="7" s="1"/>
  <c r="L158" i="6"/>
  <c r="B107" i="7" s="1"/>
  <c r="L156" i="6"/>
  <c r="B105" i="7" s="1"/>
  <c r="L190" i="6"/>
  <c r="B139" i="7" s="1"/>
  <c r="U90" i="6"/>
  <c r="C39" i="7" s="1"/>
  <c r="U125" i="6"/>
  <c r="C74" i="7" s="1"/>
  <c r="AF113" i="6"/>
  <c r="U141" i="6"/>
  <c r="C90" i="7" s="1"/>
  <c r="AF153" i="6"/>
  <c r="L188" i="6"/>
  <c r="B137" i="7" s="1"/>
  <c r="L171" i="6"/>
  <c r="B120" i="7" s="1"/>
  <c r="L203" i="6"/>
  <c r="B152" i="7" s="1"/>
  <c r="U161" i="6"/>
  <c r="C110" i="7" s="1"/>
  <c r="L164" i="6"/>
  <c r="B113" i="7" s="1"/>
  <c r="AF60" i="6"/>
  <c r="L148" i="6"/>
  <c r="B97" i="7" s="1"/>
  <c r="AF159" i="6"/>
  <c r="L180" i="6"/>
  <c r="B129" i="7" s="1"/>
  <c r="L127" i="6"/>
  <c r="B76" i="7" s="1"/>
  <c r="E56" i="6"/>
  <c r="B5" i="7"/>
  <c r="V56" i="6"/>
  <c r="D5" i="4"/>
  <c r="N56" i="6"/>
  <c r="C5" i="7"/>
  <c r="AF141" i="6"/>
  <c r="E90" i="7"/>
  <c r="M56" i="6"/>
  <c r="C5" i="4"/>
  <c r="W56" i="6"/>
  <c r="D5" i="7"/>
  <c r="D56" i="6"/>
  <c r="L195" i="6"/>
  <c r="U167" i="6"/>
  <c r="U153" i="6"/>
  <c r="U87" i="6"/>
  <c r="L109" i="6"/>
  <c r="U176" i="6"/>
  <c r="C125" i="7" s="1"/>
  <c r="W94" i="6"/>
  <c r="AD166" i="6"/>
  <c r="D115" i="7" s="1"/>
  <c r="E168" i="6"/>
  <c r="E170" i="6"/>
  <c r="E202" i="6"/>
  <c r="AF85" i="6"/>
  <c r="AF161" i="6"/>
  <c r="AF128" i="6"/>
  <c r="AF184" i="6"/>
  <c r="AF190" i="6"/>
  <c r="AF70" i="6"/>
  <c r="AF93" i="6"/>
  <c r="AF121" i="6"/>
  <c r="AF120" i="6"/>
  <c r="AF114" i="6"/>
  <c r="AF103" i="6"/>
  <c r="AF117" i="6"/>
  <c r="AF97" i="6"/>
  <c r="AF95" i="6"/>
  <c r="AF149" i="6"/>
  <c r="AF157" i="6"/>
  <c r="AF160" i="6"/>
  <c r="AF187" i="6"/>
  <c r="AF155" i="6"/>
  <c r="AF198" i="6"/>
  <c r="AF96" i="6"/>
  <c r="AF65" i="6"/>
  <c r="AF158" i="6"/>
  <c r="AF69" i="6"/>
  <c r="AF59" i="6"/>
  <c r="AF188" i="6"/>
  <c r="AF150" i="6"/>
  <c r="AF202" i="6"/>
  <c r="AF171" i="6"/>
  <c r="AF107" i="6"/>
  <c r="AF127" i="6"/>
  <c r="AF73" i="6"/>
  <c r="AF136" i="6"/>
  <c r="AF106" i="6"/>
  <c r="AF140" i="6"/>
  <c r="AF84" i="6"/>
  <c r="AF166" i="6"/>
  <c r="AF148" i="6"/>
  <c r="AF98" i="6"/>
  <c r="AF203" i="6"/>
  <c r="AF74" i="6"/>
  <c r="AF199" i="6"/>
  <c r="AF87" i="6"/>
  <c r="AF156" i="6"/>
  <c r="AF200" i="6"/>
  <c r="AF170" i="6"/>
  <c r="AF118" i="6"/>
  <c r="AF64" i="6"/>
  <c r="AF168" i="6"/>
  <c r="AF92" i="6"/>
  <c r="AF61" i="6"/>
  <c r="AF167" i="6"/>
  <c r="AF100" i="6"/>
  <c r="AF75" i="6"/>
  <c r="AF186" i="6"/>
  <c r="AF109" i="6"/>
  <c r="AF72" i="6"/>
  <c r="AF178" i="6"/>
  <c r="AF177" i="6"/>
  <c r="AF201" i="6"/>
  <c r="AF99" i="6"/>
  <c r="AF185" i="6"/>
  <c r="AF135" i="6"/>
  <c r="AF86" i="6"/>
  <c r="AF78" i="6"/>
  <c r="AF108" i="6"/>
  <c r="AF123" i="6"/>
  <c r="AF195" i="6"/>
  <c r="AF164" i="6"/>
  <c r="AF80" i="6"/>
  <c r="AF139" i="6"/>
  <c r="AF175" i="6"/>
  <c r="AF163" i="6"/>
  <c r="AF101" i="6"/>
  <c r="AF132" i="6"/>
  <c r="AF182" i="6"/>
  <c r="AF169" i="6"/>
  <c r="AF119" i="6"/>
  <c r="AF110" i="6"/>
  <c r="AF146" i="6"/>
  <c r="AF62" i="6"/>
  <c r="AF173" i="6"/>
  <c r="AF68" i="6"/>
  <c r="AF176" i="6"/>
  <c r="AF142" i="6"/>
  <c r="AF57" i="6"/>
  <c r="AF133" i="6"/>
  <c r="AF204" i="6"/>
  <c r="AF151" i="6"/>
  <c r="AF102" i="6"/>
  <c r="AF89" i="6"/>
  <c r="AF71" i="6"/>
  <c r="AF105" i="6"/>
  <c r="AF138" i="6"/>
  <c r="AF112" i="6"/>
  <c r="AF63" i="6"/>
  <c r="AF134" i="6"/>
  <c r="AF81" i="6"/>
  <c r="AF116" i="6"/>
  <c r="AF181" i="6"/>
  <c r="AF145" i="6"/>
  <c r="AF131" i="6"/>
  <c r="AF111" i="6"/>
  <c r="AF189" i="6"/>
  <c r="AF129" i="6"/>
  <c r="AF162" i="6"/>
  <c r="AF58" i="6"/>
  <c r="AF192" i="6"/>
  <c r="AF144" i="6"/>
  <c r="AF67" i="6"/>
  <c r="AF130" i="6"/>
  <c r="AF152" i="6"/>
  <c r="AF125" i="6"/>
  <c r="AF66" i="6"/>
  <c r="AF154" i="6"/>
  <c r="AF147" i="6"/>
  <c r="AF194" i="6"/>
  <c r="AF196" i="6"/>
  <c r="AF183" i="6"/>
  <c r="AF137" i="6"/>
  <c r="AF206" i="6"/>
  <c r="AF197" i="6"/>
  <c r="AF94" i="6"/>
  <c r="AF115" i="6"/>
  <c r="AF193" i="6"/>
  <c r="AF180" i="6"/>
  <c r="AF82" i="6"/>
  <c r="AF191" i="6"/>
  <c r="AF179" i="6"/>
  <c r="AF172" i="6"/>
  <c r="AF205" i="6"/>
  <c r="AF143" i="6"/>
  <c r="AF79" i="6"/>
  <c r="AF104" i="6"/>
  <c r="AF77" i="6"/>
  <c r="AF90" i="6"/>
  <c r="AF76" i="6"/>
  <c r="AF83" i="6"/>
  <c r="AF165" i="6"/>
  <c r="AF124" i="6"/>
  <c r="L189" i="6"/>
  <c r="B138" i="7" s="1"/>
  <c r="AD198" i="6"/>
  <c r="D147" i="7" s="1"/>
  <c r="L114" i="6"/>
  <c r="B63" i="7" s="1"/>
  <c r="U169" i="6"/>
  <c r="C118" i="7" s="1"/>
  <c r="U137" i="6"/>
  <c r="C86" i="7" s="1"/>
  <c r="L187" i="6"/>
  <c r="B136" i="7" s="1"/>
  <c r="U128" i="6"/>
  <c r="C77" i="7" s="1"/>
  <c r="U140" i="6"/>
  <c r="C89" i="7" s="1"/>
  <c r="AD134" i="6"/>
  <c r="D83" i="7" s="1"/>
  <c r="U156" i="6"/>
  <c r="C105" i="7" s="1"/>
  <c r="L69" i="6"/>
  <c r="B18" i="7" s="1"/>
  <c r="U122" i="6"/>
  <c r="C71" i="7" s="1"/>
  <c r="U177" i="6"/>
  <c r="C126" i="7" s="1"/>
  <c r="U102" i="6"/>
  <c r="C51" i="7" s="1"/>
  <c r="U160" i="6"/>
  <c r="C109" i="7" s="1"/>
  <c r="U168" i="6"/>
  <c r="C117" i="7" s="1"/>
  <c r="L155" i="6"/>
  <c r="B104" i="7" s="1"/>
  <c r="U116" i="6"/>
  <c r="C65" i="7" s="1"/>
  <c r="U58" i="6"/>
  <c r="C7" i="7" s="1"/>
  <c r="U95" i="6"/>
  <c r="C44" i="7" s="1"/>
  <c r="U205" i="6"/>
  <c r="C154" i="7" s="1"/>
  <c r="L82" i="6"/>
  <c r="B31" i="7" s="1"/>
  <c r="L201" i="6"/>
  <c r="B150" i="7" s="1"/>
  <c r="L103" i="6"/>
  <c r="B52" i="7" s="1"/>
  <c r="L160" i="6"/>
  <c r="B109" i="7" s="1"/>
  <c r="AD122" i="6"/>
  <c r="D71" i="7" s="1"/>
  <c r="U172" i="6"/>
  <c r="C121" i="7" s="1"/>
  <c r="AD182" i="6"/>
  <c r="D131" i="7" s="1"/>
  <c r="U117" i="6"/>
  <c r="C66" i="7" s="1"/>
  <c r="AD130" i="6"/>
  <c r="D79" i="7" s="1"/>
  <c r="U106" i="6"/>
  <c r="C55" i="7" s="1"/>
  <c r="L198" i="6"/>
  <c r="B147" i="7" s="1"/>
  <c r="U66" i="6"/>
  <c r="C15" i="7" s="1"/>
  <c r="L149" i="6"/>
  <c r="B98" i="7" s="1"/>
  <c r="L71" i="6"/>
  <c r="B20" i="7" s="1"/>
  <c r="AD109" i="6"/>
  <c r="D58" i="7" s="1"/>
  <c r="AD97" i="6"/>
  <c r="D46" i="7" s="1"/>
  <c r="U98" i="6"/>
  <c r="C47" i="7" s="1"/>
  <c r="AD114" i="6"/>
  <c r="D63" i="7" s="1"/>
  <c r="L136" i="6"/>
  <c r="B85" i="7" s="1"/>
  <c r="L166" i="6"/>
  <c r="B115" i="7" s="1"/>
  <c r="AD67" i="6"/>
  <c r="D16" i="7" s="1"/>
  <c r="U103" i="6"/>
  <c r="C52" i="7" s="1"/>
  <c r="L169" i="6"/>
  <c r="B118" i="7" s="1"/>
  <c r="L92" i="6"/>
  <c r="B41" i="7" s="1"/>
  <c r="L137" i="6"/>
  <c r="B86" i="7" s="1"/>
  <c r="AD110" i="6"/>
  <c r="D59" i="7" s="1"/>
  <c r="U82" i="6"/>
  <c r="C31" i="7" s="1"/>
  <c r="AD131" i="6"/>
  <c r="D80" i="7" s="1"/>
  <c r="AD86" i="6"/>
  <c r="D35" i="7" s="1"/>
  <c r="AD113" i="6"/>
  <c r="D62" i="7" s="1"/>
  <c r="U135" i="6"/>
  <c r="C84" i="7" s="1"/>
  <c r="U148" i="6"/>
  <c r="C97" i="7" s="1"/>
  <c r="L197" i="6"/>
  <c r="B146" i="7" s="1"/>
  <c r="AD143" i="6"/>
  <c r="D92" i="7" s="1"/>
  <c r="AD175" i="6"/>
  <c r="D124" i="7" s="1"/>
  <c r="U181" i="6"/>
  <c r="C130" i="7" s="1"/>
  <c r="AD65" i="6"/>
  <c r="D14" i="7" s="1"/>
  <c r="L200" i="6"/>
  <c r="B149" i="7" s="1"/>
  <c r="L112" i="6"/>
  <c r="B61" i="7" s="1"/>
  <c r="U65" i="6"/>
  <c r="C14" i="7" s="1"/>
  <c r="U72" i="6"/>
  <c r="C21" i="7" s="1"/>
  <c r="U80" i="6"/>
  <c r="C29" i="7" s="1"/>
  <c r="U185" i="6"/>
  <c r="C134" i="7" s="1"/>
  <c r="L124" i="6"/>
  <c r="B73" i="7" s="1"/>
  <c r="L204" i="6"/>
  <c r="B153" i="7" s="1"/>
  <c r="L81" i="6"/>
  <c r="B30" i="7" s="1"/>
  <c r="U68" i="6"/>
  <c r="C17" i="7" s="1"/>
  <c r="U100" i="6"/>
  <c r="C49" i="7" s="1"/>
  <c r="U166" i="6"/>
  <c r="C115" i="7" s="1"/>
  <c r="L165" i="6"/>
  <c r="B114" i="7" s="1"/>
  <c r="L105" i="6"/>
  <c r="B54" i="7" s="1"/>
  <c r="L87" i="6"/>
  <c r="B36" i="7" s="1"/>
  <c r="L60" i="6"/>
  <c r="B9" i="7" s="1"/>
  <c r="U64" i="6"/>
  <c r="C13" i="7" s="1"/>
  <c r="U112" i="6"/>
  <c r="C61" i="7" s="1"/>
  <c r="U59" i="6"/>
  <c r="C8" i="7" s="1"/>
  <c r="L58" i="6"/>
  <c r="B7" i="7" s="1"/>
  <c r="L173" i="6"/>
  <c r="B122" i="7" s="1"/>
  <c r="U84" i="6"/>
  <c r="C33" i="7" s="1"/>
  <c r="L113" i="6"/>
  <c r="B62" i="7" s="1"/>
  <c r="AD139" i="6"/>
  <c r="D88" i="7" s="1"/>
  <c r="AD171" i="6"/>
  <c r="D120" i="7" s="1"/>
  <c r="AD203" i="6"/>
  <c r="D152" i="7" s="1"/>
  <c r="AD156" i="6"/>
  <c r="D105" i="7" s="1"/>
  <c r="AD188" i="6"/>
  <c r="D137" i="7" s="1"/>
  <c r="U74" i="6"/>
  <c r="C23" i="7" s="1"/>
  <c r="U201" i="6"/>
  <c r="C150" i="7" s="1"/>
  <c r="L93" i="6"/>
  <c r="B42" i="7" s="1"/>
  <c r="L138" i="6"/>
  <c r="B87" i="7" s="1"/>
  <c r="L97" i="6"/>
  <c r="B46" i="7" s="1"/>
  <c r="L182" i="6"/>
  <c r="B131" i="7" s="1"/>
  <c r="L172" i="6"/>
  <c r="B121" i="7" s="1"/>
  <c r="L88" i="6"/>
  <c r="B37" i="7" s="1"/>
  <c r="L125" i="6"/>
  <c r="B74" i="7" s="1"/>
  <c r="U70" i="6"/>
  <c r="C19" i="7" s="1"/>
  <c r="AD57" i="6"/>
  <c r="D6" i="7" s="1"/>
  <c r="U162" i="6"/>
  <c r="C111" i="7" s="1"/>
  <c r="U194" i="6"/>
  <c r="C143" i="7" s="1"/>
  <c r="AD85" i="6"/>
  <c r="D34" i="7" s="1"/>
  <c r="AD120" i="6"/>
  <c r="D69" i="7" s="1"/>
  <c r="AD129" i="6"/>
  <c r="D78" i="7" s="1"/>
  <c r="AD136" i="6"/>
  <c r="D85" i="7" s="1"/>
  <c r="AD168" i="6"/>
  <c r="D117" i="7" s="1"/>
  <c r="AD200" i="6"/>
  <c r="D149" i="7" s="1"/>
  <c r="L65" i="6"/>
  <c r="B14" i="7" s="1"/>
  <c r="L157" i="6"/>
  <c r="B106" i="7" s="1"/>
  <c r="L159" i="6"/>
  <c r="B108" i="7" s="1"/>
  <c r="L57" i="6"/>
  <c r="B6" i="7" s="1"/>
  <c r="L110" i="6"/>
  <c r="B59" i="7" s="1"/>
  <c r="U97" i="6"/>
  <c r="C46" i="7" s="1"/>
  <c r="U118" i="6"/>
  <c r="C67" i="7" s="1"/>
  <c r="L89" i="6"/>
  <c r="B38" i="7" s="1"/>
  <c r="L129" i="6"/>
  <c r="B78" i="7" s="1"/>
  <c r="L59" i="6"/>
  <c r="B8" i="7" s="1"/>
  <c r="L120" i="6"/>
  <c r="B69" i="7" s="1"/>
  <c r="AD93" i="6"/>
  <c r="D42" i="7" s="1"/>
  <c r="AD90" i="6"/>
  <c r="D39" i="7" s="1"/>
  <c r="AD78" i="6"/>
  <c r="D27" i="7" s="1"/>
  <c r="AD186" i="6"/>
  <c r="D135" i="7" s="1"/>
  <c r="AD159" i="6"/>
  <c r="D108" i="7" s="1"/>
  <c r="AD191" i="6"/>
  <c r="D140" i="7" s="1"/>
  <c r="U150" i="6"/>
  <c r="C99" i="7" s="1"/>
  <c r="U88" i="6"/>
  <c r="C37" i="7" s="1"/>
  <c r="U146" i="6"/>
  <c r="C95" i="7" s="1"/>
  <c r="U178" i="6"/>
  <c r="C127" i="7" s="1"/>
  <c r="L175" i="6"/>
  <c r="B124" i="7" s="1"/>
  <c r="L117" i="6"/>
  <c r="B66" i="7" s="1"/>
  <c r="L100" i="6"/>
  <c r="B49" i="7" s="1"/>
  <c r="L107" i="6"/>
  <c r="B56" i="7" s="1"/>
  <c r="L77" i="6"/>
  <c r="B26" i="7" s="1"/>
  <c r="L193" i="6"/>
  <c r="B142" i="7" s="1"/>
  <c r="AD79" i="6"/>
  <c r="D28" i="7" s="1"/>
  <c r="AD82" i="6"/>
  <c r="D31" i="7" s="1"/>
  <c r="AD104" i="6"/>
  <c r="D53" i="7" s="1"/>
  <c r="AD152" i="6"/>
  <c r="D101" i="7" s="1"/>
  <c r="AD184" i="6"/>
  <c r="D133" i="7" s="1"/>
  <c r="U105" i="6"/>
  <c r="C54" i="7" s="1"/>
  <c r="L64" i="6"/>
  <c r="B13" i="7" s="1"/>
  <c r="U151" i="6"/>
  <c r="C100" i="7" s="1"/>
  <c r="U114" i="6"/>
  <c r="C63" i="7" s="1"/>
  <c r="L119" i="6"/>
  <c r="B68" i="7" s="1"/>
  <c r="L147" i="6"/>
  <c r="B96" i="7" s="1"/>
  <c r="AD102" i="6"/>
  <c r="D51" i="7" s="1"/>
  <c r="AD59" i="6"/>
  <c r="D8" i="7" s="1"/>
  <c r="L179" i="6"/>
  <c r="B128" i="7" s="1"/>
  <c r="L99" i="6"/>
  <c r="B48" i="7" s="1"/>
  <c r="L205" i="6"/>
  <c r="B154" i="7" s="1"/>
  <c r="L185" i="6"/>
  <c r="B134" i="7" s="1"/>
  <c r="L132" i="6"/>
  <c r="B81" i="7" s="1"/>
  <c r="L115" i="6"/>
  <c r="B64" i="7" s="1"/>
  <c r="U110" i="6"/>
  <c r="C59" i="7" s="1"/>
  <c r="U71" i="6"/>
  <c r="C20" i="7" s="1"/>
  <c r="U123" i="6"/>
  <c r="C72" i="7" s="1"/>
  <c r="U115" i="6"/>
  <c r="C64" i="7" s="1"/>
  <c r="U91" i="6"/>
  <c r="C40" i="7" s="1"/>
  <c r="U184" i="6"/>
  <c r="C133" i="7" s="1"/>
  <c r="U195" i="6"/>
  <c r="C144" i="7" s="1"/>
  <c r="L143" i="6"/>
  <c r="B92" i="7" s="1"/>
  <c r="L176" i="6"/>
  <c r="B125" i="7" s="1"/>
  <c r="L68" i="6"/>
  <c r="B17" i="7" s="1"/>
  <c r="L98" i="6"/>
  <c r="B47" i="7" s="1"/>
  <c r="L75" i="6"/>
  <c r="B24" i="7" s="1"/>
  <c r="L74" i="6"/>
  <c r="B23" i="7" s="1"/>
  <c r="L139" i="6"/>
  <c r="B88" i="7" s="1"/>
  <c r="L181" i="6"/>
  <c r="B130" i="7" s="1"/>
  <c r="L161" i="6"/>
  <c r="B110" i="7" s="1"/>
  <c r="L84" i="6"/>
  <c r="B33" i="7" s="1"/>
  <c r="L174" i="6"/>
  <c r="B123" i="7" s="1"/>
  <c r="L86" i="6"/>
  <c r="B35" i="7" s="1"/>
  <c r="L145" i="6"/>
  <c r="B94" i="7" s="1"/>
  <c r="L61" i="6"/>
  <c r="B10" i="7" s="1"/>
  <c r="L130" i="6"/>
  <c r="B79" i="7" s="1"/>
  <c r="L162" i="6"/>
  <c r="B111" i="7" s="1"/>
  <c r="L116" i="6"/>
  <c r="B65" i="7" s="1"/>
  <c r="L121" i="6"/>
  <c r="B70" i="7" s="1"/>
  <c r="L206" i="6"/>
  <c r="B155" i="7" s="1"/>
  <c r="U142" i="6"/>
  <c r="C91" i="7" s="1"/>
  <c r="U200" i="6"/>
  <c r="C149" i="7" s="1"/>
  <c r="U126" i="6"/>
  <c r="C75" i="7" s="1"/>
  <c r="L118" i="6"/>
  <c r="B67" i="7" s="1"/>
  <c r="L146" i="6"/>
  <c r="B95" i="7" s="1"/>
  <c r="L177" i="6"/>
  <c r="B126" i="7" s="1"/>
  <c r="L62" i="6"/>
  <c r="B11" i="7" s="1"/>
  <c r="L151" i="6"/>
  <c r="B100" i="7" s="1"/>
  <c r="L152" i="6"/>
  <c r="B101" i="7" s="1"/>
  <c r="L135" i="6"/>
  <c r="B84" i="7" s="1"/>
  <c r="L194" i="6"/>
  <c r="B143" i="7" s="1"/>
  <c r="L78" i="6"/>
  <c r="B27" i="7" s="1"/>
  <c r="L167" i="6"/>
  <c r="B116" i="7" s="1"/>
  <c r="AD135" i="6"/>
  <c r="D84" i="7" s="1"/>
  <c r="AD167" i="6"/>
  <c r="D116" i="7" s="1"/>
  <c r="AD199" i="6"/>
  <c r="D148" i="7" s="1"/>
  <c r="U149" i="6"/>
  <c r="C98" i="7" s="1"/>
  <c r="U143" i="6"/>
  <c r="C92" i="7" s="1"/>
  <c r="L91" i="6"/>
  <c r="B40" i="7" s="1"/>
  <c r="L178" i="6"/>
  <c r="B127" i="7" s="1"/>
  <c r="L94" i="6"/>
  <c r="B43" i="7" s="1"/>
  <c r="L183" i="6"/>
  <c r="B132" i="7" s="1"/>
  <c r="L141" i="6"/>
  <c r="B90" i="7" s="1"/>
  <c r="L184" i="6"/>
  <c r="B133" i="7" s="1"/>
  <c r="L96" i="6"/>
  <c r="B45" i="7" s="1"/>
  <c r="L134" i="6"/>
  <c r="B83" i="7" s="1"/>
  <c r="L133" i="6"/>
  <c r="B82" i="7" s="1"/>
  <c r="L199" i="6"/>
  <c r="B148" i="7" s="1"/>
  <c r="U129" i="6"/>
  <c r="C78" i="7" s="1"/>
  <c r="U180" i="6"/>
  <c r="C129" i="7" s="1"/>
  <c r="U190" i="6"/>
  <c r="C139" i="7" s="1"/>
  <c r="U147" i="6"/>
  <c r="C96" i="7" s="1"/>
  <c r="U179" i="6"/>
  <c r="C128" i="7" s="1"/>
  <c r="L90" i="6"/>
  <c r="B39" i="7" s="1"/>
  <c r="L123" i="6"/>
  <c r="B72" i="7" s="1"/>
  <c r="L126" i="6"/>
  <c r="B75" i="7" s="1"/>
  <c r="L67" i="6"/>
  <c r="B16" i="7" s="1"/>
  <c r="L153" i="6"/>
  <c r="B102" i="7" s="1"/>
  <c r="L76" i="6"/>
  <c r="B25" i="7" s="1"/>
  <c r="L128" i="6"/>
  <c r="B77" i="7" s="1"/>
  <c r="L106" i="6"/>
  <c r="B55" i="7" s="1"/>
  <c r="L101" i="6"/>
  <c r="B50" i="7" s="1"/>
  <c r="L79" i="6"/>
  <c r="B28" i="7" s="1"/>
  <c r="L83" i="6"/>
  <c r="B32" i="7" s="1"/>
  <c r="L154" i="6"/>
  <c r="B103" i="7" s="1"/>
  <c r="L108" i="6"/>
  <c r="B57" i="7" s="1"/>
  <c r="L85" i="6"/>
  <c r="B34" i="7" s="1"/>
  <c r="L63" i="6"/>
  <c r="B12" i="7" s="1"/>
  <c r="L111" i="6"/>
  <c r="B60" i="7" s="1"/>
  <c r="U132" i="6"/>
  <c r="C81" i="7" s="1"/>
  <c r="U164" i="6"/>
  <c r="C113" i="7" s="1"/>
  <c r="L150" i="6"/>
  <c r="B99" i="7" s="1"/>
  <c r="L73" i="6"/>
  <c r="B22" i="7" s="1"/>
  <c r="L122" i="6"/>
  <c r="B71" i="7" s="1"/>
  <c r="L140" i="6"/>
  <c r="B89" i="7" s="1"/>
  <c r="L186" i="6"/>
  <c r="B135" i="7" s="1"/>
  <c r="L70" i="6"/>
  <c r="B19" i="7" s="1"/>
  <c r="L72" i="6"/>
  <c r="B21" i="7" s="1"/>
  <c r="AD151" i="6"/>
  <c r="D100" i="7" s="1"/>
  <c r="AD183" i="6"/>
  <c r="D132" i="7" s="1"/>
  <c r="U138" i="6"/>
  <c r="C87" i="7" s="1"/>
  <c r="U170" i="6"/>
  <c r="C119" i="7" s="1"/>
  <c r="U202" i="6"/>
  <c r="C151" i="7" s="1"/>
  <c r="L144" i="6"/>
  <c r="B93" i="7" s="1"/>
  <c r="L66" i="6"/>
  <c r="B15" i="7" s="1"/>
  <c r="L102" i="6"/>
  <c r="B51" i="7" s="1"/>
  <c r="L131" i="6"/>
  <c r="B80" i="7" s="1"/>
  <c r="L191" i="6"/>
  <c r="B140" i="7" s="1"/>
  <c r="L192" i="6"/>
  <c r="B141" i="7" s="1"/>
  <c r="L104" i="6"/>
  <c r="B53" i="7" s="1"/>
  <c r="L142" i="6"/>
  <c r="B91" i="7" s="1"/>
  <c r="AD73" i="6"/>
  <c r="D22" i="7" s="1"/>
  <c r="AD58" i="6"/>
  <c r="D7" i="7" s="1"/>
  <c r="U63" i="6"/>
  <c r="C12" i="7" s="1"/>
  <c r="U81" i="6"/>
  <c r="C30" i="7" s="1"/>
  <c r="U157" i="6"/>
  <c r="C106" i="7" s="1"/>
  <c r="U89" i="6"/>
  <c r="C38" i="7" s="1"/>
  <c r="U120" i="6"/>
  <c r="C69" i="7" s="1"/>
  <c r="U75" i="6"/>
  <c r="C24" i="7" s="1"/>
  <c r="U145" i="6"/>
  <c r="C94" i="7" s="1"/>
  <c r="U152" i="6"/>
  <c r="C101" i="7" s="1"/>
  <c r="U193" i="6"/>
  <c r="C142" i="7" s="1"/>
  <c r="U189" i="6"/>
  <c r="C138" i="7" s="1"/>
  <c r="U192" i="6"/>
  <c r="C141" i="7" s="1"/>
  <c r="U127" i="6"/>
  <c r="C76" i="7" s="1"/>
  <c r="U155" i="6"/>
  <c r="C104" i="7" s="1"/>
  <c r="U187" i="6"/>
  <c r="C136" i="7" s="1"/>
  <c r="AD108" i="6"/>
  <c r="D57" i="7" s="1"/>
  <c r="AD125" i="6"/>
  <c r="D74" i="7" s="1"/>
  <c r="AD146" i="6"/>
  <c r="D95" i="7" s="1"/>
  <c r="AD178" i="6"/>
  <c r="D127" i="7" s="1"/>
  <c r="AD141" i="6"/>
  <c r="D90" i="7" s="1"/>
  <c r="AD173" i="6"/>
  <c r="D122" i="7" s="1"/>
  <c r="AD205" i="6"/>
  <c r="D154" i="7" s="1"/>
  <c r="U60" i="6"/>
  <c r="C9" i="7" s="1"/>
  <c r="U92" i="6"/>
  <c r="C41" i="7" s="1"/>
  <c r="U69" i="6"/>
  <c r="C18" i="7" s="1"/>
  <c r="U101" i="6"/>
  <c r="C50" i="7" s="1"/>
  <c r="U188" i="6"/>
  <c r="C137" i="7" s="1"/>
  <c r="U104" i="6"/>
  <c r="C53" i="7" s="1"/>
  <c r="U198" i="6"/>
  <c r="C147" i="7" s="1"/>
  <c r="U133" i="6"/>
  <c r="C82" i="7" s="1"/>
  <c r="U131" i="6"/>
  <c r="C80" i="7" s="1"/>
  <c r="U163" i="6"/>
  <c r="C112" i="7" s="1"/>
  <c r="AD99" i="6"/>
  <c r="D48" i="7" s="1"/>
  <c r="AD116" i="6"/>
  <c r="D65" i="7" s="1"/>
  <c r="AD147" i="6"/>
  <c r="D96" i="7" s="1"/>
  <c r="AD179" i="6"/>
  <c r="D128" i="7" s="1"/>
  <c r="AD132" i="6"/>
  <c r="D81" i="7" s="1"/>
  <c r="AD164" i="6"/>
  <c r="D113" i="7" s="1"/>
  <c r="AD196" i="6"/>
  <c r="D145" i="7" s="1"/>
  <c r="AD142" i="6"/>
  <c r="D91" i="7" s="1"/>
  <c r="AD174" i="6"/>
  <c r="D123" i="7" s="1"/>
  <c r="AD206" i="6"/>
  <c r="D155" i="7" s="1"/>
  <c r="U62" i="6"/>
  <c r="C11" i="7" s="1"/>
  <c r="U73" i="6"/>
  <c r="C22" i="7" s="1"/>
  <c r="U99" i="6"/>
  <c r="C48" i="7" s="1"/>
  <c r="U77" i="6"/>
  <c r="C26" i="7" s="1"/>
  <c r="U109" i="6"/>
  <c r="C58" i="7" s="1"/>
  <c r="U196" i="6"/>
  <c r="C145" i="7" s="1"/>
  <c r="U124" i="6"/>
  <c r="C73" i="7" s="1"/>
  <c r="U204" i="6"/>
  <c r="C153" i="7" s="1"/>
  <c r="U191" i="6"/>
  <c r="C140" i="7" s="1"/>
  <c r="AD72" i="6"/>
  <c r="D21" i="7" s="1"/>
  <c r="U94" i="6"/>
  <c r="C43" i="7" s="1"/>
  <c r="U107" i="6"/>
  <c r="C56" i="7" s="1"/>
  <c r="U113" i="6"/>
  <c r="C62" i="7" s="1"/>
  <c r="U130" i="6"/>
  <c r="C79" i="7" s="1"/>
  <c r="U174" i="6"/>
  <c r="C123" i="7" s="1"/>
  <c r="U139" i="6"/>
  <c r="C88" i="7" s="1"/>
  <c r="U171" i="6"/>
  <c r="C120" i="7" s="1"/>
  <c r="U203" i="6"/>
  <c r="C152" i="7" s="1"/>
  <c r="AD101" i="6"/>
  <c r="D50" i="7" s="1"/>
  <c r="AD89" i="6"/>
  <c r="D38" i="7" s="1"/>
  <c r="AD162" i="6"/>
  <c r="D111" i="7" s="1"/>
  <c r="AD194" i="6"/>
  <c r="D143" i="7" s="1"/>
  <c r="AD157" i="6"/>
  <c r="D106" i="7" s="1"/>
  <c r="AD189" i="6"/>
  <c r="D138" i="7" s="1"/>
  <c r="U79" i="6"/>
  <c r="C28" i="7" s="1"/>
  <c r="U78" i="6"/>
  <c r="C27" i="7" s="1"/>
  <c r="U86" i="6"/>
  <c r="C35" i="7" s="1"/>
  <c r="U158" i="6"/>
  <c r="C107" i="7" s="1"/>
  <c r="U76" i="6"/>
  <c r="C25" i="7" s="1"/>
  <c r="U108" i="6"/>
  <c r="C57" i="7" s="1"/>
  <c r="U121" i="6"/>
  <c r="C70" i="7" s="1"/>
  <c r="U85" i="6"/>
  <c r="C34" i="7" s="1"/>
  <c r="U175" i="6"/>
  <c r="C124" i="7" s="1"/>
  <c r="U199" i="6"/>
  <c r="C148" i="7" s="1"/>
  <c r="U182" i="6"/>
  <c r="C131" i="7" s="1"/>
  <c r="U173" i="6"/>
  <c r="C122" i="7" s="1"/>
  <c r="U134" i="6"/>
  <c r="C83" i="7" s="1"/>
  <c r="U159" i="6"/>
  <c r="C108" i="7" s="1"/>
  <c r="U197" i="6"/>
  <c r="C146" i="7" s="1"/>
  <c r="U154" i="6"/>
  <c r="C103" i="7" s="1"/>
  <c r="U186" i="6"/>
  <c r="C135" i="7" s="1"/>
  <c r="U206" i="6"/>
  <c r="C155" i="7" s="1"/>
  <c r="U183" i="6"/>
  <c r="C132" i="7" s="1"/>
  <c r="U136" i="6"/>
  <c r="C85" i="7" s="1"/>
  <c r="U83" i="6"/>
  <c r="C32" i="7" s="1"/>
  <c r="U119" i="6"/>
  <c r="C68" i="7" s="1"/>
  <c r="AD98" i="6"/>
  <c r="D47" i="7" s="1"/>
  <c r="AD83" i="6"/>
  <c r="D32" i="7" s="1"/>
  <c r="AD115" i="6"/>
  <c r="D64" i="7" s="1"/>
  <c r="AD126" i="6"/>
  <c r="D75" i="7" s="1"/>
  <c r="AD163" i="6"/>
  <c r="D112" i="7" s="1"/>
  <c r="AD195" i="6"/>
  <c r="D144" i="7" s="1"/>
  <c r="AD148" i="6"/>
  <c r="D97" i="7" s="1"/>
  <c r="AD180" i="6"/>
  <c r="D129" i="7" s="1"/>
  <c r="AD158" i="6"/>
  <c r="D107" i="7" s="1"/>
  <c r="AD190" i="6"/>
  <c r="D139" i="7" s="1"/>
  <c r="U57" i="6"/>
  <c r="C6" i="7" s="1"/>
  <c r="U67" i="6"/>
  <c r="C16" i="7" s="1"/>
  <c r="U61" i="6"/>
  <c r="C10" i="7" s="1"/>
  <c r="U93" i="6"/>
  <c r="C42" i="7" s="1"/>
  <c r="U96" i="6"/>
  <c r="C45" i="7" s="1"/>
  <c r="U144" i="6"/>
  <c r="C93" i="7" s="1"/>
  <c r="U165" i="6"/>
  <c r="C114" i="7" s="1"/>
  <c r="AD60" i="6"/>
  <c r="D9" i="7" s="1"/>
  <c r="AD124" i="6"/>
  <c r="D73" i="7" s="1"/>
  <c r="AD81" i="6"/>
  <c r="D30" i="7" s="1"/>
  <c r="AD61" i="6"/>
  <c r="D10" i="7" s="1"/>
  <c r="AD80" i="6"/>
  <c r="D29" i="7" s="1"/>
  <c r="AD112" i="6"/>
  <c r="D61" i="7" s="1"/>
  <c r="AD121" i="6"/>
  <c r="D70" i="7" s="1"/>
  <c r="AD103" i="6"/>
  <c r="D52" i="7" s="1"/>
  <c r="AD160" i="6"/>
  <c r="D109" i="7" s="1"/>
  <c r="AD192" i="6"/>
  <c r="D141" i="7" s="1"/>
  <c r="AD153" i="6"/>
  <c r="D102" i="7" s="1"/>
  <c r="AD185" i="6"/>
  <c r="D134" i="7" s="1"/>
  <c r="AD70" i="6"/>
  <c r="D19" i="7" s="1"/>
  <c r="AD105" i="6"/>
  <c r="D54" i="7" s="1"/>
  <c r="AD68" i="6"/>
  <c r="D17" i="7" s="1"/>
  <c r="AD100" i="6"/>
  <c r="D49" i="7" s="1"/>
  <c r="AD117" i="6"/>
  <c r="D66" i="7" s="1"/>
  <c r="AD138" i="6"/>
  <c r="D87" i="7" s="1"/>
  <c r="AD170" i="6"/>
  <c r="D119" i="7" s="1"/>
  <c r="AD202" i="6"/>
  <c r="D151" i="7" s="1"/>
  <c r="AD133" i="6"/>
  <c r="D82" i="7" s="1"/>
  <c r="AD165" i="6"/>
  <c r="D114" i="7" s="1"/>
  <c r="AD197" i="6"/>
  <c r="D146" i="7" s="1"/>
  <c r="AD111" i="6"/>
  <c r="D60" i="7" s="1"/>
  <c r="AD161" i="6"/>
  <c r="D110" i="7" s="1"/>
  <c r="AD193" i="6"/>
  <c r="D142" i="7" s="1"/>
  <c r="AD88" i="6"/>
  <c r="D37" i="7" s="1"/>
  <c r="AD123" i="6"/>
  <c r="D72" i="7" s="1"/>
  <c r="AD62" i="6"/>
  <c r="D11" i="7" s="1"/>
  <c r="AD74" i="6"/>
  <c r="D23" i="7" s="1"/>
  <c r="AD91" i="6"/>
  <c r="D40" i="7" s="1"/>
  <c r="AD76" i="6"/>
  <c r="D25" i="7" s="1"/>
  <c r="AD63" i="6"/>
  <c r="D12" i="7" s="1"/>
  <c r="AD69" i="6"/>
  <c r="D18" i="7" s="1"/>
  <c r="AD75" i="6"/>
  <c r="D24" i="7" s="1"/>
  <c r="AD71" i="6"/>
  <c r="D20" i="7" s="1"/>
  <c r="AD64" i="6"/>
  <c r="D13" i="7" s="1"/>
  <c r="AD96" i="6"/>
  <c r="D45" i="7" s="1"/>
  <c r="AD128" i="6"/>
  <c r="D77" i="7" s="1"/>
  <c r="AD87" i="6"/>
  <c r="D36" i="7" s="1"/>
  <c r="AD119" i="6"/>
  <c r="D68" i="7" s="1"/>
  <c r="AD144" i="6"/>
  <c r="D93" i="7" s="1"/>
  <c r="AD176" i="6"/>
  <c r="D125" i="7" s="1"/>
  <c r="AD137" i="6"/>
  <c r="D86" i="7" s="1"/>
  <c r="AD169" i="6"/>
  <c r="D118" i="7" s="1"/>
  <c r="AD201" i="6"/>
  <c r="D150" i="7" s="1"/>
  <c r="AD77" i="6"/>
  <c r="D26" i="7" s="1"/>
  <c r="AD84" i="6"/>
  <c r="D33" i="7" s="1"/>
  <c r="AD154" i="6"/>
  <c r="D103" i="7" s="1"/>
  <c r="AD149" i="6"/>
  <c r="D98" i="7" s="1"/>
  <c r="AD181" i="6"/>
  <c r="D130" i="7" s="1"/>
  <c r="AD95" i="6"/>
  <c r="D44" i="7" s="1"/>
  <c r="AD127" i="6"/>
  <c r="D76" i="7" s="1"/>
  <c r="AD145" i="6"/>
  <c r="D94" i="7" s="1"/>
  <c r="AD177" i="6"/>
  <c r="D126" i="7" s="1"/>
  <c r="AD106" i="6"/>
  <c r="D55" i="7" s="1"/>
  <c r="AD107" i="6"/>
  <c r="D56" i="7" s="1"/>
  <c r="AD92" i="6"/>
  <c r="D41" i="7" s="1"/>
  <c r="AD118" i="6"/>
  <c r="D67" i="7" s="1"/>
  <c r="AD155" i="6"/>
  <c r="D104" i="7" s="1"/>
  <c r="AD187" i="6"/>
  <c r="D136" i="7" s="1"/>
  <c r="AD140" i="6"/>
  <c r="D89" i="7" s="1"/>
  <c r="AD172" i="6"/>
  <c r="D121" i="7" s="1"/>
  <c r="AD204" i="6"/>
  <c r="D153" i="7" s="1"/>
  <c r="AD150" i="6"/>
  <c r="D99" i="7" s="1"/>
  <c r="E163" i="6" l="1"/>
  <c r="N111" i="6"/>
  <c r="N125" i="6"/>
  <c r="E148" i="6"/>
  <c r="E190" i="6"/>
  <c r="E158" i="6"/>
  <c r="E95" i="6"/>
  <c r="E80" i="6"/>
  <c r="E196" i="6"/>
  <c r="E156" i="6"/>
  <c r="E203" i="6"/>
  <c r="N90" i="6"/>
  <c r="E188" i="6"/>
  <c r="N141" i="6"/>
  <c r="W66" i="6"/>
  <c r="E171" i="6"/>
  <c r="N161" i="6"/>
  <c r="E164" i="6"/>
  <c r="N176" i="6"/>
  <c r="E127" i="6"/>
  <c r="E180" i="6"/>
  <c r="N153" i="6"/>
  <c r="C102" i="7"/>
  <c r="N167" i="6"/>
  <c r="C116" i="7"/>
  <c r="E195" i="6"/>
  <c r="B144" i="7"/>
  <c r="E109" i="6"/>
  <c r="B58" i="7"/>
  <c r="N87" i="6"/>
  <c r="C36" i="7"/>
  <c r="W150" i="6"/>
  <c r="W107" i="6"/>
  <c r="W154" i="6"/>
  <c r="W119" i="6"/>
  <c r="W63" i="6"/>
  <c r="W161" i="6"/>
  <c r="W117" i="6"/>
  <c r="W160" i="6"/>
  <c r="W60" i="6"/>
  <c r="W190" i="6"/>
  <c r="W83" i="6"/>
  <c r="W189" i="6"/>
  <c r="W206" i="6"/>
  <c r="W116" i="6"/>
  <c r="W146" i="6"/>
  <c r="W171" i="6"/>
  <c r="W113" i="6"/>
  <c r="W166" i="6"/>
  <c r="W204" i="6"/>
  <c r="W106" i="6"/>
  <c r="W84" i="6"/>
  <c r="W87" i="6"/>
  <c r="W76" i="6"/>
  <c r="W111" i="6"/>
  <c r="W100" i="6"/>
  <c r="W103" i="6"/>
  <c r="W158" i="6"/>
  <c r="W98" i="6"/>
  <c r="W157" i="6"/>
  <c r="W174" i="6"/>
  <c r="W99" i="6"/>
  <c r="W125" i="6"/>
  <c r="W58" i="6"/>
  <c r="W191" i="6"/>
  <c r="W139" i="6"/>
  <c r="W65" i="6"/>
  <c r="W86" i="6"/>
  <c r="W67" i="6"/>
  <c r="W122" i="6"/>
  <c r="W198" i="6"/>
  <c r="W172" i="6"/>
  <c r="W177" i="6"/>
  <c r="W77" i="6"/>
  <c r="W128" i="6"/>
  <c r="W91" i="6"/>
  <c r="W197" i="6"/>
  <c r="W68" i="6"/>
  <c r="W121" i="6"/>
  <c r="W180" i="6"/>
  <c r="W194" i="6"/>
  <c r="W142" i="6"/>
  <c r="W108" i="6"/>
  <c r="W73" i="6"/>
  <c r="W199" i="6"/>
  <c r="W59" i="6"/>
  <c r="W184" i="6"/>
  <c r="W159" i="6"/>
  <c r="W200" i="6"/>
  <c r="W57" i="6"/>
  <c r="W131" i="6"/>
  <c r="W134" i="6"/>
  <c r="W140" i="6"/>
  <c r="W145" i="6"/>
  <c r="W201" i="6"/>
  <c r="W96" i="6"/>
  <c r="W74" i="6"/>
  <c r="W165" i="6"/>
  <c r="W105" i="6"/>
  <c r="W112" i="6"/>
  <c r="W148" i="6"/>
  <c r="W162" i="6"/>
  <c r="W196" i="6"/>
  <c r="W167" i="6"/>
  <c r="W102" i="6"/>
  <c r="W152" i="6"/>
  <c r="W186" i="6"/>
  <c r="W168" i="6"/>
  <c r="W175" i="6"/>
  <c r="W187" i="6"/>
  <c r="W127" i="6"/>
  <c r="W169" i="6"/>
  <c r="W64" i="6"/>
  <c r="W62" i="6"/>
  <c r="W133" i="6"/>
  <c r="W70" i="6"/>
  <c r="W80" i="6"/>
  <c r="W195" i="6"/>
  <c r="W89" i="6"/>
  <c r="W164" i="6"/>
  <c r="W205" i="6"/>
  <c r="W135" i="6"/>
  <c r="W104" i="6"/>
  <c r="W78" i="6"/>
  <c r="W136" i="6"/>
  <c r="W143" i="6"/>
  <c r="W110" i="6"/>
  <c r="W114" i="6"/>
  <c r="W155" i="6"/>
  <c r="W95" i="6"/>
  <c r="W137" i="6"/>
  <c r="W71" i="6"/>
  <c r="W123" i="6"/>
  <c r="W202" i="6"/>
  <c r="W185" i="6"/>
  <c r="W61" i="6"/>
  <c r="W163" i="6"/>
  <c r="W101" i="6"/>
  <c r="W132" i="6"/>
  <c r="W173" i="6"/>
  <c r="W82" i="6"/>
  <c r="W90" i="6"/>
  <c r="W129" i="6"/>
  <c r="W188" i="6"/>
  <c r="W130" i="6"/>
  <c r="W118" i="6"/>
  <c r="W181" i="6"/>
  <c r="W176" i="6"/>
  <c r="W75" i="6"/>
  <c r="W88" i="6"/>
  <c r="W170" i="6"/>
  <c r="W153" i="6"/>
  <c r="W81" i="6"/>
  <c r="W126" i="6"/>
  <c r="W72" i="6"/>
  <c r="W179" i="6"/>
  <c r="W141" i="6"/>
  <c r="W183" i="6"/>
  <c r="W79" i="6"/>
  <c r="W93" i="6"/>
  <c r="W120" i="6"/>
  <c r="W156" i="6"/>
  <c r="W97" i="6"/>
  <c r="W92" i="6"/>
  <c r="W149" i="6"/>
  <c r="W144" i="6"/>
  <c r="W69" i="6"/>
  <c r="W193" i="6"/>
  <c r="W138" i="6"/>
  <c r="W192" i="6"/>
  <c r="W124" i="6"/>
  <c r="W115" i="6"/>
  <c r="W147" i="6"/>
  <c r="W178" i="6"/>
  <c r="W151" i="6"/>
  <c r="W85" i="6"/>
  <c r="W203" i="6"/>
  <c r="W109" i="6"/>
  <c r="W182" i="6"/>
  <c r="N61" i="6"/>
  <c r="N183" i="6"/>
  <c r="N182" i="6"/>
  <c r="N86" i="6"/>
  <c r="N94" i="6"/>
  <c r="N99" i="6"/>
  <c r="N198" i="6"/>
  <c r="N127" i="6"/>
  <c r="N89" i="6"/>
  <c r="N138" i="6"/>
  <c r="N129" i="6"/>
  <c r="N195" i="6"/>
  <c r="N178" i="6"/>
  <c r="N166" i="6"/>
  <c r="N72" i="6"/>
  <c r="N98" i="6"/>
  <c r="N102" i="6"/>
  <c r="N67" i="6"/>
  <c r="N206" i="6"/>
  <c r="N199" i="6"/>
  <c r="N78" i="6"/>
  <c r="N203" i="6"/>
  <c r="N73" i="6"/>
  <c r="N104" i="6"/>
  <c r="N192" i="6"/>
  <c r="N157" i="6"/>
  <c r="N184" i="6"/>
  <c r="N114" i="6"/>
  <c r="N146" i="6"/>
  <c r="N59" i="6"/>
  <c r="N100" i="6"/>
  <c r="N65" i="6"/>
  <c r="N148" i="6"/>
  <c r="N117" i="6"/>
  <c r="N205" i="6"/>
  <c r="N177" i="6"/>
  <c r="N137" i="6"/>
  <c r="N57" i="6"/>
  <c r="N186" i="6"/>
  <c r="N175" i="6"/>
  <c r="N79" i="6"/>
  <c r="N171" i="6"/>
  <c r="N191" i="6"/>
  <c r="N62" i="6"/>
  <c r="N188" i="6"/>
  <c r="N189" i="6"/>
  <c r="N81" i="6"/>
  <c r="N164" i="6"/>
  <c r="N126" i="6"/>
  <c r="N91" i="6"/>
  <c r="N151" i="6"/>
  <c r="N88" i="6"/>
  <c r="N112" i="6"/>
  <c r="N68" i="6"/>
  <c r="N135" i="6"/>
  <c r="N95" i="6"/>
  <c r="N122" i="6"/>
  <c r="N169" i="6"/>
  <c r="N154" i="6"/>
  <c r="N85" i="6"/>
  <c r="N139" i="6"/>
  <c r="N204" i="6"/>
  <c r="N101" i="6"/>
  <c r="N193" i="6"/>
  <c r="N63" i="6"/>
  <c r="N132" i="6"/>
  <c r="N143" i="6"/>
  <c r="N200" i="6"/>
  <c r="N115" i="6"/>
  <c r="N150" i="6"/>
  <c r="N194" i="6"/>
  <c r="N64" i="6"/>
  <c r="N103" i="6"/>
  <c r="N172" i="6"/>
  <c r="N58" i="6"/>
  <c r="N165" i="6"/>
  <c r="N197" i="6"/>
  <c r="N121" i="6"/>
  <c r="N174" i="6"/>
  <c r="N124" i="6"/>
  <c r="N69" i="6"/>
  <c r="N152" i="6"/>
  <c r="N179" i="6"/>
  <c r="N149" i="6"/>
  <c r="N142" i="6"/>
  <c r="N123" i="6"/>
  <c r="N105" i="6"/>
  <c r="N162" i="6"/>
  <c r="N116" i="6"/>
  <c r="N156" i="6"/>
  <c r="N144" i="6"/>
  <c r="N119" i="6"/>
  <c r="N159" i="6"/>
  <c r="N108" i="6"/>
  <c r="N130" i="6"/>
  <c r="N196" i="6"/>
  <c r="N163" i="6"/>
  <c r="N92" i="6"/>
  <c r="N145" i="6"/>
  <c r="N147" i="6"/>
  <c r="N71" i="6"/>
  <c r="N181" i="6"/>
  <c r="N66" i="6"/>
  <c r="N96" i="6"/>
  <c r="N83" i="6"/>
  <c r="N134" i="6"/>
  <c r="N76" i="6"/>
  <c r="N113" i="6"/>
  <c r="N109" i="6"/>
  <c r="N131" i="6"/>
  <c r="N60" i="6"/>
  <c r="N187" i="6"/>
  <c r="N75" i="6"/>
  <c r="N202" i="6"/>
  <c r="N190" i="6"/>
  <c r="N110" i="6"/>
  <c r="N118" i="6"/>
  <c r="N70" i="6"/>
  <c r="N201" i="6"/>
  <c r="N84" i="6"/>
  <c r="N185" i="6"/>
  <c r="N82" i="6"/>
  <c r="N168" i="6"/>
  <c r="N140" i="6"/>
  <c r="N93" i="6"/>
  <c r="N136" i="6"/>
  <c r="N173" i="6"/>
  <c r="N158" i="6"/>
  <c r="N107" i="6"/>
  <c r="N77" i="6"/>
  <c r="N133" i="6"/>
  <c r="N155" i="6"/>
  <c r="N120" i="6"/>
  <c r="N170" i="6"/>
  <c r="N180" i="6"/>
  <c r="N97" i="6"/>
  <c r="N74" i="6"/>
  <c r="N80" i="6"/>
  <c r="N106" i="6"/>
  <c r="N160" i="6"/>
  <c r="N128" i="6"/>
  <c r="E192" i="6"/>
  <c r="E73" i="6"/>
  <c r="E154" i="6"/>
  <c r="E67" i="6"/>
  <c r="E94" i="6"/>
  <c r="E167" i="6"/>
  <c r="E146" i="6"/>
  <c r="E162" i="6"/>
  <c r="E181" i="6"/>
  <c r="E132" i="6"/>
  <c r="E119" i="6"/>
  <c r="E110" i="6"/>
  <c r="E88" i="6"/>
  <c r="E58" i="6"/>
  <c r="E197" i="6"/>
  <c r="E137" i="6"/>
  <c r="E82" i="6"/>
  <c r="E187" i="6"/>
  <c r="E191" i="6"/>
  <c r="E150" i="6"/>
  <c r="E83" i="6"/>
  <c r="E126" i="6"/>
  <c r="E199" i="6"/>
  <c r="E178" i="6"/>
  <c r="E78" i="6"/>
  <c r="E118" i="6"/>
  <c r="E130" i="6"/>
  <c r="E139" i="6"/>
  <c r="E185" i="6"/>
  <c r="E57" i="6"/>
  <c r="E172" i="6"/>
  <c r="E92" i="6"/>
  <c r="E131" i="6"/>
  <c r="E79" i="6"/>
  <c r="E123" i="6"/>
  <c r="E133" i="6"/>
  <c r="E91" i="6"/>
  <c r="E194" i="6"/>
  <c r="E61" i="6"/>
  <c r="E74" i="6"/>
  <c r="E205" i="6"/>
  <c r="E193" i="6"/>
  <c r="E120" i="6"/>
  <c r="E159" i="6"/>
  <c r="E182" i="6"/>
  <c r="E112" i="6"/>
  <c r="E169" i="6"/>
  <c r="E102" i="6"/>
  <c r="E72" i="6"/>
  <c r="E101" i="6"/>
  <c r="E90" i="6"/>
  <c r="E134" i="6"/>
  <c r="E135" i="6"/>
  <c r="E145" i="6"/>
  <c r="E75" i="6"/>
  <c r="E99" i="6"/>
  <c r="E77" i="6"/>
  <c r="E59" i="6"/>
  <c r="E157" i="6"/>
  <c r="E97" i="6"/>
  <c r="E81" i="6"/>
  <c r="E200" i="6"/>
  <c r="E71" i="6"/>
  <c r="E69" i="6"/>
  <c r="E114" i="6"/>
  <c r="E66" i="6"/>
  <c r="E70" i="6"/>
  <c r="E111" i="6"/>
  <c r="E106" i="6"/>
  <c r="E96" i="6"/>
  <c r="E152" i="6"/>
  <c r="E86" i="6"/>
  <c r="E98" i="6"/>
  <c r="E179" i="6"/>
  <c r="E107" i="6"/>
  <c r="E129" i="6"/>
  <c r="E65" i="6"/>
  <c r="E138" i="6"/>
  <c r="E60" i="6"/>
  <c r="E204" i="6"/>
  <c r="E149" i="6"/>
  <c r="E144" i="6"/>
  <c r="E186" i="6"/>
  <c r="E128" i="6"/>
  <c r="E184" i="6"/>
  <c r="E151" i="6"/>
  <c r="E206" i="6"/>
  <c r="E174" i="6"/>
  <c r="E68" i="6"/>
  <c r="E100" i="6"/>
  <c r="E89" i="6"/>
  <c r="E93" i="6"/>
  <c r="E113" i="6"/>
  <c r="E87" i="6"/>
  <c r="E124" i="6"/>
  <c r="E166" i="6"/>
  <c r="E160" i="6"/>
  <c r="E155" i="6"/>
  <c r="E189" i="6"/>
  <c r="E142" i="6"/>
  <c r="E140" i="6"/>
  <c r="E85" i="6"/>
  <c r="E76" i="6"/>
  <c r="E141" i="6"/>
  <c r="E62" i="6"/>
  <c r="E121" i="6"/>
  <c r="E84" i="6"/>
  <c r="E176" i="6"/>
  <c r="E117" i="6"/>
  <c r="E105" i="6"/>
  <c r="E136" i="6"/>
  <c r="E198" i="6"/>
  <c r="E103" i="6"/>
  <c r="E104" i="6"/>
  <c r="E122" i="6"/>
  <c r="E108" i="6"/>
  <c r="E153" i="6"/>
  <c r="E183" i="6"/>
  <c r="E177" i="6"/>
  <c r="E116" i="6"/>
  <c r="E161" i="6"/>
  <c r="E143" i="6"/>
  <c r="E115" i="6"/>
  <c r="E147" i="6"/>
  <c r="E175" i="6"/>
  <c r="E125" i="6"/>
  <c r="E173" i="6"/>
  <c r="E165" i="6"/>
  <c r="E201" i="6"/>
  <c r="E63" i="6"/>
  <c r="E64" i="6"/>
  <c r="A10" i="4"/>
  <c r="A14" i="4"/>
  <c r="A18" i="4"/>
  <c r="A22" i="4"/>
  <c r="A26" i="4"/>
  <c r="A30" i="4"/>
  <c r="A34" i="4"/>
  <c r="A38" i="4"/>
  <c r="A42" i="4"/>
  <c r="A46" i="4"/>
  <c r="A50" i="4"/>
  <c r="A54" i="4"/>
  <c r="A58" i="4"/>
  <c r="A62" i="4"/>
  <c r="A66" i="4"/>
  <c r="A70" i="4"/>
  <c r="A74" i="4"/>
  <c r="A78" i="4"/>
  <c r="A82" i="4"/>
  <c r="A86" i="4"/>
  <c r="A90" i="4"/>
  <c r="A94" i="4"/>
  <c r="A98" i="4"/>
  <c r="A102" i="4"/>
  <c r="A106" i="4"/>
  <c r="A110" i="4"/>
  <c r="A114" i="4"/>
  <c r="A118" i="4"/>
  <c r="A122" i="4"/>
  <c r="A126" i="4"/>
  <c r="A130" i="4"/>
  <c r="A134" i="4"/>
  <c r="A11" i="4"/>
  <c r="A23" i="4"/>
  <c r="A31" i="4"/>
  <c r="A39" i="4"/>
  <c r="A47" i="4"/>
  <c r="A55" i="4"/>
  <c r="A63" i="4"/>
  <c r="A71" i="4"/>
  <c r="A79" i="4"/>
  <c r="A87" i="4"/>
  <c r="A95" i="4"/>
  <c r="A103" i="4"/>
  <c r="A107" i="4"/>
  <c r="A115" i="4"/>
  <c r="A123" i="4"/>
  <c r="A131" i="4"/>
  <c r="A8" i="4"/>
  <c r="A12" i="4"/>
  <c r="A16" i="4"/>
  <c r="A20" i="4"/>
  <c r="A24" i="4"/>
  <c r="A28" i="4"/>
  <c r="A32" i="4"/>
  <c r="A36" i="4"/>
  <c r="A40" i="4"/>
  <c r="A44" i="4"/>
  <c r="A48" i="4"/>
  <c r="A52" i="4"/>
  <c r="A56" i="4"/>
  <c r="A60" i="4"/>
  <c r="A64" i="4"/>
  <c r="A68" i="4"/>
  <c r="A72" i="4"/>
  <c r="A76" i="4"/>
  <c r="A80" i="4"/>
  <c r="A84" i="4"/>
  <c r="A88" i="4"/>
  <c r="A92" i="4"/>
  <c r="A100" i="4"/>
  <c r="A108" i="4"/>
  <c r="A116" i="4"/>
  <c r="A124" i="4"/>
  <c r="A132" i="4"/>
  <c r="A9" i="4"/>
  <c r="A13" i="4"/>
  <c r="A17" i="4"/>
  <c r="A21" i="4"/>
  <c r="A25" i="4"/>
  <c r="A29" i="4"/>
  <c r="A33" i="4"/>
  <c r="A37" i="4"/>
  <c r="A41" i="4"/>
  <c r="A45" i="4"/>
  <c r="A49" i="4"/>
  <c r="A53" i="4"/>
  <c r="A57" i="4"/>
  <c r="A61" i="4"/>
  <c r="A65" i="4"/>
  <c r="A69" i="4"/>
  <c r="A73" i="4"/>
  <c r="A77" i="4"/>
  <c r="A81" i="4"/>
  <c r="A85" i="4"/>
  <c r="A89" i="4"/>
  <c r="A93" i="4"/>
  <c r="A97" i="4"/>
  <c r="A101" i="4"/>
  <c r="A105" i="4"/>
  <c r="A109" i="4"/>
  <c r="A113" i="4"/>
  <c r="A117" i="4"/>
  <c r="A121" i="4"/>
  <c r="A125" i="4"/>
  <c r="A129" i="4"/>
  <c r="A133" i="4"/>
  <c r="A7" i="4"/>
  <c r="A15" i="4"/>
  <c r="A19" i="4"/>
  <c r="A27" i="4"/>
  <c r="A35" i="4"/>
  <c r="A43" i="4"/>
  <c r="A51" i="4"/>
  <c r="A59" i="4"/>
  <c r="A67" i="4"/>
  <c r="A75" i="4"/>
  <c r="A83" i="4"/>
  <c r="A91" i="4"/>
  <c r="A99" i="4"/>
  <c r="A111" i="4"/>
  <c r="A119" i="4"/>
  <c r="A127" i="4"/>
  <c r="A96" i="4"/>
  <c r="A104" i="4"/>
  <c r="A112" i="4"/>
  <c r="A120" i="4"/>
  <c r="A128" i="4"/>
  <c r="AN39" i="6" l="1"/>
  <c r="AU56" i="6" s="1"/>
  <c r="AO39" i="6"/>
  <c r="F5" i="4" l="1"/>
  <c r="AV56" i="6"/>
  <c r="AT57" i="6"/>
  <c r="AT206" i="6"/>
  <c r="AT198" i="6"/>
  <c r="AT190" i="6"/>
  <c r="AT182" i="6"/>
  <c r="AT174" i="6"/>
  <c r="AT166" i="6"/>
  <c r="AT158" i="6"/>
  <c r="AT142" i="6"/>
  <c r="AT126" i="6"/>
  <c r="AT110" i="6"/>
  <c r="AT86" i="6"/>
  <c r="AT70" i="6"/>
  <c r="AT197" i="6"/>
  <c r="AT173" i="6"/>
  <c r="AT157" i="6"/>
  <c r="AT141" i="6"/>
  <c r="AT125" i="6"/>
  <c r="AT109" i="6"/>
  <c r="AT93" i="6"/>
  <c r="AT77" i="6"/>
  <c r="AT61" i="6"/>
  <c r="AT196" i="6"/>
  <c r="AT180" i="6"/>
  <c r="AT156" i="6"/>
  <c r="AT140" i="6"/>
  <c r="AT124" i="6"/>
  <c r="AT108" i="6"/>
  <c r="AT84" i="6"/>
  <c r="AT68" i="6"/>
  <c r="AT96" i="6"/>
  <c r="AT64" i="6"/>
  <c r="AT72" i="6"/>
  <c r="AT100" i="6"/>
  <c r="AT203" i="6"/>
  <c r="AT195" i="6"/>
  <c r="AT187" i="6"/>
  <c r="AT179" i="6"/>
  <c r="AT171" i="6"/>
  <c r="AT163" i="6"/>
  <c r="AT155" i="6"/>
  <c r="AT147" i="6"/>
  <c r="AT139" i="6"/>
  <c r="AT131" i="6"/>
  <c r="AT123" i="6"/>
  <c r="AT115" i="6"/>
  <c r="AT107" i="6"/>
  <c r="AT99" i="6"/>
  <c r="AT91" i="6"/>
  <c r="AT83" i="6"/>
  <c r="AT75" i="6"/>
  <c r="AT67" i="6"/>
  <c r="AT59" i="6"/>
  <c r="AT170" i="6"/>
  <c r="AT146" i="6"/>
  <c r="AT130" i="6"/>
  <c r="AT114" i="6"/>
  <c r="AT98" i="6"/>
  <c r="AT82" i="6"/>
  <c r="AT74" i="6"/>
  <c r="AT58" i="6"/>
  <c r="AT201" i="6"/>
  <c r="AT185" i="6"/>
  <c r="AT177" i="6"/>
  <c r="AT169" i="6"/>
  <c r="AT153" i="6"/>
  <c r="AT137" i="6"/>
  <c r="AT129" i="6"/>
  <c r="AT113" i="6"/>
  <c r="AT97" i="6"/>
  <c r="AT81" i="6"/>
  <c r="AT65" i="6"/>
  <c r="AT200" i="6"/>
  <c r="AT192" i="6"/>
  <c r="AT184" i="6"/>
  <c r="AT176" i="6"/>
  <c r="AT168" i="6"/>
  <c r="AT152" i="6"/>
  <c r="AT144" i="6"/>
  <c r="AT136" i="6"/>
  <c r="AT128" i="6"/>
  <c r="AT120" i="6"/>
  <c r="AT104" i="6"/>
  <c r="AT80" i="6"/>
  <c r="AT202" i="6"/>
  <c r="AT194" i="6"/>
  <c r="AT186" i="6"/>
  <c r="AT178" i="6"/>
  <c r="AT162" i="6"/>
  <c r="AT154" i="6"/>
  <c r="AT138" i="6"/>
  <c r="AT122" i="6"/>
  <c r="AT106" i="6"/>
  <c r="AT90" i="6"/>
  <c r="AT66" i="6"/>
  <c r="AT193" i="6"/>
  <c r="AT161" i="6"/>
  <c r="AT145" i="6"/>
  <c r="AT121" i="6"/>
  <c r="AT105" i="6"/>
  <c r="AT89" i="6"/>
  <c r="AT73" i="6"/>
  <c r="AT112" i="6"/>
  <c r="AT160" i="6"/>
  <c r="AT199" i="6"/>
  <c r="AT191" i="6"/>
  <c r="AT183" i="6"/>
  <c r="AT175" i="6"/>
  <c r="AT167" i="6"/>
  <c r="AT159" i="6"/>
  <c r="AT151" i="6"/>
  <c r="AT143" i="6"/>
  <c r="AT135" i="6"/>
  <c r="AT127" i="6"/>
  <c r="AT119" i="6"/>
  <c r="AT111" i="6"/>
  <c r="AT103" i="6"/>
  <c r="AT95" i="6"/>
  <c r="AT87" i="6"/>
  <c r="AT79" i="6"/>
  <c r="AT71" i="6"/>
  <c r="AT63" i="6"/>
  <c r="AT150" i="6"/>
  <c r="AT134" i="6"/>
  <c r="AT118" i="6"/>
  <c r="AT102" i="6"/>
  <c r="AT94" i="6"/>
  <c r="AT78" i="6"/>
  <c r="AT62" i="6"/>
  <c r="AT205" i="6"/>
  <c r="AT189" i="6"/>
  <c r="AT181" i="6"/>
  <c r="AT165" i="6"/>
  <c r="AT149" i="6"/>
  <c r="AT133" i="6"/>
  <c r="AT117" i="6"/>
  <c r="AT101" i="6"/>
  <c r="AT85" i="6"/>
  <c r="AT69" i="6"/>
  <c r="AT204" i="6"/>
  <c r="AT188" i="6"/>
  <c r="AT172" i="6"/>
  <c r="AT164" i="6"/>
  <c r="AT148" i="6"/>
  <c r="AT132" i="6"/>
  <c r="AT116" i="6"/>
  <c r="AT92" i="6"/>
  <c r="AT76" i="6"/>
  <c r="AT60" i="6"/>
  <c r="AT88" i="6"/>
  <c r="AR57" i="6"/>
  <c r="AS68" i="6"/>
  <c r="AS131" i="6"/>
  <c r="AS190" i="6"/>
  <c r="AS165" i="6"/>
  <c r="AS203" i="6"/>
  <c r="AS153" i="6"/>
  <c r="AS172" i="6"/>
  <c r="AS173" i="6"/>
  <c r="AS77" i="6"/>
  <c r="AS116" i="6"/>
  <c r="AS147" i="6"/>
  <c r="AS174" i="6"/>
  <c r="AS111" i="6"/>
  <c r="AS76" i="6"/>
  <c r="AS128" i="6"/>
  <c r="AS134" i="6"/>
  <c r="AS114" i="6"/>
  <c r="AS126" i="6"/>
  <c r="AS91" i="6"/>
  <c r="AS117" i="6"/>
  <c r="AS205" i="6"/>
  <c r="AS140" i="6"/>
  <c r="AS135" i="6"/>
  <c r="AS182" i="6"/>
  <c r="AS185" i="6"/>
  <c r="AS130" i="6"/>
  <c r="AS141" i="6"/>
  <c r="AS66" i="6"/>
  <c r="AS59" i="6"/>
  <c r="AS94" i="6"/>
  <c r="AS81" i="6"/>
  <c r="AS155" i="6"/>
  <c r="AS156" i="6"/>
  <c r="AS166" i="6"/>
  <c r="AS84" i="6"/>
  <c r="AS192" i="6"/>
  <c r="AS104" i="6"/>
  <c r="AS148" i="6"/>
  <c r="AS63" i="6"/>
  <c r="AS162" i="6"/>
  <c r="AS168" i="6"/>
  <c r="AS176" i="6"/>
  <c r="AS61" i="6"/>
  <c r="AS195" i="6"/>
  <c r="AS113" i="6"/>
  <c r="AS69" i="6"/>
  <c r="AS171" i="6"/>
  <c r="AS150" i="6"/>
  <c r="AS120" i="6"/>
  <c r="AS158" i="6"/>
  <c r="AS96" i="6"/>
  <c r="AS65" i="6"/>
  <c r="AS186" i="6"/>
  <c r="AS139" i="6"/>
  <c r="AS60" i="6"/>
  <c r="AS136" i="6"/>
  <c r="AS127" i="6"/>
  <c r="AS72" i="6"/>
  <c r="AS112" i="6"/>
  <c r="AS204" i="6"/>
  <c r="AS125" i="6"/>
  <c r="AS202" i="6"/>
  <c r="AS119" i="6"/>
  <c r="AS151" i="6"/>
  <c r="AS169" i="6"/>
  <c r="AS201" i="6"/>
  <c r="AS88" i="6"/>
  <c r="AS191" i="6"/>
  <c r="AS80" i="6"/>
  <c r="AS90" i="6"/>
  <c r="AS78" i="6"/>
  <c r="AS103" i="6"/>
  <c r="AS122" i="6"/>
  <c r="AS100" i="6"/>
  <c r="AS206" i="6"/>
  <c r="AS189" i="6"/>
  <c r="AS144" i="6"/>
  <c r="AS197" i="6"/>
  <c r="AS123" i="6"/>
  <c r="AS83" i="6"/>
  <c r="AS89" i="6"/>
  <c r="AS133" i="6"/>
  <c r="AS73" i="6"/>
  <c r="AS198" i="6"/>
  <c r="AS97" i="6"/>
  <c r="AS154" i="6"/>
  <c r="AS101" i="6"/>
  <c r="AS199" i="6"/>
  <c r="AS163" i="6"/>
  <c r="AS142" i="6"/>
  <c r="AS107" i="6"/>
  <c r="AS108" i="6"/>
  <c r="AS181" i="6"/>
  <c r="AS138" i="6"/>
  <c r="AS159" i="6"/>
  <c r="AS102" i="6"/>
  <c r="AS64" i="6"/>
  <c r="AS57" i="6"/>
  <c r="AS152" i="6"/>
  <c r="AS75" i="6"/>
  <c r="AS121" i="6"/>
  <c r="AS193" i="6"/>
  <c r="AS71" i="6"/>
  <c r="AS145" i="6"/>
  <c r="AS95" i="6"/>
  <c r="AS129" i="6"/>
  <c r="AS188" i="6"/>
  <c r="AS180" i="6"/>
  <c r="AS118" i="6"/>
  <c r="AS157" i="6"/>
  <c r="AS146" i="6"/>
  <c r="AS177" i="6"/>
  <c r="AS170" i="6"/>
  <c r="AS137" i="6"/>
  <c r="AS196" i="6"/>
  <c r="AS124" i="6"/>
  <c r="AS175" i="6"/>
  <c r="AS87" i="6"/>
  <c r="AS58" i="6"/>
  <c r="AS99" i="6"/>
  <c r="AS109" i="6"/>
  <c r="AS105" i="6"/>
  <c r="AS149" i="6"/>
  <c r="AS178" i="6"/>
  <c r="AS106" i="6"/>
  <c r="AS143" i="6"/>
  <c r="AS98" i="6"/>
  <c r="AS67" i="6"/>
  <c r="AS110" i="6"/>
  <c r="AS132" i="6"/>
  <c r="AS160" i="6"/>
  <c r="AS183" i="6"/>
  <c r="AS70" i="6"/>
  <c r="AS194" i="6"/>
  <c r="AS184" i="6"/>
  <c r="AS79" i="6"/>
  <c r="AS179" i="6"/>
  <c r="AS74" i="6"/>
  <c r="AS200" i="6"/>
  <c r="AS86" i="6"/>
  <c r="AS92" i="6"/>
  <c r="AS115" i="6"/>
  <c r="AS85" i="6"/>
  <c r="AS82" i="6"/>
  <c r="AS164" i="6"/>
  <c r="AS161" i="6"/>
  <c r="AS93" i="6"/>
  <c r="AS62" i="6"/>
  <c r="AS187" i="6"/>
  <c r="AS167" i="6"/>
  <c r="AR103" i="6"/>
  <c r="AR119" i="6"/>
  <c r="AR189" i="6"/>
  <c r="AR77" i="6"/>
  <c r="AR139" i="6"/>
  <c r="AR175" i="6"/>
  <c r="AR147" i="6"/>
  <c r="AR83" i="6"/>
  <c r="AR86" i="6"/>
  <c r="AR99" i="6"/>
  <c r="AR62" i="6"/>
  <c r="AR124" i="6"/>
  <c r="AR177" i="6"/>
  <c r="AR126" i="6"/>
  <c r="AR185" i="6"/>
  <c r="AR194" i="6"/>
  <c r="AR199" i="6"/>
  <c r="AR129" i="6"/>
  <c r="AR102" i="6"/>
  <c r="AR78" i="6"/>
  <c r="AR206" i="6"/>
  <c r="AR146" i="6"/>
  <c r="AR159" i="6"/>
  <c r="AR200" i="6"/>
  <c r="AR112" i="6"/>
  <c r="AR195" i="6"/>
  <c r="AR85" i="6"/>
  <c r="AR64" i="6"/>
  <c r="AR164" i="6"/>
  <c r="AR158" i="6"/>
  <c r="AR201" i="6"/>
  <c r="AR71" i="6"/>
  <c r="AR135" i="6"/>
  <c r="AR151" i="6"/>
  <c r="AR186" i="6"/>
  <c r="AR58" i="6"/>
  <c r="AR91" i="6"/>
  <c r="AR84" i="6"/>
  <c r="AR127" i="6"/>
  <c r="AR188" i="6"/>
  <c r="AR183" i="6"/>
  <c r="AR76" i="6"/>
  <c r="AR74" i="6"/>
  <c r="AR79" i="6"/>
  <c r="AR156" i="6"/>
  <c r="AR167" i="6"/>
  <c r="AR116" i="6"/>
  <c r="AR154" i="6"/>
  <c r="AR136" i="6"/>
  <c r="AR82" i="6"/>
  <c r="AR148" i="6"/>
  <c r="AR142" i="6"/>
  <c r="AR107" i="6"/>
  <c r="AR63" i="6"/>
  <c r="AR163" i="6"/>
  <c r="AR134" i="6"/>
  <c r="AR118" i="6"/>
  <c r="AR117" i="6"/>
  <c r="AR65" i="6"/>
  <c r="AR93" i="6"/>
  <c r="AR205" i="6"/>
  <c r="AR168" i="6"/>
  <c r="AR115" i="6"/>
  <c r="AR202" i="6"/>
  <c r="AR153" i="6"/>
  <c r="AR187" i="6"/>
  <c r="AR150" i="6"/>
  <c r="AR182" i="6"/>
  <c r="AR110" i="6"/>
  <c r="AR87" i="6"/>
  <c r="AR174" i="6"/>
  <c r="AR192" i="6"/>
  <c r="AR140" i="6"/>
  <c r="AR98" i="6"/>
  <c r="AR73" i="6"/>
  <c r="AR137" i="6"/>
  <c r="AR114" i="6"/>
  <c r="AR59" i="6"/>
  <c r="AR101" i="6"/>
  <c r="AR176" i="6"/>
  <c r="AR131" i="6"/>
  <c r="AR162" i="6"/>
  <c r="AR96" i="6"/>
  <c r="AR178" i="6"/>
  <c r="AR97" i="6"/>
  <c r="AR94" i="6"/>
  <c r="AR130" i="6"/>
  <c r="AR149" i="6"/>
  <c r="AR60" i="6"/>
  <c r="AR172" i="6"/>
  <c r="AR125" i="6"/>
  <c r="AR104" i="6"/>
  <c r="AR81" i="6"/>
  <c r="AR138" i="6"/>
  <c r="AR169" i="6"/>
  <c r="AR173" i="6"/>
  <c r="AR133" i="6"/>
  <c r="AR198" i="6"/>
  <c r="AR157" i="6"/>
  <c r="AR203" i="6"/>
  <c r="AR105" i="6"/>
  <c r="AR121" i="6"/>
  <c r="AR72" i="6"/>
  <c r="AR80" i="6"/>
  <c r="AR165" i="6"/>
  <c r="AR179" i="6"/>
  <c r="AR166" i="6"/>
  <c r="AR68" i="6"/>
  <c r="AR190" i="6"/>
  <c r="AR67" i="6"/>
  <c r="AR161" i="6"/>
  <c r="AR120" i="6"/>
  <c r="AR89" i="6"/>
  <c r="AR144" i="6"/>
  <c r="AR123" i="6"/>
  <c r="AR180" i="6"/>
  <c r="AR113" i="6"/>
  <c r="AR69" i="6"/>
  <c r="AR160" i="6"/>
  <c r="AR155" i="6"/>
  <c r="AR143" i="6"/>
  <c r="AR191" i="6"/>
  <c r="AR111" i="6"/>
  <c r="AR90" i="6"/>
  <c r="AR106" i="6"/>
  <c r="AR92" i="6"/>
  <c r="AR171" i="6"/>
  <c r="AR108" i="6"/>
  <c r="AR66" i="6"/>
  <c r="AR145" i="6"/>
  <c r="AR100" i="6"/>
  <c r="AR196" i="6"/>
  <c r="AR122" i="6"/>
  <c r="AR184" i="6"/>
  <c r="AR88" i="6"/>
  <c r="AR181" i="6"/>
  <c r="AR197" i="6"/>
  <c r="AR109" i="6"/>
  <c r="AR75" i="6"/>
  <c r="AR61" i="6"/>
  <c r="AR152" i="6"/>
  <c r="AR193" i="6"/>
  <c r="AR95" i="6"/>
  <c r="AR70" i="6"/>
  <c r="AR128" i="6"/>
  <c r="AR170" i="6"/>
  <c r="AR204" i="6"/>
  <c r="AR132" i="6"/>
  <c r="AR141" i="6"/>
  <c r="AV84" i="6" l="1"/>
  <c r="F33" i="7" s="1"/>
  <c r="AV186" i="6"/>
  <c r="AO186" i="6" s="1"/>
  <c r="AV109" i="6"/>
  <c r="BC109" i="6" s="1"/>
  <c r="AV110" i="6"/>
  <c r="F59" i="7" s="1"/>
  <c r="AV188" i="6"/>
  <c r="AO188" i="6" s="1"/>
  <c r="AV144" i="6"/>
  <c r="AO144" i="6" s="1"/>
  <c r="BC84" i="6"/>
  <c r="F137" i="7"/>
  <c r="BC188" i="6"/>
  <c r="AV105" i="6"/>
  <c r="AO105" i="6" s="1"/>
  <c r="AV137" i="6"/>
  <c r="AO137" i="6" s="1"/>
  <c r="F5" i="7"/>
  <c r="BC56" i="6"/>
  <c r="AV200" i="6"/>
  <c r="AV141" i="6"/>
  <c r="AV143" i="6"/>
  <c r="AV157" i="6"/>
  <c r="AV193" i="6"/>
  <c r="AO193" i="6" s="1"/>
  <c r="AV178" i="6"/>
  <c r="AV180" i="6"/>
  <c r="AV174" i="6"/>
  <c r="AV129" i="6"/>
  <c r="AV158" i="6"/>
  <c r="AV176" i="6"/>
  <c r="AV130" i="6"/>
  <c r="AV131" i="6"/>
  <c r="AV148" i="6"/>
  <c r="AV82" i="6"/>
  <c r="AV99" i="6"/>
  <c r="AV177" i="6"/>
  <c r="AV145" i="6"/>
  <c r="AV83" i="6"/>
  <c r="AV71" i="6"/>
  <c r="AV101" i="6"/>
  <c r="AV135" i="6"/>
  <c r="AV128" i="6"/>
  <c r="AV58" i="6"/>
  <c r="BC58" i="6" s="1"/>
  <c r="AV123" i="6"/>
  <c r="BC123" i="6" s="1"/>
  <c r="AV60" i="6"/>
  <c r="AV191" i="6"/>
  <c r="BC191" i="6" s="1"/>
  <c r="AV192" i="6"/>
  <c r="BC192" i="6" s="1"/>
  <c r="AV65" i="6"/>
  <c r="BC65" i="6" s="1"/>
  <c r="AV57" i="6"/>
  <c r="BC57" i="6" s="1"/>
  <c r="AV142" i="6"/>
  <c r="BC142" i="6" s="1"/>
  <c r="AV93" i="6"/>
  <c r="BC93" i="6" s="1"/>
  <c r="AV160" i="6"/>
  <c r="AO84" i="6"/>
  <c r="AO56" i="6"/>
  <c r="AV136" i="6"/>
  <c r="AV117" i="6"/>
  <c r="AV91" i="6"/>
  <c r="AV187" i="6"/>
  <c r="AV70" i="6"/>
  <c r="AV132" i="6"/>
  <c r="AV72" i="6"/>
  <c r="AV161" i="6"/>
  <c r="AV167" i="6"/>
  <c r="AV126" i="6"/>
  <c r="AV100" i="6"/>
  <c r="AV85" i="6"/>
  <c r="AV78" i="6"/>
  <c r="AV165" i="6"/>
  <c r="AV199" i="6"/>
  <c r="AV103" i="6"/>
  <c r="AV162" i="6"/>
  <c r="AV155" i="6"/>
  <c r="AV182" i="6"/>
  <c r="AV202" i="6"/>
  <c r="AV64" i="6"/>
  <c r="AV163" i="6"/>
  <c r="AV66" i="6"/>
  <c r="AV196" i="6"/>
  <c r="AV107" i="6"/>
  <c r="AV112" i="6"/>
  <c r="AV96" i="6"/>
  <c r="AV164" i="6"/>
  <c r="AV133" i="6"/>
  <c r="AV166" i="6"/>
  <c r="AV185" i="6"/>
  <c r="AV151" i="6"/>
  <c r="AV173" i="6"/>
  <c r="AV146" i="6"/>
  <c r="AV171" i="6"/>
  <c r="AV81" i="6"/>
  <c r="AV87" i="6"/>
  <c r="AV94" i="6"/>
  <c r="AV149" i="6"/>
  <c r="AV152" i="6"/>
  <c r="AV73" i="6"/>
  <c r="AV61" i="6"/>
  <c r="AV179" i="6"/>
  <c r="AV201" i="6"/>
  <c r="AV102" i="6"/>
  <c r="AV115" i="6"/>
  <c r="AV194" i="6"/>
  <c r="AV159" i="6"/>
  <c r="AV197" i="6"/>
  <c r="AV90" i="6"/>
  <c r="AV88" i="6"/>
  <c r="AV172" i="6"/>
  <c r="AV62" i="6"/>
  <c r="AV106" i="6"/>
  <c r="AV118" i="6"/>
  <c r="AV97" i="6"/>
  <c r="AV113" i="6"/>
  <c r="AV59" i="6"/>
  <c r="AV116" i="6"/>
  <c r="AV79" i="6"/>
  <c r="AV170" i="6"/>
  <c r="AV95" i="6"/>
  <c r="AV89" i="6"/>
  <c r="AV169" i="6"/>
  <c r="AV127" i="6"/>
  <c r="AV120" i="6"/>
  <c r="AV168" i="6"/>
  <c r="AV156" i="6"/>
  <c r="AV114" i="6"/>
  <c r="AV77" i="6"/>
  <c r="AV68" i="6"/>
  <c r="AV184" i="6"/>
  <c r="AV98" i="6"/>
  <c r="AV119" i="6"/>
  <c r="AV63" i="6"/>
  <c r="AV92" i="6"/>
  <c r="AV138" i="6"/>
  <c r="AV154" i="6"/>
  <c r="AV139" i="6"/>
  <c r="AV69" i="6"/>
  <c r="AV140" i="6"/>
  <c r="AV76" i="6"/>
  <c r="AV153" i="6"/>
  <c r="AV150" i="6"/>
  <c r="AV134" i="6"/>
  <c r="AV86" i="6"/>
  <c r="AV183" i="6"/>
  <c r="AV175" i="6"/>
  <c r="AV121" i="6"/>
  <c r="AV181" i="6"/>
  <c r="AV80" i="6"/>
  <c r="AV125" i="6"/>
  <c r="AV104" i="6"/>
  <c r="AV205" i="6"/>
  <c r="AV111" i="6"/>
  <c r="AV203" i="6"/>
  <c r="AV122" i="6"/>
  <c r="AV124" i="6"/>
  <c r="AV75" i="6"/>
  <c r="AV108" i="6"/>
  <c r="AV198" i="6"/>
  <c r="AV189" i="6"/>
  <c r="AV204" i="6"/>
  <c r="AV195" i="6"/>
  <c r="AV67" i="6"/>
  <c r="AV74" i="6"/>
  <c r="AV206" i="6"/>
  <c r="AV147" i="6"/>
  <c r="AV190" i="6"/>
  <c r="AO109" i="6" l="1"/>
  <c r="F58" i="7"/>
  <c r="F135" i="7"/>
  <c r="BC186" i="6"/>
  <c r="F93" i="7"/>
  <c r="BC144" i="6"/>
  <c r="BC110" i="6"/>
  <c r="AO110" i="6"/>
  <c r="F152" i="7"/>
  <c r="BC203" i="6"/>
  <c r="F133" i="7"/>
  <c r="BC184" i="6"/>
  <c r="F46" i="7"/>
  <c r="BC97" i="6"/>
  <c r="F101" i="7"/>
  <c r="BC152" i="6"/>
  <c r="F52" i="7"/>
  <c r="BC103" i="6"/>
  <c r="F92" i="7"/>
  <c r="BC143" i="6"/>
  <c r="F153" i="7"/>
  <c r="BC204" i="6"/>
  <c r="F88" i="7"/>
  <c r="BC139" i="6"/>
  <c r="F38" i="7"/>
  <c r="BC89" i="6"/>
  <c r="F98" i="7"/>
  <c r="BC149" i="6"/>
  <c r="F15" i="7"/>
  <c r="BC66" i="6"/>
  <c r="F148" i="7"/>
  <c r="BC199" i="6"/>
  <c r="F94" i="7"/>
  <c r="BC145" i="6"/>
  <c r="F154" i="7"/>
  <c r="BC205" i="6"/>
  <c r="F35" i="7"/>
  <c r="BC86" i="6"/>
  <c r="F103" i="7"/>
  <c r="BC154" i="6"/>
  <c r="F26" i="7"/>
  <c r="BC77" i="6"/>
  <c r="F55" i="7"/>
  <c r="BC106" i="6"/>
  <c r="F64" i="7"/>
  <c r="BC115" i="6"/>
  <c r="F43" i="7"/>
  <c r="BC94" i="6"/>
  <c r="F112" i="7"/>
  <c r="BC163" i="6"/>
  <c r="F114" i="7"/>
  <c r="BC165" i="6"/>
  <c r="F81" i="7"/>
  <c r="BC132" i="6"/>
  <c r="F139" i="7"/>
  <c r="BC190" i="6"/>
  <c r="F147" i="7"/>
  <c r="BC198" i="6"/>
  <c r="F53" i="7"/>
  <c r="BC104" i="6"/>
  <c r="F83" i="7"/>
  <c r="BC134" i="6"/>
  <c r="F87" i="7"/>
  <c r="BC138" i="6"/>
  <c r="F63" i="7"/>
  <c r="BC114" i="6"/>
  <c r="F119" i="7"/>
  <c r="BC170" i="6"/>
  <c r="F11" i="7"/>
  <c r="BC62" i="6"/>
  <c r="F51" i="7"/>
  <c r="BC102" i="6"/>
  <c r="F36" i="7"/>
  <c r="BC87" i="6"/>
  <c r="F82" i="7"/>
  <c r="BC133" i="6"/>
  <c r="F13" i="7"/>
  <c r="BC64" i="6"/>
  <c r="F27" i="7"/>
  <c r="BC78" i="6"/>
  <c r="F19" i="7"/>
  <c r="BC70" i="6"/>
  <c r="F48" i="7"/>
  <c r="BC99" i="6"/>
  <c r="F123" i="7"/>
  <c r="BC174" i="6"/>
  <c r="F74" i="7"/>
  <c r="BC125" i="6"/>
  <c r="F30" i="7"/>
  <c r="BC81" i="6"/>
  <c r="F77" i="7"/>
  <c r="BC128" i="6"/>
  <c r="F96" i="7"/>
  <c r="BC147" i="6"/>
  <c r="F99" i="7"/>
  <c r="BC150" i="6"/>
  <c r="F105" i="7"/>
  <c r="BC156" i="6"/>
  <c r="F121" i="7"/>
  <c r="BC172" i="6"/>
  <c r="F151" i="7"/>
  <c r="BC202" i="6"/>
  <c r="F31" i="7"/>
  <c r="BC82" i="6"/>
  <c r="F24" i="7"/>
  <c r="BC75" i="6"/>
  <c r="F37" i="7"/>
  <c r="BC88" i="6"/>
  <c r="F131" i="7"/>
  <c r="BC182" i="6"/>
  <c r="F40" i="7"/>
  <c r="BC91" i="6"/>
  <c r="F84" i="7"/>
  <c r="BC135" i="6"/>
  <c r="F97" i="7"/>
  <c r="BC148" i="6"/>
  <c r="F127" i="7"/>
  <c r="BC178" i="6"/>
  <c r="F29" i="7"/>
  <c r="BC80" i="6"/>
  <c r="F12" i="7"/>
  <c r="BC63" i="6"/>
  <c r="F65" i="7"/>
  <c r="BC116" i="6"/>
  <c r="F120" i="7"/>
  <c r="BC171" i="6"/>
  <c r="F49" i="7"/>
  <c r="BC100" i="6"/>
  <c r="F23" i="7"/>
  <c r="BC74" i="6"/>
  <c r="F130" i="7"/>
  <c r="BC181" i="6"/>
  <c r="F69" i="7"/>
  <c r="BC120" i="6"/>
  <c r="F39" i="7"/>
  <c r="BC90" i="6"/>
  <c r="F61" i="7"/>
  <c r="BC112" i="6"/>
  <c r="F66" i="7"/>
  <c r="BC117" i="6"/>
  <c r="F57" i="7"/>
  <c r="BC108" i="6"/>
  <c r="F41" i="7"/>
  <c r="BC92" i="6"/>
  <c r="F28" i="7"/>
  <c r="BC79" i="6"/>
  <c r="F150" i="7"/>
  <c r="BC201" i="6"/>
  <c r="F113" i="7"/>
  <c r="BC164" i="6"/>
  <c r="F34" i="7"/>
  <c r="BC85" i="6"/>
  <c r="F136" i="7"/>
  <c r="BC187" i="6"/>
  <c r="F129" i="7"/>
  <c r="BC180" i="6"/>
  <c r="F155" i="7"/>
  <c r="BC206" i="6"/>
  <c r="F102" i="7"/>
  <c r="BC153" i="6"/>
  <c r="F117" i="7"/>
  <c r="BC168" i="6"/>
  <c r="F128" i="7"/>
  <c r="BC179" i="6"/>
  <c r="F45" i="7"/>
  <c r="BC96" i="6"/>
  <c r="F73" i="7"/>
  <c r="BC124" i="6"/>
  <c r="F25" i="7"/>
  <c r="BC76" i="6"/>
  <c r="F68" i="7"/>
  <c r="BC119" i="6"/>
  <c r="F8" i="7"/>
  <c r="BC59" i="6"/>
  <c r="F10" i="7"/>
  <c r="BC61" i="6"/>
  <c r="F95" i="7"/>
  <c r="BC146" i="6"/>
  <c r="F104" i="7"/>
  <c r="BC155" i="6"/>
  <c r="F75" i="7"/>
  <c r="BC126" i="6"/>
  <c r="F50" i="7"/>
  <c r="BC101" i="6"/>
  <c r="F80" i="7"/>
  <c r="BC131" i="6"/>
  <c r="F142" i="7"/>
  <c r="BC193" i="6"/>
  <c r="F16" i="7"/>
  <c r="BC67" i="6"/>
  <c r="F71" i="7"/>
  <c r="BC122" i="6"/>
  <c r="F70" i="7"/>
  <c r="BC121" i="6"/>
  <c r="F89" i="7"/>
  <c r="BC140" i="6"/>
  <c r="F47" i="7"/>
  <c r="BC98" i="6"/>
  <c r="F76" i="7"/>
  <c r="BC127" i="6"/>
  <c r="F62" i="7"/>
  <c r="BC113" i="6"/>
  <c r="F146" i="7"/>
  <c r="BC197" i="6"/>
  <c r="F22" i="7"/>
  <c r="BC73" i="6"/>
  <c r="F122" i="7"/>
  <c r="BC173" i="6"/>
  <c r="F56" i="7"/>
  <c r="BC107" i="6"/>
  <c r="F111" i="7"/>
  <c r="BC162" i="6"/>
  <c r="F116" i="7"/>
  <c r="BC167" i="6"/>
  <c r="F85" i="7"/>
  <c r="BC136" i="6"/>
  <c r="F20" i="7"/>
  <c r="BC71" i="6"/>
  <c r="F79" i="7"/>
  <c r="BC130" i="6"/>
  <c r="F106" i="7"/>
  <c r="BC157" i="6"/>
  <c r="F124" i="7"/>
  <c r="BC175" i="6"/>
  <c r="F100" i="7"/>
  <c r="BC151" i="6"/>
  <c r="F32" i="7"/>
  <c r="BC83" i="6"/>
  <c r="F144" i="7"/>
  <c r="BC195" i="6"/>
  <c r="F18" i="7"/>
  <c r="BC69" i="6"/>
  <c r="F118" i="7"/>
  <c r="BC169" i="6"/>
  <c r="F108" i="7"/>
  <c r="BC159" i="6"/>
  <c r="F145" i="7"/>
  <c r="BC196" i="6"/>
  <c r="F110" i="7"/>
  <c r="BC161" i="6"/>
  <c r="F109" i="7"/>
  <c r="BC160" i="6"/>
  <c r="F125" i="7"/>
  <c r="BC176" i="6"/>
  <c r="F60" i="7"/>
  <c r="BC111" i="6"/>
  <c r="F67" i="7"/>
  <c r="BC118" i="6"/>
  <c r="F9" i="7"/>
  <c r="BC60" i="6"/>
  <c r="F107" i="7"/>
  <c r="BC158" i="6"/>
  <c r="F90" i="7"/>
  <c r="BC141" i="6"/>
  <c r="F86" i="7"/>
  <c r="BC137" i="6"/>
  <c r="F132" i="7"/>
  <c r="BC183" i="6"/>
  <c r="F17" i="7"/>
  <c r="BC68" i="6"/>
  <c r="F143" i="7"/>
  <c r="BC194" i="6"/>
  <c r="F134" i="7"/>
  <c r="BC185" i="6"/>
  <c r="F21" i="7"/>
  <c r="BC72" i="6"/>
  <c r="F138" i="7"/>
  <c r="BC189" i="6"/>
  <c r="F44" i="7"/>
  <c r="BC95" i="6"/>
  <c r="F115" i="7"/>
  <c r="BC166" i="6"/>
  <c r="F126" i="7"/>
  <c r="BC177" i="6"/>
  <c r="F78" i="7"/>
  <c r="BC129" i="6"/>
  <c r="F149" i="7"/>
  <c r="BC200" i="6"/>
  <c r="F54" i="7"/>
  <c r="BC105" i="6"/>
  <c r="AO130" i="6"/>
  <c r="AO143" i="6"/>
  <c r="AO158" i="6"/>
  <c r="AO178" i="6"/>
  <c r="AO141" i="6"/>
  <c r="AO200" i="6"/>
  <c r="AO180" i="6"/>
  <c r="AO83" i="6"/>
  <c r="AO131" i="6"/>
  <c r="AO174" i="6"/>
  <c r="AO176" i="6"/>
  <c r="AO157" i="6"/>
  <c r="AO101" i="6"/>
  <c r="AO177" i="6"/>
  <c r="AO129" i="6"/>
  <c r="AO82" i="6"/>
  <c r="AO128" i="6"/>
  <c r="AO135" i="6"/>
  <c r="AO71" i="6"/>
  <c r="AO148" i="6"/>
  <c r="AO60" i="6"/>
  <c r="AO145" i="6"/>
  <c r="AO99" i="6"/>
  <c r="AO57" i="6"/>
  <c r="F6" i="7"/>
  <c r="AO65" i="6"/>
  <c r="F14" i="7"/>
  <c r="AO192" i="6"/>
  <c r="F141" i="7"/>
  <c r="AO191" i="6"/>
  <c r="F140" i="7"/>
  <c r="AO123" i="6"/>
  <c r="F72" i="7"/>
  <c r="AO93" i="6"/>
  <c r="F42" i="7"/>
  <c r="AO58" i="6"/>
  <c r="F7" i="7"/>
  <c r="AO142" i="6"/>
  <c r="F91" i="7"/>
  <c r="AO189" i="6"/>
  <c r="AO205" i="6"/>
  <c r="AO86" i="6"/>
  <c r="AO154" i="6"/>
  <c r="AO77" i="6"/>
  <c r="AO95" i="6"/>
  <c r="AO106" i="6"/>
  <c r="AO115" i="6"/>
  <c r="AO94" i="6"/>
  <c r="AO166" i="6"/>
  <c r="AO163" i="6"/>
  <c r="AO165" i="6"/>
  <c r="AO132" i="6"/>
  <c r="AO190" i="6"/>
  <c r="AO198" i="6"/>
  <c r="AO104" i="6"/>
  <c r="AO134" i="6"/>
  <c r="AO138" i="6"/>
  <c r="AO114" i="6"/>
  <c r="AO170" i="6"/>
  <c r="AO62" i="6"/>
  <c r="AO102" i="6"/>
  <c r="AO87" i="6"/>
  <c r="AO133" i="6"/>
  <c r="AO64" i="6"/>
  <c r="AO78" i="6"/>
  <c r="AO70" i="6"/>
  <c r="AO147" i="6"/>
  <c r="AO108" i="6"/>
  <c r="AO125" i="6"/>
  <c r="AO150" i="6"/>
  <c r="AO92" i="6"/>
  <c r="AO156" i="6"/>
  <c r="AO79" i="6"/>
  <c r="AO172" i="6"/>
  <c r="AO201" i="6"/>
  <c r="AO81" i="6"/>
  <c r="AO164" i="6"/>
  <c r="AO202" i="6"/>
  <c r="AO85" i="6"/>
  <c r="AO187" i="6"/>
  <c r="AO206" i="6"/>
  <c r="AO75" i="6"/>
  <c r="AO80" i="6"/>
  <c r="AO153" i="6"/>
  <c r="AO63" i="6"/>
  <c r="AO168" i="6"/>
  <c r="AO116" i="6"/>
  <c r="AO88" i="6"/>
  <c r="AO179" i="6"/>
  <c r="AO171" i="6"/>
  <c r="AO96" i="6"/>
  <c r="AO182" i="6"/>
  <c r="AO100" i="6"/>
  <c r="AO91" i="6"/>
  <c r="AO74" i="6"/>
  <c r="AO124" i="6"/>
  <c r="AO181" i="6"/>
  <c r="AO76" i="6"/>
  <c r="AO119" i="6"/>
  <c r="AO120" i="6"/>
  <c r="AO59" i="6"/>
  <c r="AO90" i="6"/>
  <c r="AO61" i="6"/>
  <c r="AO146" i="6"/>
  <c r="AO112" i="6"/>
  <c r="AO155" i="6"/>
  <c r="AO126" i="6"/>
  <c r="AO117" i="6"/>
  <c r="AO67" i="6"/>
  <c r="AO122" i="6"/>
  <c r="AO121" i="6"/>
  <c r="AO140" i="6"/>
  <c r="AO98" i="6"/>
  <c r="AO127" i="6"/>
  <c r="AO113" i="6"/>
  <c r="AO197" i="6"/>
  <c r="AO73" i="6"/>
  <c r="AO173" i="6"/>
  <c r="AO107" i="6"/>
  <c r="AO162" i="6"/>
  <c r="AO167" i="6"/>
  <c r="AO136" i="6"/>
  <c r="AO160" i="6"/>
  <c r="AO195" i="6"/>
  <c r="AO203" i="6"/>
  <c r="AO175" i="6"/>
  <c r="AO69" i="6"/>
  <c r="AO184" i="6"/>
  <c r="AO169" i="6"/>
  <c r="AO97" i="6"/>
  <c r="AO159" i="6"/>
  <c r="AO152" i="6"/>
  <c r="AO151" i="6"/>
  <c r="AO196" i="6"/>
  <c r="AO103" i="6"/>
  <c r="AO161" i="6"/>
  <c r="AO204" i="6"/>
  <c r="AO111" i="6"/>
  <c r="AO183" i="6"/>
  <c r="AO139" i="6"/>
  <c r="AO68" i="6"/>
  <c r="AO89" i="6"/>
  <c r="AO118" i="6"/>
  <c r="AO194" i="6"/>
  <c r="AO149" i="6"/>
  <c r="AO185" i="6"/>
  <c r="AO66" i="6"/>
  <c r="AO199" i="6"/>
  <c r="AO72" i="6"/>
  <c r="AE39" i="6"/>
  <c r="F56" i="6" l="1"/>
  <c r="B5" i="5" s="1"/>
  <c r="E41" i="6"/>
  <c r="B6" i="12" s="1"/>
  <c r="AI202" i="6"/>
  <c r="AI194" i="6"/>
  <c r="AI186" i="6"/>
  <c r="AI178" i="6"/>
  <c r="AI170" i="6"/>
  <c r="AI162" i="6"/>
  <c r="AI201" i="6"/>
  <c r="AI200" i="6"/>
  <c r="AI199" i="6"/>
  <c r="AI191" i="6"/>
  <c r="AI183" i="6"/>
  <c r="AI175" i="6"/>
  <c r="AI167" i="6"/>
  <c r="AI159" i="6"/>
  <c r="AI151" i="6"/>
  <c r="AI143" i="6"/>
  <c r="AI135" i="6"/>
  <c r="AI206" i="6"/>
  <c r="AI198" i="6"/>
  <c r="AI190" i="6"/>
  <c r="AI182" i="6"/>
  <c r="AI174" i="6"/>
  <c r="AI166" i="6"/>
  <c r="AI205" i="6"/>
  <c r="AI197" i="6"/>
  <c r="AI204" i="6"/>
  <c r="AI203" i="6"/>
  <c r="AI195" i="6"/>
  <c r="AI187" i="6"/>
  <c r="AI179" i="6"/>
  <c r="AI171" i="6"/>
  <c r="AI163" i="6"/>
  <c r="AI155" i="6"/>
  <c r="AI147" i="6"/>
  <c r="AI139" i="6"/>
  <c r="AI131" i="6"/>
  <c r="AI196" i="6"/>
  <c r="AI185" i="6"/>
  <c r="AI169" i="6"/>
  <c r="AI158" i="6"/>
  <c r="AI145" i="6"/>
  <c r="AI132" i="6"/>
  <c r="AI129" i="6"/>
  <c r="AI121" i="6"/>
  <c r="AI113" i="6"/>
  <c r="AI105" i="6"/>
  <c r="AI97" i="6"/>
  <c r="AI188" i="6"/>
  <c r="AI172" i="6"/>
  <c r="AI154" i="6"/>
  <c r="AI141" i="6"/>
  <c r="AI126" i="6"/>
  <c r="AI118" i="6"/>
  <c r="AI110" i="6"/>
  <c r="AI102" i="6"/>
  <c r="AI180" i="6"/>
  <c r="AI168" i="6"/>
  <c r="AI153" i="6"/>
  <c r="AI184" i="6"/>
  <c r="AI165" i="6"/>
  <c r="AI140" i="6"/>
  <c r="AI127" i="6"/>
  <c r="AI114" i="6"/>
  <c r="AI108" i="6"/>
  <c r="AI90" i="6"/>
  <c r="AI82" i="6"/>
  <c r="AI181" i="6"/>
  <c r="AI157" i="6"/>
  <c r="AI164" i="6"/>
  <c r="AI144" i="6"/>
  <c r="AI136" i="6"/>
  <c r="AI130" i="6"/>
  <c r="AI124" i="6"/>
  <c r="AI111" i="6"/>
  <c r="AI98" i="6"/>
  <c r="AI94" i="6"/>
  <c r="AI86" i="6"/>
  <c r="AI78" i="6"/>
  <c r="AI66" i="6"/>
  <c r="AI156" i="6"/>
  <c r="AI93" i="6"/>
  <c r="AI80" i="6"/>
  <c r="AI177" i="6"/>
  <c r="AI142" i="6"/>
  <c r="AI138" i="6"/>
  <c r="AI125" i="6"/>
  <c r="AI146" i="6"/>
  <c r="AI128" i="6"/>
  <c r="AI117" i="6"/>
  <c r="AI109" i="6"/>
  <c r="AI176" i="6"/>
  <c r="AI150" i="6"/>
  <c r="AI148" i="6"/>
  <c r="AI120" i="6"/>
  <c r="AI112" i="6"/>
  <c r="AI101" i="6"/>
  <c r="AI88" i="6"/>
  <c r="AI71" i="6"/>
  <c r="AI63" i="6"/>
  <c r="AI152" i="6"/>
  <c r="AI133" i="6"/>
  <c r="AI123" i="6"/>
  <c r="AI115" i="6"/>
  <c r="AI104" i="6"/>
  <c r="AI89" i="6"/>
  <c r="AI62" i="6"/>
  <c r="AI107" i="6"/>
  <c r="AI95" i="6"/>
  <c r="AI70" i="6"/>
  <c r="AI99" i="6"/>
  <c r="AI96" i="6"/>
  <c r="AI83" i="6"/>
  <c r="AI189" i="6"/>
  <c r="AI161" i="6"/>
  <c r="AI137" i="6"/>
  <c r="AI77" i="6"/>
  <c r="AI193" i="6"/>
  <c r="AI160" i="6"/>
  <c r="AI149" i="6"/>
  <c r="AI116" i="6"/>
  <c r="AI91" i="6"/>
  <c r="AI85" i="6"/>
  <c r="AI75" i="6"/>
  <c r="AI67" i="6"/>
  <c r="AI59" i="6"/>
  <c r="AL56" i="6"/>
  <c r="BB56" i="6" s="1"/>
  <c r="AI192" i="6"/>
  <c r="AI173" i="6"/>
  <c r="AI134" i="6"/>
  <c r="AI119" i="6"/>
  <c r="AI100" i="6"/>
  <c r="AI92" i="6"/>
  <c r="AI79" i="6"/>
  <c r="AI74" i="6"/>
  <c r="AI58" i="6"/>
  <c r="AI122" i="6"/>
  <c r="AI103" i="6"/>
  <c r="AI84" i="6"/>
  <c r="AI69" i="6"/>
  <c r="AI60" i="6"/>
  <c r="AI65" i="6"/>
  <c r="AI87" i="6"/>
  <c r="AI72" i="6"/>
  <c r="AI61" i="6"/>
  <c r="AI81" i="6"/>
  <c r="AI68" i="6"/>
  <c r="AI76" i="6"/>
  <c r="AI73" i="6"/>
  <c r="AI57" i="6"/>
  <c r="AI106" i="6"/>
  <c r="AI64" i="6"/>
  <c r="O56" i="6"/>
  <c r="C5" i="5" s="1"/>
  <c r="F57" i="6" l="1"/>
  <c r="B6" i="5" s="1"/>
  <c r="F61" i="6"/>
  <c r="B10" i="5" s="1"/>
  <c r="F65" i="6"/>
  <c r="B14" i="5" s="1"/>
  <c r="F69" i="6"/>
  <c r="B18" i="5" s="1"/>
  <c r="F73" i="6"/>
  <c r="F77" i="6"/>
  <c r="B26" i="5" s="1"/>
  <c r="F81" i="6"/>
  <c r="B30" i="5" s="1"/>
  <c r="F85" i="6"/>
  <c r="B34" i="5" s="1"/>
  <c r="F89" i="6"/>
  <c r="B38" i="5" s="1"/>
  <c r="F93" i="6"/>
  <c r="B42" i="5" s="1"/>
  <c r="F97" i="6"/>
  <c r="B46" i="5" s="1"/>
  <c r="F101" i="6"/>
  <c r="B50" i="5" s="1"/>
  <c r="F105" i="6"/>
  <c r="B54" i="5" s="1"/>
  <c r="F109" i="6"/>
  <c r="B58" i="5" s="1"/>
  <c r="F113" i="6"/>
  <c r="B62" i="5" s="1"/>
  <c r="F117" i="6"/>
  <c r="B66" i="5" s="1"/>
  <c r="F121" i="6"/>
  <c r="B70" i="5" s="1"/>
  <c r="F125" i="6"/>
  <c r="B74" i="5" s="1"/>
  <c r="F129" i="6"/>
  <c r="B78" i="5" s="1"/>
  <c r="F133" i="6"/>
  <c r="B82" i="5" s="1"/>
  <c r="F137" i="6"/>
  <c r="B86" i="5" s="1"/>
  <c r="F141" i="6"/>
  <c r="B90" i="5" s="1"/>
  <c r="F145" i="6"/>
  <c r="B94" i="5" s="1"/>
  <c r="F149" i="6"/>
  <c r="B98" i="5" s="1"/>
  <c r="F153" i="6"/>
  <c r="B102" i="5" s="1"/>
  <c r="F157" i="6"/>
  <c r="B106" i="5" s="1"/>
  <c r="F161" i="6"/>
  <c r="B110" i="5" s="1"/>
  <c r="F165" i="6"/>
  <c r="B114" i="5" s="1"/>
  <c r="F169" i="6"/>
  <c r="B118" i="5" s="1"/>
  <c r="F173" i="6"/>
  <c r="B122" i="5" s="1"/>
  <c r="F177" i="6"/>
  <c r="B126" i="5" s="1"/>
  <c r="F181" i="6"/>
  <c r="B130" i="5" s="1"/>
  <c r="F185" i="6"/>
  <c r="B134" i="5" s="1"/>
  <c r="F189" i="6"/>
  <c r="B138" i="5" s="1"/>
  <c r="F193" i="6"/>
  <c r="B142" i="5" s="1"/>
  <c r="F197" i="6"/>
  <c r="B146" i="5" s="1"/>
  <c r="F201" i="6"/>
  <c r="B150" i="5" s="1"/>
  <c r="F205" i="6"/>
  <c r="B154" i="5" s="1"/>
  <c r="F64" i="6"/>
  <c r="B13" i="5" s="1"/>
  <c r="F88" i="6"/>
  <c r="B37" i="5" s="1"/>
  <c r="F104" i="6"/>
  <c r="B53" i="5" s="1"/>
  <c r="F112" i="6"/>
  <c r="B61" i="5" s="1"/>
  <c r="F124" i="6"/>
  <c r="B73" i="5" s="1"/>
  <c r="F136" i="6"/>
  <c r="B85" i="5" s="1"/>
  <c r="F144" i="6"/>
  <c r="B93" i="5" s="1"/>
  <c r="F152" i="6"/>
  <c r="B101" i="5" s="1"/>
  <c r="F164" i="6"/>
  <c r="B113" i="5" s="1"/>
  <c r="F172" i="6"/>
  <c r="B121" i="5" s="1"/>
  <c r="F184" i="6"/>
  <c r="B133" i="5" s="1"/>
  <c r="F196" i="6"/>
  <c r="B145" i="5" s="1"/>
  <c r="F60" i="6"/>
  <c r="B9" i="5" s="1"/>
  <c r="F58" i="6"/>
  <c r="B7" i="5" s="1"/>
  <c r="F62" i="6"/>
  <c r="B11" i="5" s="1"/>
  <c r="F66" i="6"/>
  <c r="B15" i="5" s="1"/>
  <c r="F70" i="6"/>
  <c r="B19" i="5" s="1"/>
  <c r="F74" i="6"/>
  <c r="B23" i="5" s="1"/>
  <c r="F78" i="6"/>
  <c r="B27" i="5" s="1"/>
  <c r="F82" i="6"/>
  <c r="B31" i="5" s="1"/>
  <c r="F86" i="6"/>
  <c r="B35" i="5" s="1"/>
  <c r="F90" i="6"/>
  <c r="B39" i="5" s="1"/>
  <c r="F94" i="6"/>
  <c r="B43" i="5" s="1"/>
  <c r="F98" i="6"/>
  <c r="B47" i="5" s="1"/>
  <c r="F102" i="6"/>
  <c r="B51" i="5" s="1"/>
  <c r="F106" i="6"/>
  <c r="B55" i="5" s="1"/>
  <c r="F110" i="6"/>
  <c r="B59" i="5" s="1"/>
  <c r="F114" i="6"/>
  <c r="B63" i="5" s="1"/>
  <c r="F118" i="6"/>
  <c r="B67" i="5" s="1"/>
  <c r="F122" i="6"/>
  <c r="B71" i="5" s="1"/>
  <c r="F126" i="6"/>
  <c r="B75" i="5" s="1"/>
  <c r="F130" i="6"/>
  <c r="B79" i="5" s="1"/>
  <c r="F134" i="6"/>
  <c r="B83" i="5" s="1"/>
  <c r="F138" i="6"/>
  <c r="B87" i="5" s="1"/>
  <c r="F142" i="6"/>
  <c r="B91" i="5" s="1"/>
  <c r="F146" i="6"/>
  <c r="B95" i="5" s="1"/>
  <c r="F150" i="6"/>
  <c r="B99" i="5" s="1"/>
  <c r="F154" i="6"/>
  <c r="B103" i="5" s="1"/>
  <c r="F158" i="6"/>
  <c r="B107" i="5" s="1"/>
  <c r="F162" i="6"/>
  <c r="B111" i="5" s="1"/>
  <c r="F166" i="6"/>
  <c r="B115" i="5" s="1"/>
  <c r="F170" i="6"/>
  <c r="B119" i="5" s="1"/>
  <c r="F174" i="6"/>
  <c r="B123" i="5" s="1"/>
  <c r="F178" i="6"/>
  <c r="B127" i="5" s="1"/>
  <c r="F182" i="6"/>
  <c r="B131" i="5" s="1"/>
  <c r="F186" i="6"/>
  <c r="B135" i="5" s="1"/>
  <c r="F190" i="6"/>
  <c r="B139" i="5" s="1"/>
  <c r="F194" i="6"/>
  <c r="B143" i="5" s="1"/>
  <c r="F198" i="6"/>
  <c r="B147" i="5" s="1"/>
  <c r="F202" i="6"/>
  <c r="B151" i="5" s="1"/>
  <c r="F206" i="6"/>
  <c r="B155" i="5" s="1"/>
  <c r="F68" i="6"/>
  <c r="B17" i="5" s="1"/>
  <c r="F76" i="6"/>
  <c r="B25" i="5" s="1"/>
  <c r="F80" i="6"/>
  <c r="B29" i="5" s="1"/>
  <c r="F92" i="6"/>
  <c r="B41" i="5" s="1"/>
  <c r="F100" i="6"/>
  <c r="B49" i="5" s="1"/>
  <c r="F116" i="6"/>
  <c r="B65" i="5" s="1"/>
  <c r="F128" i="6"/>
  <c r="B77" i="5" s="1"/>
  <c r="F140" i="6"/>
  <c r="B89" i="5" s="1"/>
  <c r="F156" i="6"/>
  <c r="B105" i="5" s="1"/>
  <c r="F168" i="6"/>
  <c r="B117" i="5" s="1"/>
  <c r="F180" i="6"/>
  <c r="B129" i="5" s="1"/>
  <c r="F192" i="6"/>
  <c r="B141" i="5" s="1"/>
  <c r="F204" i="6"/>
  <c r="B153" i="5" s="1"/>
  <c r="F72" i="6"/>
  <c r="B21" i="5" s="1"/>
  <c r="F84" i="6"/>
  <c r="B33" i="5" s="1"/>
  <c r="F96" i="6"/>
  <c r="B45" i="5" s="1"/>
  <c r="F108" i="6"/>
  <c r="B57" i="5" s="1"/>
  <c r="F120" i="6"/>
  <c r="B69" i="5" s="1"/>
  <c r="F132" i="6"/>
  <c r="B81" i="5" s="1"/>
  <c r="F148" i="6"/>
  <c r="B97" i="5" s="1"/>
  <c r="F160" i="6"/>
  <c r="B109" i="5" s="1"/>
  <c r="F176" i="6"/>
  <c r="B125" i="5" s="1"/>
  <c r="F188" i="6"/>
  <c r="B137" i="5" s="1"/>
  <c r="F200" i="6"/>
  <c r="B149" i="5" s="1"/>
  <c r="F59" i="6"/>
  <c r="B8" i="5" s="1"/>
  <c r="F63" i="6"/>
  <c r="B12" i="5" s="1"/>
  <c r="F67" i="6"/>
  <c r="B16" i="5" s="1"/>
  <c r="F71" i="6"/>
  <c r="B20" i="5" s="1"/>
  <c r="F75" i="6"/>
  <c r="B24" i="5" s="1"/>
  <c r="F79" i="6"/>
  <c r="B28" i="5" s="1"/>
  <c r="F83" i="6"/>
  <c r="B32" i="5" s="1"/>
  <c r="F87" i="6"/>
  <c r="B36" i="5" s="1"/>
  <c r="F91" i="6"/>
  <c r="B40" i="5" s="1"/>
  <c r="F95" i="6"/>
  <c r="B44" i="5" s="1"/>
  <c r="F99" i="6"/>
  <c r="B48" i="5" s="1"/>
  <c r="F103" i="6"/>
  <c r="B52" i="5" s="1"/>
  <c r="F107" i="6"/>
  <c r="B56" i="5" s="1"/>
  <c r="F111" i="6"/>
  <c r="B60" i="5" s="1"/>
  <c r="F115" i="6"/>
  <c r="B64" i="5" s="1"/>
  <c r="F119" i="6"/>
  <c r="B68" i="5" s="1"/>
  <c r="F123" i="6"/>
  <c r="B72" i="5" s="1"/>
  <c r="F127" i="6"/>
  <c r="B76" i="5" s="1"/>
  <c r="F131" i="6"/>
  <c r="B80" i="5" s="1"/>
  <c r="F135" i="6"/>
  <c r="B84" i="5" s="1"/>
  <c r="F139" i="6"/>
  <c r="B88" i="5" s="1"/>
  <c r="F143" i="6"/>
  <c r="B92" i="5" s="1"/>
  <c r="F147" i="6"/>
  <c r="B96" i="5" s="1"/>
  <c r="F151" i="6"/>
  <c r="B100" i="5" s="1"/>
  <c r="F155" i="6"/>
  <c r="B104" i="5" s="1"/>
  <c r="F159" i="6"/>
  <c r="B108" i="5" s="1"/>
  <c r="F163" i="6"/>
  <c r="B112" i="5" s="1"/>
  <c r="F167" i="6"/>
  <c r="B116" i="5" s="1"/>
  <c r="F171" i="6"/>
  <c r="B120" i="5" s="1"/>
  <c r="F175" i="6"/>
  <c r="B124" i="5" s="1"/>
  <c r="F179" i="6"/>
  <c r="B128" i="5" s="1"/>
  <c r="F183" i="6"/>
  <c r="B132" i="5" s="1"/>
  <c r="F187" i="6"/>
  <c r="B136" i="5" s="1"/>
  <c r="F191" i="6"/>
  <c r="B140" i="5" s="1"/>
  <c r="F195" i="6"/>
  <c r="B144" i="5" s="1"/>
  <c r="F199" i="6"/>
  <c r="B148" i="5" s="1"/>
  <c r="F203" i="6"/>
  <c r="B152" i="5" s="1"/>
  <c r="AE56" i="6"/>
  <c r="E5" i="4"/>
  <c r="B22" i="5"/>
  <c r="G56" i="6"/>
  <c r="G81" i="6" s="1"/>
  <c r="N41" i="6"/>
  <c r="O57" i="6" l="1"/>
  <c r="C6" i="5" s="1"/>
  <c r="C6" i="12"/>
  <c r="C7" i="12" s="1"/>
  <c r="O58" i="6"/>
  <c r="O62" i="6"/>
  <c r="C11" i="5" s="1"/>
  <c r="O66" i="6"/>
  <c r="C15" i="5" s="1"/>
  <c r="O70" i="6"/>
  <c r="C19" i="5" s="1"/>
  <c r="O74" i="6"/>
  <c r="C23" i="5" s="1"/>
  <c r="O78" i="6"/>
  <c r="C27" i="5" s="1"/>
  <c r="O82" i="6"/>
  <c r="C31" i="5" s="1"/>
  <c r="O86" i="6"/>
  <c r="C35" i="5" s="1"/>
  <c r="O90" i="6"/>
  <c r="C39" i="5" s="1"/>
  <c r="O94" i="6"/>
  <c r="C43" i="5" s="1"/>
  <c r="O98" i="6"/>
  <c r="C47" i="5" s="1"/>
  <c r="O102" i="6"/>
  <c r="C51" i="5" s="1"/>
  <c r="O106" i="6"/>
  <c r="C55" i="5" s="1"/>
  <c r="O110" i="6"/>
  <c r="C59" i="5" s="1"/>
  <c r="O114" i="6"/>
  <c r="C63" i="5" s="1"/>
  <c r="O118" i="6"/>
  <c r="C67" i="5" s="1"/>
  <c r="O122" i="6"/>
  <c r="C71" i="5" s="1"/>
  <c r="O126" i="6"/>
  <c r="C75" i="5" s="1"/>
  <c r="O130" i="6"/>
  <c r="C79" i="5" s="1"/>
  <c r="O134" i="6"/>
  <c r="C83" i="5" s="1"/>
  <c r="O138" i="6"/>
  <c r="C87" i="5" s="1"/>
  <c r="O142" i="6"/>
  <c r="C91" i="5" s="1"/>
  <c r="O146" i="6"/>
  <c r="O150" i="6"/>
  <c r="C99" i="5" s="1"/>
  <c r="O154" i="6"/>
  <c r="O158" i="6"/>
  <c r="C107" i="5" s="1"/>
  <c r="O162" i="6"/>
  <c r="C111" i="5" s="1"/>
  <c r="O166" i="6"/>
  <c r="C115" i="5" s="1"/>
  <c r="O170" i="6"/>
  <c r="C119" i="5" s="1"/>
  <c r="O174" i="6"/>
  <c r="C123" i="5" s="1"/>
  <c r="O178" i="6"/>
  <c r="C127" i="5" s="1"/>
  <c r="O182" i="6"/>
  <c r="C131" i="5" s="1"/>
  <c r="O186" i="6"/>
  <c r="C135" i="5" s="1"/>
  <c r="O190" i="6"/>
  <c r="C139" i="5" s="1"/>
  <c r="O194" i="6"/>
  <c r="C143" i="5" s="1"/>
  <c r="O198" i="6"/>
  <c r="C147" i="5" s="1"/>
  <c r="O202" i="6"/>
  <c r="C151" i="5" s="1"/>
  <c r="O206" i="6"/>
  <c r="C155" i="5" s="1"/>
  <c r="O65" i="6"/>
  <c r="C14" i="5" s="1"/>
  <c r="O77" i="6"/>
  <c r="C26" i="5" s="1"/>
  <c r="O81" i="6"/>
  <c r="C30" i="5" s="1"/>
  <c r="O89" i="6"/>
  <c r="C38" i="5" s="1"/>
  <c r="O97" i="6"/>
  <c r="C46" i="5" s="1"/>
  <c r="O105" i="6"/>
  <c r="C54" i="5" s="1"/>
  <c r="O113" i="6"/>
  <c r="C62" i="5" s="1"/>
  <c r="O121" i="6"/>
  <c r="C70" i="5" s="1"/>
  <c r="O129" i="6"/>
  <c r="C78" i="5" s="1"/>
  <c r="O137" i="6"/>
  <c r="C86" i="5" s="1"/>
  <c r="O145" i="6"/>
  <c r="C94" i="5" s="1"/>
  <c r="O153" i="6"/>
  <c r="C102" i="5" s="1"/>
  <c r="O165" i="6"/>
  <c r="C114" i="5" s="1"/>
  <c r="O173" i="6"/>
  <c r="C122" i="5" s="1"/>
  <c r="O181" i="6"/>
  <c r="C130" i="5" s="1"/>
  <c r="O189" i="6"/>
  <c r="C138" i="5" s="1"/>
  <c r="O201" i="6"/>
  <c r="C150" i="5" s="1"/>
  <c r="O69" i="6"/>
  <c r="C18" i="5" s="1"/>
  <c r="O73" i="6"/>
  <c r="C22" i="5" s="1"/>
  <c r="O85" i="6"/>
  <c r="C34" i="5" s="1"/>
  <c r="O93" i="6"/>
  <c r="C42" i="5" s="1"/>
  <c r="O101" i="6"/>
  <c r="C50" i="5" s="1"/>
  <c r="O109" i="6"/>
  <c r="C58" i="5" s="1"/>
  <c r="O117" i="6"/>
  <c r="C66" i="5" s="1"/>
  <c r="O125" i="6"/>
  <c r="C74" i="5" s="1"/>
  <c r="O133" i="6"/>
  <c r="C82" i="5" s="1"/>
  <c r="O141" i="6"/>
  <c r="C90" i="5" s="1"/>
  <c r="O149" i="6"/>
  <c r="C98" i="5" s="1"/>
  <c r="O161" i="6"/>
  <c r="C110" i="5" s="1"/>
  <c r="O169" i="6"/>
  <c r="C118" i="5" s="1"/>
  <c r="O177" i="6"/>
  <c r="C126" i="5" s="1"/>
  <c r="O193" i="6"/>
  <c r="C142" i="5" s="1"/>
  <c r="O205" i="6"/>
  <c r="C154" i="5" s="1"/>
  <c r="O59" i="6"/>
  <c r="C8" i="5" s="1"/>
  <c r="O63" i="6"/>
  <c r="C12" i="5" s="1"/>
  <c r="O67" i="6"/>
  <c r="C16" i="5" s="1"/>
  <c r="O71" i="6"/>
  <c r="C20" i="5" s="1"/>
  <c r="O75" i="6"/>
  <c r="C24" i="5" s="1"/>
  <c r="O79" i="6"/>
  <c r="C28" i="5" s="1"/>
  <c r="O83" i="6"/>
  <c r="C32" i="5" s="1"/>
  <c r="O87" i="6"/>
  <c r="C36" i="5" s="1"/>
  <c r="O91" i="6"/>
  <c r="C40" i="5" s="1"/>
  <c r="O95" i="6"/>
  <c r="C44" i="5" s="1"/>
  <c r="O99" i="6"/>
  <c r="C48" i="5" s="1"/>
  <c r="O103" i="6"/>
  <c r="C52" i="5" s="1"/>
  <c r="O107" i="6"/>
  <c r="C56" i="5" s="1"/>
  <c r="O111" i="6"/>
  <c r="C60" i="5" s="1"/>
  <c r="O115" i="6"/>
  <c r="C64" i="5" s="1"/>
  <c r="O119" i="6"/>
  <c r="C68" i="5" s="1"/>
  <c r="O123" i="6"/>
  <c r="C72" i="5" s="1"/>
  <c r="O127" i="6"/>
  <c r="C76" i="5" s="1"/>
  <c r="O131" i="6"/>
  <c r="C80" i="5" s="1"/>
  <c r="O135" i="6"/>
  <c r="C84" i="5" s="1"/>
  <c r="O139" i="6"/>
  <c r="C88" i="5" s="1"/>
  <c r="O143" i="6"/>
  <c r="C92" i="5" s="1"/>
  <c r="O147" i="6"/>
  <c r="C96" i="5" s="1"/>
  <c r="O151" i="6"/>
  <c r="C100" i="5" s="1"/>
  <c r="O155" i="6"/>
  <c r="C104" i="5" s="1"/>
  <c r="O159" i="6"/>
  <c r="C108" i="5" s="1"/>
  <c r="O163" i="6"/>
  <c r="C112" i="5" s="1"/>
  <c r="O167" i="6"/>
  <c r="C116" i="5" s="1"/>
  <c r="O171" i="6"/>
  <c r="C120" i="5" s="1"/>
  <c r="O175" i="6"/>
  <c r="C124" i="5" s="1"/>
  <c r="O179" i="6"/>
  <c r="C128" i="5" s="1"/>
  <c r="O183" i="6"/>
  <c r="C132" i="5" s="1"/>
  <c r="O187" i="6"/>
  <c r="C136" i="5" s="1"/>
  <c r="O191" i="6"/>
  <c r="C140" i="5" s="1"/>
  <c r="O195" i="6"/>
  <c r="C144" i="5" s="1"/>
  <c r="O199" i="6"/>
  <c r="C148" i="5" s="1"/>
  <c r="O203" i="6"/>
  <c r="C152" i="5" s="1"/>
  <c r="O60" i="6"/>
  <c r="C9" i="5" s="1"/>
  <c r="O64" i="6"/>
  <c r="C13" i="5" s="1"/>
  <c r="O68" i="6"/>
  <c r="C17" i="5" s="1"/>
  <c r="O72" i="6"/>
  <c r="C21" i="5" s="1"/>
  <c r="O76" i="6"/>
  <c r="C25" i="5" s="1"/>
  <c r="O80" i="6"/>
  <c r="C29" i="5" s="1"/>
  <c r="O84" i="6"/>
  <c r="C33" i="5" s="1"/>
  <c r="O88" i="6"/>
  <c r="C37" i="5" s="1"/>
  <c r="O92" i="6"/>
  <c r="C41" i="5" s="1"/>
  <c r="O96" i="6"/>
  <c r="C45" i="5" s="1"/>
  <c r="O100" i="6"/>
  <c r="C49" i="5" s="1"/>
  <c r="O104" i="6"/>
  <c r="C53" i="5" s="1"/>
  <c r="O108" i="6"/>
  <c r="C57" i="5" s="1"/>
  <c r="O112" i="6"/>
  <c r="C61" i="5" s="1"/>
  <c r="O116" i="6"/>
  <c r="C65" i="5" s="1"/>
  <c r="O120" i="6"/>
  <c r="C69" i="5" s="1"/>
  <c r="O124" i="6"/>
  <c r="C73" i="5" s="1"/>
  <c r="O128" i="6"/>
  <c r="C77" i="5" s="1"/>
  <c r="O132" i="6"/>
  <c r="C81" i="5" s="1"/>
  <c r="O136" i="6"/>
  <c r="C85" i="5" s="1"/>
  <c r="O140" i="6"/>
  <c r="C89" i="5" s="1"/>
  <c r="O144" i="6"/>
  <c r="C93" i="5" s="1"/>
  <c r="O148" i="6"/>
  <c r="C97" i="5" s="1"/>
  <c r="O152" i="6"/>
  <c r="C101" i="5" s="1"/>
  <c r="O156" i="6"/>
  <c r="C105" i="5" s="1"/>
  <c r="O160" i="6"/>
  <c r="C109" i="5" s="1"/>
  <c r="O164" i="6"/>
  <c r="C113" i="5" s="1"/>
  <c r="O168" i="6"/>
  <c r="C117" i="5" s="1"/>
  <c r="O172" i="6"/>
  <c r="C121" i="5" s="1"/>
  <c r="O176" i="6"/>
  <c r="C125" i="5" s="1"/>
  <c r="O180" i="6"/>
  <c r="C129" i="5" s="1"/>
  <c r="O184" i="6"/>
  <c r="C133" i="5" s="1"/>
  <c r="O188" i="6"/>
  <c r="C137" i="5" s="1"/>
  <c r="O192" i="6"/>
  <c r="C141" i="5" s="1"/>
  <c r="O196" i="6"/>
  <c r="C145" i="5" s="1"/>
  <c r="O200" i="6"/>
  <c r="C149" i="5" s="1"/>
  <c r="O204" i="6"/>
  <c r="C153" i="5" s="1"/>
  <c r="O61" i="6"/>
  <c r="C10" i="5" s="1"/>
  <c r="O157" i="6"/>
  <c r="C106" i="5" s="1"/>
  <c r="O185" i="6"/>
  <c r="C134" i="5" s="1"/>
  <c r="O197" i="6"/>
  <c r="C146" i="5" s="1"/>
  <c r="G57" i="6"/>
  <c r="B6" i="9" s="1"/>
  <c r="G188" i="6"/>
  <c r="G156" i="6"/>
  <c r="G124" i="6"/>
  <c r="B73" i="9" s="1"/>
  <c r="G92" i="6"/>
  <c r="G60" i="6"/>
  <c r="G175" i="6"/>
  <c r="G143" i="6"/>
  <c r="G111" i="6"/>
  <c r="G79" i="6"/>
  <c r="G198" i="6"/>
  <c r="G166" i="6"/>
  <c r="G134" i="6"/>
  <c r="G102" i="6"/>
  <c r="G70" i="6"/>
  <c r="G205" i="6"/>
  <c r="B154" i="9" s="1"/>
  <c r="G173" i="6"/>
  <c r="G141" i="6"/>
  <c r="B90" i="9" s="1"/>
  <c r="G109" i="6"/>
  <c r="B58" i="9" s="1"/>
  <c r="G77" i="6"/>
  <c r="B26" i="9" s="1"/>
  <c r="G184" i="6"/>
  <c r="B133" i="9" s="1"/>
  <c r="G152" i="6"/>
  <c r="B101" i="9" s="1"/>
  <c r="G120" i="6"/>
  <c r="B69" i="9" s="1"/>
  <c r="G88" i="6"/>
  <c r="B37" i="9" s="1"/>
  <c r="G203" i="6"/>
  <c r="B152" i="9" s="1"/>
  <c r="G171" i="6"/>
  <c r="G139" i="6"/>
  <c r="B88" i="9" s="1"/>
  <c r="G107" i="6"/>
  <c r="B56" i="9" s="1"/>
  <c r="G75" i="6"/>
  <c r="B24" i="9" s="1"/>
  <c r="G194" i="6"/>
  <c r="B143" i="9" s="1"/>
  <c r="G162" i="6"/>
  <c r="G130" i="6"/>
  <c r="B79" i="9" s="1"/>
  <c r="G98" i="6"/>
  <c r="B47" i="9" s="1"/>
  <c r="G66" i="6"/>
  <c r="G201" i="6"/>
  <c r="G169" i="6"/>
  <c r="G137" i="6"/>
  <c r="G105" i="6"/>
  <c r="G73" i="6"/>
  <c r="G180" i="6"/>
  <c r="B129" i="9" s="1"/>
  <c r="G148" i="6"/>
  <c r="B97" i="9" s="1"/>
  <c r="G116" i="6"/>
  <c r="B65" i="9" s="1"/>
  <c r="G84" i="6"/>
  <c r="G199" i="6"/>
  <c r="G167" i="6"/>
  <c r="G135" i="6"/>
  <c r="B84" i="9" s="1"/>
  <c r="G103" i="6"/>
  <c r="G71" i="6"/>
  <c r="B20" i="9" s="1"/>
  <c r="G190" i="6"/>
  <c r="G158" i="6"/>
  <c r="B107" i="9" s="1"/>
  <c r="G126" i="6"/>
  <c r="B75" i="9" s="1"/>
  <c r="G94" i="6"/>
  <c r="B43" i="9" s="1"/>
  <c r="G62" i="6"/>
  <c r="G197" i="6"/>
  <c r="B146" i="9" s="1"/>
  <c r="G165" i="6"/>
  <c r="G133" i="6"/>
  <c r="B82" i="9" s="1"/>
  <c r="G101" i="6"/>
  <c r="G69" i="6"/>
  <c r="B18" i="9" s="1"/>
  <c r="G176" i="6"/>
  <c r="B125" i="9" s="1"/>
  <c r="G144" i="6"/>
  <c r="B93" i="9" s="1"/>
  <c r="G112" i="6"/>
  <c r="G80" i="6"/>
  <c r="B29" i="9" s="1"/>
  <c r="G195" i="6"/>
  <c r="G163" i="6"/>
  <c r="G131" i="6"/>
  <c r="G99" i="6"/>
  <c r="B48" i="9" s="1"/>
  <c r="G67" i="6"/>
  <c r="B16" i="9" s="1"/>
  <c r="G186" i="6"/>
  <c r="B135" i="9" s="1"/>
  <c r="G154" i="6"/>
  <c r="G122" i="6"/>
  <c r="G90" i="6"/>
  <c r="G58" i="6"/>
  <c r="G193" i="6"/>
  <c r="B142" i="9" s="1"/>
  <c r="G161" i="6"/>
  <c r="B110" i="9" s="1"/>
  <c r="G129" i="6"/>
  <c r="G97" i="6"/>
  <c r="G65" i="6"/>
  <c r="B14" i="9" s="1"/>
  <c r="G204" i="6"/>
  <c r="G172" i="6"/>
  <c r="B121" i="9" s="1"/>
  <c r="G140" i="6"/>
  <c r="G108" i="6"/>
  <c r="B57" i="9" s="1"/>
  <c r="G76" i="6"/>
  <c r="G191" i="6"/>
  <c r="G159" i="6"/>
  <c r="G127" i="6"/>
  <c r="B76" i="9" s="1"/>
  <c r="G95" i="6"/>
  <c r="G63" i="6"/>
  <c r="G182" i="6"/>
  <c r="B131" i="9" s="1"/>
  <c r="G150" i="6"/>
  <c r="B99" i="9" s="1"/>
  <c r="G118" i="6"/>
  <c r="G86" i="6"/>
  <c r="B35" i="9" s="1"/>
  <c r="G189" i="6"/>
  <c r="B138" i="9" s="1"/>
  <c r="G157" i="6"/>
  <c r="B106" i="9" s="1"/>
  <c r="G125" i="6"/>
  <c r="B74" i="9" s="1"/>
  <c r="G93" i="6"/>
  <c r="B42" i="9" s="1"/>
  <c r="G61" i="6"/>
  <c r="B10" i="9" s="1"/>
  <c r="G200" i="6"/>
  <c r="G168" i="6"/>
  <c r="B117" i="9" s="1"/>
  <c r="G136" i="6"/>
  <c r="G104" i="6"/>
  <c r="B53" i="9" s="1"/>
  <c r="G72" i="6"/>
  <c r="B21" i="9" s="1"/>
  <c r="G187" i="6"/>
  <c r="B136" i="9" s="1"/>
  <c r="G155" i="6"/>
  <c r="B104" i="9" s="1"/>
  <c r="G123" i="6"/>
  <c r="G91" i="6"/>
  <c r="G59" i="6"/>
  <c r="G178" i="6"/>
  <c r="G146" i="6"/>
  <c r="G114" i="6"/>
  <c r="G82" i="6"/>
  <c r="B31" i="9" s="1"/>
  <c r="G185" i="6"/>
  <c r="B134" i="9" s="1"/>
  <c r="G153" i="6"/>
  <c r="B102" i="9" s="1"/>
  <c r="G121" i="6"/>
  <c r="B70" i="9" s="1"/>
  <c r="G89" i="6"/>
  <c r="B38" i="9" s="1"/>
  <c r="G196" i="6"/>
  <c r="G164" i="6"/>
  <c r="B113" i="9" s="1"/>
  <c r="G132" i="6"/>
  <c r="G100" i="6"/>
  <c r="B49" i="9" s="1"/>
  <c r="G68" i="6"/>
  <c r="B17" i="9" s="1"/>
  <c r="G183" i="6"/>
  <c r="G151" i="6"/>
  <c r="G119" i="6"/>
  <c r="G87" i="6"/>
  <c r="B36" i="9" s="1"/>
  <c r="G206" i="6"/>
  <c r="B155" i="9" s="1"/>
  <c r="G174" i="6"/>
  <c r="G142" i="6"/>
  <c r="B91" i="9" s="1"/>
  <c r="G110" i="6"/>
  <c r="B59" i="9" s="1"/>
  <c r="G78" i="6"/>
  <c r="G181" i="6"/>
  <c r="G149" i="6"/>
  <c r="B98" i="9" s="1"/>
  <c r="G117" i="6"/>
  <c r="B66" i="9" s="1"/>
  <c r="G85" i="6"/>
  <c r="G192" i="6"/>
  <c r="B141" i="9" s="1"/>
  <c r="G160" i="6"/>
  <c r="G128" i="6"/>
  <c r="B77" i="9" s="1"/>
  <c r="G96" i="6"/>
  <c r="B45" i="9" s="1"/>
  <c r="G64" i="6"/>
  <c r="G179" i="6"/>
  <c r="G147" i="6"/>
  <c r="G115" i="6"/>
  <c r="G83" i="6"/>
  <c r="G202" i="6"/>
  <c r="G170" i="6"/>
  <c r="G138" i="6"/>
  <c r="B87" i="9" s="1"/>
  <c r="G106" i="6"/>
  <c r="G74" i="6"/>
  <c r="G177" i="6"/>
  <c r="B126" i="9" s="1"/>
  <c r="G145" i="6"/>
  <c r="B94" i="9" s="1"/>
  <c r="G113" i="6"/>
  <c r="B5" i="9"/>
  <c r="B30" i="9"/>
  <c r="C95" i="5"/>
  <c r="C103" i="5"/>
  <c r="C7" i="5"/>
  <c r="P56" i="6"/>
  <c r="P57" i="6" s="1"/>
  <c r="P181" i="6" l="1"/>
  <c r="P149" i="6"/>
  <c r="P117" i="6"/>
  <c r="P85" i="6"/>
  <c r="C34" i="9" s="1"/>
  <c r="P200" i="6"/>
  <c r="P168" i="6"/>
  <c r="P136" i="6"/>
  <c r="C85" i="9" s="1"/>
  <c r="P104" i="6"/>
  <c r="C53" i="9" s="1"/>
  <c r="P72" i="6"/>
  <c r="C21" i="9" s="1"/>
  <c r="P175" i="6"/>
  <c r="P143" i="6"/>
  <c r="P111" i="6"/>
  <c r="C60" i="9" s="1"/>
  <c r="P79" i="6"/>
  <c r="P186" i="6"/>
  <c r="P154" i="6"/>
  <c r="P122" i="6"/>
  <c r="P90" i="6"/>
  <c r="C39" i="9" s="1"/>
  <c r="P58" i="6"/>
  <c r="C7" i="9" s="1"/>
  <c r="P177" i="6"/>
  <c r="C126" i="9" s="1"/>
  <c r="P145" i="6"/>
  <c r="C94" i="9" s="1"/>
  <c r="P113" i="6"/>
  <c r="C62" i="9" s="1"/>
  <c r="P81" i="6"/>
  <c r="P196" i="6"/>
  <c r="P164" i="6"/>
  <c r="P132" i="6"/>
  <c r="P100" i="6"/>
  <c r="P68" i="6"/>
  <c r="P203" i="6"/>
  <c r="C152" i="9" s="1"/>
  <c r="P171" i="6"/>
  <c r="P139" i="6"/>
  <c r="P107" i="6"/>
  <c r="P75" i="6"/>
  <c r="C24" i="9" s="1"/>
  <c r="P182" i="6"/>
  <c r="P150" i="6"/>
  <c r="P118" i="6"/>
  <c r="C67" i="9" s="1"/>
  <c r="P86" i="6"/>
  <c r="P205" i="6"/>
  <c r="P173" i="6"/>
  <c r="C122" i="9" s="1"/>
  <c r="P141" i="6"/>
  <c r="C90" i="9" s="1"/>
  <c r="P109" i="6"/>
  <c r="P77" i="6"/>
  <c r="C26" i="9" s="1"/>
  <c r="P192" i="6"/>
  <c r="P160" i="6"/>
  <c r="C109" i="9" s="1"/>
  <c r="P128" i="6"/>
  <c r="C77" i="9" s="1"/>
  <c r="P96" i="6"/>
  <c r="P64" i="6"/>
  <c r="P199" i="6"/>
  <c r="C148" i="9" s="1"/>
  <c r="P167" i="6"/>
  <c r="P135" i="6"/>
  <c r="P103" i="6"/>
  <c r="C52" i="9" s="1"/>
  <c r="P71" i="6"/>
  <c r="P178" i="6"/>
  <c r="P146" i="6"/>
  <c r="P114" i="6"/>
  <c r="C63" i="9" s="1"/>
  <c r="P82" i="6"/>
  <c r="C31" i="9" s="1"/>
  <c r="P201" i="6"/>
  <c r="P169" i="6"/>
  <c r="P137" i="6"/>
  <c r="P105" i="6"/>
  <c r="C54" i="9" s="1"/>
  <c r="P73" i="6"/>
  <c r="P188" i="6"/>
  <c r="P156" i="6"/>
  <c r="P124" i="6"/>
  <c r="C73" i="9" s="1"/>
  <c r="P92" i="6"/>
  <c r="P60" i="6"/>
  <c r="P195" i="6"/>
  <c r="C144" i="9" s="1"/>
  <c r="P163" i="6"/>
  <c r="P131" i="6"/>
  <c r="C80" i="9" s="1"/>
  <c r="P99" i="6"/>
  <c r="P67" i="6"/>
  <c r="C16" i="9" s="1"/>
  <c r="P206" i="6"/>
  <c r="P174" i="6"/>
  <c r="P142" i="6"/>
  <c r="P110" i="6"/>
  <c r="P78" i="6"/>
  <c r="P197" i="6"/>
  <c r="P165" i="6"/>
  <c r="C114" i="9" s="1"/>
  <c r="P133" i="6"/>
  <c r="P101" i="6"/>
  <c r="C50" i="9" s="1"/>
  <c r="P69" i="6"/>
  <c r="C18" i="9" s="1"/>
  <c r="P184" i="6"/>
  <c r="P152" i="6"/>
  <c r="C101" i="9" s="1"/>
  <c r="P120" i="6"/>
  <c r="C69" i="9" s="1"/>
  <c r="P88" i="6"/>
  <c r="P191" i="6"/>
  <c r="P159" i="6"/>
  <c r="C108" i="9" s="1"/>
  <c r="P127" i="6"/>
  <c r="C76" i="9" s="1"/>
  <c r="P95" i="6"/>
  <c r="C44" i="9" s="1"/>
  <c r="P63" i="6"/>
  <c r="P202" i="6"/>
  <c r="C151" i="9" s="1"/>
  <c r="P170" i="6"/>
  <c r="C119" i="9" s="1"/>
  <c r="P138" i="6"/>
  <c r="C87" i="9" s="1"/>
  <c r="P106" i="6"/>
  <c r="P74" i="6"/>
  <c r="C23" i="9" s="1"/>
  <c r="P193" i="6"/>
  <c r="C142" i="9" s="1"/>
  <c r="P161" i="6"/>
  <c r="C110" i="9" s="1"/>
  <c r="P129" i="6"/>
  <c r="P97" i="6"/>
  <c r="C46" i="9" s="1"/>
  <c r="P65" i="6"/>
  <c r="P180" i="6"/>
  <c r="P148" i="6"/>
  <c r="P116" i="6"/>
  <c r="C65" i="9" s="1"/>
  <c r="P84" i="6"/>
  <c r="P187" i="6"/>
  <c r="P155" i="6"/>
  <c r="C104" i="9" s="1"/>
  <c r="P123" i="6"/>
  <c r="P91" i="6"/>
  <c r="C40" i="9" s="1"/>
  <c r="P59" i="6"/>
  <c r="C8" i="9" s="1"/>
  <c r="P198" i="6"/>
  <c r="P166" i="6"/>
  <c r="P134" i="6"/>
  <c r="C83" i="9" s="1"/>
  <c r="P102" i="6"/>
  <c r="C51" i="9" s="1"/>
  <c r="P70" i="6"/>
  <c r="C19" i="9" s="1"/>
  <c r="P189" i="6"/>
  <c r="C138" i="9" s="1"/>
  <c r="P157" i="6"/>
  <c r="P125" i="6"/>
  <c r="P93" i="6"/>
  <c r="C42" i="9" s="1"/>
  <c r="P61" i="6"/>
  <c r="P176" i="6"/>
  <c r="P144" i="6"/>
  <c r="P112" i="6"/>
  <c r="P80" i="6"/>
  <c r="P183" i="6"/>
  <c r="P151" i="6"/>
  <c r="P119" i="6"/>
  <c r="P87" i="6"/>
  <c r="C36" i="9" s="1"/>
  <c r="P194" i="6"/>
  <c r="C143" i="9" s="1"/>
  <c r="P162" i="6"/>
  <c r="P130" i="6"/>
  <c r="C79" i="9" s="1"/>
  <c r="P98" i="6"/>
  <c r="P66" i="6"/>
  <c r="C15" i="9" s="1"/>
  <c r="P185" i="6"/>
  <c r="P153" i="6"/>
  <c r="P121" i="6"/>
  <c r="C70" i="9" s="1"/>
  <c r="P89" i="6"/>
  <c r="C38" i="9" s="1"/>
  <c r="P204" i="6"/>
  <c r="P172" i="6"/>
  <c r="C121" i="9" s="1"/>
  <c r="P140" i="6"/>
  <c r="C89" i="9" s="1"/>
  <c r="P108" i="6"/>
  <c r="P76" i="6"/>
  <c r="C25" i="9" s="1"/>
  <c r="P179" i="6"/>
  <c r="C128" i="9" s="1"/>
  <c r="P147" i="6"/>
  <c r="C96" i="9" s="1"/>
  <c r="P115" i="6"/>
  <c r="C64" i="9" s="1"/>
  <c r="P83" i="6"/>
  <c r="C32" i="9" s="1"/>
  <c r="P190" i="6"/>
  <c r="P158" i="6"/>
  <c r="P126" i="6"/>
  <c r="P94" i="6"/>
  <c r="C43" i="9" s="1"/>
  <c r="P62" i="6"/>
  <c r="C11" i="9" s="1"/>
  <c r="C117" i="9"/>
  <c r="K174" i="6"/>
  <c r="B123" i="4" s="1"/>
  <c r="B123" i="9"/>
  <c r="K79" i="6"/>
  <c r="B28" i="4" s="1"/>
  <c r="B28" i="9"/>
  <c r="K76" i="6"/>
  <c r="B25" i="4" s="1"/>
  <c r="B25" i="9"/>
  <c r="K102" i="6"/>
  <c r="B51" i="4" s="1"/>
  <c r="B51" i="9"/>
  <c r="K204" i="6"/>
  <c r="B153" i="4" s="1"/>
  <c r="B153" i="9"/>
  <c r="K66" i="6"/>
  <c r="B15" i="4" s="1"/>
  <c r="B15" i="9"/>
  <c r="K151" i="6"/>
  <c r="B100" i="4" s="1"/>
  <c r="B100" i="9"/>
  <c r="K179" i="6"/>
  <c r="B128" i="4" s="1"/>
  <c r="B128" i="9"/>
  <c r="K136" i="6"/>
  <c r="B85" i="4" s="1"/>
  <c r="B85" i="9"/>
  <c r="K105" i="6"/>
  <c r="B54" i="4" s="1"/>
  <c r="B54" i="9"/>
  <c r="K83" i="6"/>
  <c r="B32" i="4" s="1"/>
  <c r="B32" i="9"/>
  <c r="K134" i="6"/>
  <c r="B83" i="4" s="1"/>
  <c r="B83" i="9"/>
  <c r="K160" i="6"/>
  <c r="B109" i="4" s="1"/>
  <c r="B109" i="9"/>
  <c r="K198" i="6"/>
  <c r="B147" i="4" s="1"/>
  <c r="B147" i="9"/>
  <c r="K85" i="6"/>
  <c r="B34" i="4" s="1"/>
  <c r="B34" i="9"/>
  <c r="K195" i="6"/>
  <c r="B144" i="4" s="1"/>
  <c r="B144" i="9"/>
  <c r="K70" i="6"/>
  <c r="B19" i="4" s="1"/>
  <c r="B19" i="9"/>
  <c r="K113" i="6"/>
  <c r="B62" i="4" s="1"/>
  <c r="B62" i="9"/>
  <c r="K162" i="6"/>
  <c r="B111" i="4" s="1"/>
  <c r="B111" i="9"/>
  <c r="K147" i="6"/>
  <c r="B96" i="4" s="1"/>
  <c r="B96" i="9"/>
  <c r="K175" i="6"/>
  <c r="B124" i="4" s="1"/>
  <c r="B124" i="9"/>
  <c r="K91" i="6"/>
  <c r="B40" i="4" s="1"/>
  <c r="B40" i="9"/>
  <c r="K78" i="6"/>
  <c r="B27" i="4" s="1"/>
  <c r="B27" i="9"/>
  <c r="K132" i="6"/>
  <c r="B81" i="4" s="1"/>
  <c r="B81" i="9"/>
  <c r="K95" i="6"/>
  <c r="B44" i="4" s="1"/>
  <c r="B44" i="9"/>
  <c r="C5" i="9"/>
  <c r="K181" i="6"/>
  <c r="B130" i="4" s="1"/>
  <c r="B130" i="9"/>
  <c r="K114" i="6"/>
  <c r="B63" i="4" s="1"/>
  <c r="B63" i="9"/>
  <c r="K171" i="6"/>
  <c r="B120" i="4" s="1"/>
  <c r="B120" i="9"/>
  <c r="K199" i="6"/>
  <c r="B148" i="4" s="1"/>
  <c r="B148" i="9"/>
  <c r="K166" i="6"/>
  <c r="B115" i="4" s="1"/>
  <c r="B115" i="9"/>
  <c r="K163" i="6"/>
  <c r="B112" i="4" s="1"/>
  <c r="B112" i="9"/>
  <c r="K191" i="6"/>
  <c r="B140" i="4" s="1"/>
  <c r="B140" i="9"/>
  <c r="K119" i="6"/>
  <c r="B68" i="4" s="1"/>
  <c r="B68" i="9"/>
  <c r="K140" i="6"/>
  <c r="B89" i="4" s="1"/>
  <c r="B89" i="9"/>
  <c r="K201" i="6"/>
  <c r="B150" i="4" s="1"/>
  <c r="B150" i="9"/>
  <c r="K143" i="6"/>
  <c r="B92" i="4" s="1"/>
  <c r="B92" i="9"/>
  <c r="K84" i="6"/>
  <c r="B33" i="4" s="1"/>
  <c r="B33" i="9"/>
  <c r="K196" i="6"/>
  <c r="B145" i="4" s="1"/>
  <c r="B145" i="9"/>
  <c r="K111" i="6"/>
  <c r="B60" i="4" s="1"/>
  <c r="B60" i="9"/>
  <c r="K103" i="6"/>
  <c r="B52" i="4" s="1"/>
  <c r="B52" i="9"/>
  <c r="K167" i="6"/>
  <c r="B116" i="4" s="1"/>
  <c r="B116" i="9"/>
  <c r="K106" i="6"/>
  <c r="B55" i="4" s="1"/>
  <c r="B55" i="9"/>
  <c r="K202" i="6"/>
  <c r="B151" i="4" s="1"/>
  <c r="B151" i="9"/>
  <c r="K159" i="6"/>
  <c r="B108" i="4" s="1"/>
  <c r="B108" i="9"/>
  <c r="K59" i="6"/>
  <c r="B8" i="4" s="1"/>
  <c r="B8" i="9"/>
  <c r="K169" i="6"/>
  <c r="B118" i="4" s="1"/>
  <c r="B118" i="9"/>
  <c r="K154" i="6"/>
  <c r="B103" i="4" s="1"/>
  <c r="B103" i="9"/>
  <c r="K131" i="6"/>
  <c r="B80" i="4" s="1"/>
  <c r="B80" i="9"/>
  <c r="K58" i="6"/>
  <c r="B7" i="4" s="1"/>
  <c r="B7" i="9"/>
  <c r="K92" i="6"/>
  <c r="B41" i="4" s="1"/>
  <c r="B41" i="9"/>
  <c r="K188" i="6"/>
  <c r="B137" i="4" s="1"/>
  <c r="B137" i="9"/>
  <c r="K129" i="6"/>
  <c r="B78" i="4" s="1"/>
  <c r="B78" i="9"/>
  <c r="K178" i="6"/>
  <c r="B127" i="4" s="1"/>
  <c r="B127" i="9"/>
  <c r="K123" i="6"/>
  <c r="B72" i="4" s="1"/>
  <c r="B72" i="9"/>
  <c r="K173" i="6"/>
  <c r="B122" i="4" s="1"/>
  <c r="B122" i="9"/>
  <c r="K74" i="6"/>
  <c r="B23" i="4" s="1"/>
  <c r="B23" i="9"/>
  <c r="K170" i="6"/>
  <c r="B119" i="4" s="1"/>
  <c r="B119" i="9"/>
  <c r="K115" i="6"/>
  <c r="B64" i="4" s="1"/>
  <c r="B64" i="9"/>
  <c r="K190" i="6"/>
  <c r="B139" i="4" s="1"/>
  <c r="B139" i="9"/>
  <c r="K60" i="6"/>
  <c r="B9" i="4" s="1"/>
  <c r="B9" i="9"/>
  <c r="K137" i="6"/>
  <c r="B86" i="4" s="1"/>
  <c r="B86" i="9"/>
  <c r="K156" i="6"/>
  <c r="B105" i="4" s="1"/>
  <c r="B105" i="9"/>
  <c r="K97" i="6"/>
  <c r="B46" i="4" s="1"/>
  <c r="B46" i="9"/>
  <c r="K146" i="6"/>
  <c r="B95" i="4" s="1"/>
  <c r="B95" i="9"/>
  <c r="K63" i="6"/>
  <c r="B12" i="4" s="1"/>
  <c r="B12" i="9"/>
  <c r="K112" i="6"/>
  <c r="B61" i="4" s="1"/>
  <c r="B61" i="9"/>
  <c r="K206" i="6"/>
  <c r="B155" i="4" s="1"/>
  <c r="K200" i="6"/>
  <c r="B149" i="4" s="1"/>
  <c r="B149" i="9"/>
  <c r="K90" i="6"/>
  <c r="B39" i="4" s="1"/>
  <c r="B39" i="9"/>
  <c r="K122" i="6"/>
  <c r="B71" i="4" s="1"/>
  <c r="B71" i="9"/>
  <c r="K64" i="6"/>
  <c r="B13" i="4" s="1"/>
  <c r="B13" i="9"/>
  <c r="K165" i="6"/>
  <c r="B114" i="4" s="1"/>
  <c r="B114" i="9"/>
  <c r="K183" i="6"/>
  <c r="B132" i="4" s="1"/>
  <c r="B132" i="9"/>
  <c r="K62" i="6"/>
  <c r="B11" i="4" s="1"/>
  <c r="B11" i="9"/>
  <c r="K118" i="6"/>
  <c r="B67" i="4" s="1"/>
  <c r="B67" i="9"/>
  <c r="K101" i="6"/>
  <c r="B50" i="4" s="1"/>
  <c r="B50" i="9"/>
  <c r="K73" i="6"/>
  <c r="B22" i="4" s="1"/>
  <c r="B22" i="9"/>
  <c r="K193" i="6"/>
  <c r="B142" i="4" s="1"/>
  <c r="K99" i="6"/>
  <c r="B48" i="4" s="1"/>
  <c r="K164" i="6"/>
  <c r="B113" i="4" s="1"/>
  <c r="K141" i="6"/>
  <c r="B90" i="4" s="1"/>
  <c r="K77" i="6"/>
  <c r="B26" i="4" s="1"/>
  <c r="K153" i="6"/>
  <c r="B102" i="4" s="1"/>
  <c r="K150" i="6"/>
  <c r="B99" i="4" s="1"/>
  <c r="K75" i="6"/>
  <c r="B24" i="4" s="1"/>
  <c r="K180" i="6"/>
  <c r="B129" i="4" s="1"/>
  <c r="K157" i="6"/>
  <c r="B106" i="4" s="1"/>
  <c r="K61" i="6"/>
  <c r="B10" i="4" s="1"/>
  <c r="K108" i="6"/>
  <c r="B57" i="4" s="1"/>
  <c r="K197" i="6"/>
  <c r="B146" i="4" s="1"/>
  <c r="K104" i="6"/>
  <c r="B53" i="4" s="1"/>
  <c r="K176" i="6"/>
  <c r="B125" i="4" s="1"/>
  <c r="K72" i="6"/>
  <c r="B21" i="4" s="1"/>
  <c r="K89" i="6"/>
  <c r="B38" i="4" s="1"/>
  <c r="K138" i="6"/>
  <c r="B87" i="4" s="1"/>
  <c r="K187" i="6"/>
  <c r="B136" i="4" s="1"/>
  <c r="K94" i="6"/>
  <c r="B43" i="4" s="1"/>
  <c r="K128" i="6"/>
  <c r="B77" i="4" s="1"/>
  <c r="K65" i="6"/>
  <c r="B14" i="4" s="1"/>
  <c r="K185" i="6"/>
  <c r="B134" i="4" s="1"/>
  <c r="K133" i="6"/>
  <c r="B82" i="4" s="1"/>
  <c r="D102" i="6"/>
  <c r="K117" i="6"/>
  <c r="B66" i="4" s="1"/>
  <c r="K88" i="6"/>
  <c r="B37" i="4" s="1"/>
  <c r="K145" i="6"/>
  <c r="B94" i="4" s="1"/>
  <c r="K130" i="6"/>
  <c r="B79" i="4" s="1"/>
  <c r="K194" i="6"/>
  <c r="B143" i="4" s="1"/>
  <c r="K124" i="6"/>
  <c r="B73" i="4" s="1"/>
  <c r="K142" i="6"/>
  <c r="B91" i="4" s="1"/>
  <c r="K71" i="6"/>
  <c r="B20" i="4" s="1"/>
  <c r="K192" i="6"/>
  <c r="B141" i="4" s="1"/>
  <c r="K93" i="6"/>
  <c r="B42" i="4" s="1"/>
  <c r="K182" i="6"/>
  <c r="B131" i="4" s="1"/>
  <c r="K152" i="6"/>
  <c r="B101" i="4" s="1"/>
  <c r="K107" i="6"/>
  <c r="B56" i="4" s="1"/>
  <c r="K172" i="6"/>
  <c r="B121" i="4" s="1"/>
  <c r="K149" i="6"/>
  <c r="B98" i="4" s="1"/>
  <c r="K96" i="6"/>
  <c r="B45" i="4" s="1"/>
  <c r="K121" i="6"/>
  <c r="B70" i="4" s="1"/>
  <c r="K100" i="6"/>
  <c r="B49" i="4" s="1"/>
  <c r="K80" i="6"/>
  <c r="B29" i="4" s="1"/>
  <c r="K189" i="6"/>
  <c r="B138" i="4" s="1"/>
  <c r="K68" i="6"/>
  <c r="B17" i="4" s="1"/>
  <c r="K161" i="6"/>
  <c r="B110" i="4" s="1"/>
  <c r="K67" i="6"/>
  <c r="B16" i="4" s="1"/>
  <c r="K203" i="6"/>
  <c r="B152" i="4" s="1"/>
  <c r="K110" i="6"/>
  <c r="B59" i="4" s="1"/>
  <c r="K81" i="6"/>
  <c r="B30" i="4" s="1"/>
  <c r="K86" i="6"/>
  <c r="B35" i="4" s="1"/>
  <c r="K127" i="6"/>
  <c r="B76" i="4" s="1"/>
  <c r="K177" i="6"/>
  <c r="B126" i="4" s="1"/>
  <c r="K148" i="6"/>
  <c r="B97" i="4" s="1"/>
  <c r="K126" i="6"/>
  <c r="B75" i="4" s="1"/>
  <c r="K168" i="6"/>
  <c r="B117" i="4" s="1"/>
  <c r="K82" i="6"/>
  <c r="B31" i="4" s="1"/>
  <c r="K139" i="6"/>
  <c r="B88" i="4" s="1"/>
  <c r="K109" i="6"/>
  <c r="B58" i="4" s="1"/>
  <c r="K69" i="6"/>
  <c r="B18" i="4" s="1"/>
  <c r="K158" i="6"/>
  <c r="B107" i="4" s="1"/>
  <c r="K87" i="6"/>
  <c r="B36" i="4" s="1"/>
  <c r="K144" i="6"/>
  <c r="B93" i="4" s="1"/>
  <c r="K135" i="6"/>
  <c r="B84" i="4" s="1"/>
  <c r="K186" i="6"/>
  <c r="B135" i="4" s="1"/>
  <c r="K116" i="6"/>
  <c r="B65" i="4" s="1"/>
  <c r="K120" i="6"/>
  <c r="B69" i="4" s="1"/>
  <c r="K205" i="6"/>
  <c r="B154" i="4" s="1"/>
  <c r="K184" i="6"/>
  <c r="B133" i="4" s="1"/>
  <c r="K98" i="6"/>
  <c r="B47" i="4" s="1"/>
  <c r="K155" i="6"/>
  <c r="B104" i="4" s="1"/>
  <c r="K125" i="6"/>
  <c r="B74" i="4" s="1"/>
  <c r="K57" i="6"/>
  <c r="B6" i="4" s="1"/>
  <c r="C130" i="9"/>
  <c r="C61" i="9"/>
  <c r="C147" i="9"/>
  <c r="C140" i="9"/>
  <c r="C102" i="9"/>
  <c r="C84" i="9"/>
  <c r="C105" i="9"/>
  <c r="C137" i="9"/>
  <c r="C154" i="9"/>
  <c r="D91" i="6" l="1"/>
  <c r="D179" i="6"/>
  <c r="D134" i="6"/>
  <c r="D66" i="6"/>
  <c r="D111" i="6"/>
  <c r="D151" i="6"/>
  <c r="D83" i="6"/>
  <c r="D76" i="6"/>
  <c r="D200" i="6"/>
  <c r="D131" i="6"/>
  <c r="D70" i="6"/>
  <c r="D204" i="6"/>
  <c r="D95" i="6"/>
  <c r="D171" i="6"/>
  <c r="D136" i="6"/>
  <c r="D175" i="6"/>
  <c r="D154" i="6"/>
  <c r="D202" i="6"/>
  <c r="D140" i="6"/>
  <c r="D188" i="6"/>
  <c r="D156" i="6"/>
  <c r="D85" i="6"/>
  <c r="D165" i="6"/>
  <c r="D78" i="6"/>
  <c r="D162" i="6"/>
  <c r="D174" i="6"/>
  <c r="D129" i="6"/>
  <c r="D101" i="6"/>
  <c r="D143" i="6"/>
  <c r="D173" i="6"/>
  <c r="D119" i="6"/>
  <c r="D206" i="6"/>
  <c r="D73" i="6"/>
  <c r="D159" i="6"/>
  <c r="D132" i="6"/>
  <c r="D103" i="6"/>
  <c r="D191" i="6"/>
  <c r="D166" i="6"/>
  <c r="D62" i="6"/>
  <c r="D146" i="6"/>
  <c r="D84" i="6"/>
  <c r="D113" i="6"/>
  <c r="D79" i="6"/>
  <c r="D198" i="6"/>
  <c r="D63" i="6"/>
  <c r="D199" i="6"/>
  <c r="D58" i="6"/>
  <c r="D64" i="6"/>
  <c r="D167" i="6"/>
  <c r="D105" i="6"/>
  <c r="D122" i="6"/>
  <c r="D115" i="6"/>
  <c r="D59" i="6"/>
  <c r="D178" i="6"/>
  <c r="D183" i="6"/>
  <c r="D74" i="6"/>
  <c r="D112" i="6"/>
  <c r="D123" i="6"/>
  <c r="D181" i="6"/>
  <c r="D60" i="6"/>
  <c r="T197" i="6"/>
  <c r="C146" i="4" s="1"/>
  <c r="C146" i="9"/>
  <c r="T144" i="6"/>
  <c r="C93" i="4" s="1"/>
  <c r="C93" i="9"/>
  <c r="T79" i="6"/>
  <c r="C28" i="4" s="1"/>
  <c r="C28" i="9"/>
  <c r="T139" i="6"/>
  <c r="C88" i="4" s="1"/>
  <c r="C88" i="9"/>
  <c r="T63" i="6"/>
  <c r="C12" i="4" s="1"/>
  <c r="C12" i="9"/>
  <c r="T150" i="6"/>
  <c r="C99" i="4" s="1"/>
  <c r="C99" i="9"/>
  <c r="T57" i="6"/>
  <c r="C6" i="4" s="1"/>
  <c r="C6" i="9"/>
  <c r="T109" i="6"/>
  <c r="C58" i="4" s="1"/>
  <c r="C58" i="9"/>
  <c r="T133" i="6"/>
  <c r="C82" i="4" s="1"/>
  <c r="C82" i="9"/>
  <c r="T157" i="6"/>
  <c r="C106" i="4" s="1"/>
  <c r="C106" i="9"/>
  <c r="T86" i="6"/>
  <c r="C35" i="4" s="1"/>
  <c r="C35" i="9"/>
  <c r="T171" i="6"/>
  <c r="C120" i="4" s="1"/>
  <c r="C120" i="9"/>
  <c r="T129" i="6"/>
  <c r="C78" i="4" s="1"/>
  <c r="C78" i="9"/>
  <c r="T99" i="6"/>
  <c r="C48" i="4" s="1"/>
  <c r="C48" i="9"/>
  <c r="T110" i="6"/>
  <c r="C59" i="4" s="1"/>
  <c r="C59" i="9"/>
  <c r="T84" i="6"/>
  <c r="C33" i="4" s="1"/>
  <c r="C33" i="9"/>
  <c r="T142" i="6"/>
  <c r="C91" i="4" s="1"/>
  <c r="C91" i="9"/>
  <c r="T180" i="6"/>
  <c r="C129" i="4" s="1"/>
  <c r="C129" i="9"/>
  <c r="T158" i="6"/>
  <c r="C107" i="4" s="1"/>
  <c r="C107" i="9"/>
  <c r="T162" i="6"/>
  <c r="C111" i="4" s="1"/>
  <c r="C111" i="9"/>
  <c r="T204" i="6"/>
  <c r="C153" i="4" s="1"/>
  <c r="C153" i="9"/>
  <c r="T132" i="6"/>
  <c r="C81" i="4" s="1"/>
  <c r="C81" i="9"/>
  <c r="T149" i="6"/>
  <c r="C98" i="4" s="1"/>
  <c r="C98" i="9"/>
  <c r="T68" i="6"/>
  <c r="C17" i="4" s="1"/>
  <c r="C17" i="9"/>
  <c r="T146" i="6"/>
  <c r="C95" i="4" s="1"/>
  <c r="C95" i="9"/>
  <c r="T196" i="6"/>
  <c r="C145" i="4" s="1"/>
  <c r="C145" i="9"/>
  <c r="T201" i="6"/>
  <c r="C150" i="4" s="1"/>
  <c r="C150" i="9"/>
  <c r="T107" i="6"/>
  <c r="C56" i="4" s="1"/>
  <c r="C56" i="9"/>
  <c r="D169" i="6"/>
  <c r="D97" i="6"/>
  <c r="D201" i="6"/>
  <c r="D195" i="6"/>
  <c r="D118" i="6"/>
  <c r="D90" i="6"/>
  <c r="D92" i="6"/>
  <c r="T203" i="6"/>
  <c r="T98" i="6"/>
  <c r="C47" i="4" s="1"/>
  <c r="C47" i="9"/>
  <c r="T119" i="6"/>
  <c r="C68" i="4" s="1"/>
  <c r="C68" i="9"/>
  <c r="T122" i="6"/>
  <c r="C71" i="4" s="1"/>
  <c r="C71" i="9"/>
  <c r="T164" i="6"/>
  <c r="C113" i="4" s="1"/>
  <c r="C113" i="9"/>
  <c r="T106" i="6"/>
  <c r="C55" i="4" s="1"/>
  <c r="C55" i="9"/>
  <c r="T190" i="6"/>
  <c r="C139" i="4" s="1"/>
  <c r="C139" i="9"/>
  <c r="T65" i="6"/>
  <c r="C14" i="4" s="1"/>
  <c r="C14" i="9"/>
  <c r="T117" i="6"/>
  <c r="C66" i="4" s="1"/>
  <c r="C66" i="9"/>
  <c r="T78" i="6"/>
  <c r="C27" i="4" s="1"/>
  <c r="C27" i="9"/>
  <c r="T148" i="6"/>
  <c r="C97" i="4" s="1"/>
  <c r="C97" i="9"/>
  <c r="T178" i="6"/>
  <c r="C127" i="4" s="1"/>
  <c r="C127" i="9"/>
  <c r="T182" i="6"/>
  <c r="C131" i="4" s="1"/>
  <c r="C131" i="9"/>
  <c r="D137" i="6"/>
  <c r="T151" i="6"/>
  <c r="C100" i="4" s="1"/>
  <c r="C100" i="9"/>
  <c r="T88" i="6"/>
  <c r="C37" i="4" s="1"/>
  <c r="C37" i="9"/>
  <c r="T143" i="6"/>
  <c r="C92" i="4" s="1"/>
  <c r="C92" i="9"/>
  <c r="T125" i="6"/>
  <c r="C74" i="4" s="1"/>
  <c r="C74" i="9"/>
  <c r="T166" i="6"/>
  <c r="C115" i="4" s="1"/>
  <c r="C115" i="9"/>
  <c r="T108" i="6"/>
  <c r="C57" i="4" s="1"/>
  <c r="C57" i="9"/>
  <c r="T167" i="6"/>
  <c r="C116" i="4" s="1"/>
  <c r="C116" i="9"/>
  <c r="T185" i="6"/>
  <c r="C134" i="4" s="1"/>
  <c r="C134" i="9"/>
  <c r="T183" i="6"/>
  <c r="C132" i="4" s="1"/>
  <c r="C132" i="9"/>
  <c r="T206" i="6"/>
  <c r="C155" i="4" s="1"/>
  <c r="C155" i="9"/>
  <c r="T169" i="6"/>
  <c r="C118" i="4" s="1"/>
  <c r="C118" i="9"/>
  <c r="T186" i="6"/>
  <c r="C135" i="4" s="1"/>
  <c r="C135" i="9"/>
  <c r="T92" i="6"/>
  <c r="C41" i="4" s="1"/>
  <c r="C41" i="9"/>
  <c r="T123" i="6"/>
  <c r="C72" i="9"/>
  <c r="T176" i="6"/>
  <c r="C125" i="4" s="1"/>
  <c r="C125" i="9"/>
  <c r="T174" i="6"/>
  <c r="C123" i="4" s="1"/>
  <c r="C123" i="9"/>
  <c r="T100" i="6"/>
  <c r="C49" i="4" s="1"/>
  <c r="C49" i="9"/>
  <c r="T175" i="6"/>
  <c r="C124" i="4" s="1"/>
  <c r="C124" i="9"/>
  <c r="T64" i="6"/>
  <c r="C13" i="4" s="1"/>
  <c r="C13" i="9"/>
  <c r="T126" i="6"/>
  <c r="C75" i="4" s="1"/>
  <c r="C75" i="9"/>
  <c r="T187" i="6"/>
  <c r="C136" i="4" s="1"/>
  <c r="C136" i="9"/>
  <c r="T80" i="6"/>
  <c r="C29" i="4" s="1"/>
  <c r="C29" i="9"/>
  <c r="T154" i="6"/>
  <c r="C103" i="4" s="1"/>
  <c r="C103" i="9"/>
  <c r="D196" i="6"/>
  <c r="D106" i="6"/>
  <c r="D163" i="6"/>
  <c r="D147" i="6"/>
  <c r="D114" i="6"/>
  <c r="D160" i="6"/>
  <c r="D190" i="6"/>
  <c r="T163" i="6"/>
  <c r="C112" i="4" s="1"/>
  <c r="C112" i="9"/>
  <c r="T61" i="6"/>
  <c r="C10" i="4" s="1"/>
  <c r="C10" i="9"/>
  <c r="T71" i="6"/>
  <c r="C20" i="4" s="1"/>
  <c r="C20" i="9"/>
  <c r="T184" i="6"/>
  <c r="C133" i="9"/>
  <c r="T73" i="6"/>
  <c r="C22" i="4" s="1"/>
  <c r="C22" i="9"/>
  <c r="D170" i="6"/>
  <c r="T60" i="6"/>
  <c r="C9" i="4" s="1"/>
  <c r="C9" i="9"/>
  <c r="T137" i="6"/>
  <c r="C86" i="4" s="1"/>
  <c r="C86" i="9"/>
  <c r="T200" i="6"/>
  <c r="C149" i="4" s="1"/>
  <c r="C149" i="9"/>
  <c r="T81" i="6"/>
  <c r="C30" i="4" s="1"/>
  <c r="C30" i="9"/>
  <c r="T192" i="6"/>
  <c r="C141" i="4" s="1"/>
  <c r="C141" i="9"/>
  <c r="T96" i="6"/>
  <c r="C45" i="4" s="1"/>
  <c r="C45" i="9"/>
  <c r="D57" i="6"/>
  <c r="D82" i="6"/>
  <c r="D107" i="6"/>
  <c r="D125" i="6"/>
  <c r="D135" i="6"/>
  <c r="D168" i="6"/>
  <c r="D203" i="6"/>
  <c r="D189" i="6"/>
  <c r="D152" i="6"/>
  <c r="D194" i="6"/>
  <c r="D128" i="6"/>
  <c r="D108" i="6"/>
  <c r="D150" i="6"/>
  <c r="D155" i="6"/>
  <c r="D144" i="6"/>
  <c r="D126" i="6"/>
  <c r="D67" i="6"/>
  <c r="D80" i="6"/>
  <c r="D130" i="6"/>
  <c r="D94" i="6"/>
  <c r="D61" i="6"/>
  <c r="D153" i="6"/>
  <c r="D148" i="6"/>
  <c r="D100" i="6"/>
  <c r="D182" i="6"/>
  <c r="D145" i="6"/>
  <c r="D187" i="6"/>
  <c r="D157" i="6"/>
  <c r="D77" i="6"/>
  <c r="D98" i="6"/>
  <c r="D161" i="6"/>
  <c r="D158" i="6"/>
  <c r="D138" i="6"/>
  <c r="D180" i="6"/>
  <c r="D141" i="6"/>
  <c r="D87" i="6"/>
  <c r="D184" i="6"/>
  <c r="D177" i="6"/>
  <c r="D121" i="6"/>
  <c r="D93" i="6"/>
  <c r="D88" i="6"/>
  <c r="D205" i="6"/>
  <c r="D69" i="6"/>
  <c r="D127" i="6"/>
  <c r="D96" i="6"/>
  <c r="D192" i="6"/>
  <c r="D117" i="6"/>
  <c r="D89" i="6"/>
  <c r="D164" i="6"/>
  <c r="D120" i="6"/>
  <c r="D109" i="6"/>
  <c r="D86" i="6"/>
  <c r="D149" i="6"/>
  <c r="D71" i="6"/>
  <c r="D133" i="6"/>
  <c r="D72" i="6"/>
  <c r="D176" i="6"/>
  <c r="D99" i="6"/>
  <c r="D116" i="6"/>
  <c r="D139" i="6"/>
  <c r="D81" i="6"/>
  <c r="D172" i="6"/>
  <c r="D142" i="6"/>
  <c r="D185" i="6"/>
  <c r="D104" i="6"/>
  <c r="D193" i="6"/>
  <c r="D186" i="6"/>
  <c r="D110" i="6"/>
  <c r="D68" i="6"/>
  <c r="D124" i="6"/>
  <c r="D65" i="6"/>
  <c r="D197" i="6"/>
  <c r="D75" i="6"/>
  <c r="T159" i="6"/>
  <c r="T104" i="6"/>
  <c r="T145" i="6"/>
  <c r="T173" i="6"/>
  <c r="T82" i="6"/>
  <c r="T112" i="6"/>
  <c r="T161" i="6"/>
  <c r="T155" i="6"/>
  <c r="T156" i="6"/>
  <c r="T153" i="6"/>
  <c r="T87" i="6"/>
  <c r="T134" i="6"/>
  <c r="T74" i="6"/>
  <c r="T131" i="6"/>
  <c r="T136" i="6"/>
  <c r="T103" i="6"/>
  <c r="T114" i="6"/>
  <c r="T165" i="6"/>
  <c r="T94" i="6"/>
  <c r="T66" i="6"/>
  <c r="T90" i="6"/>
  <c r="T72" i="6"/>
  <c r="T93" i="6"/>
  <c r="T111" i="6"/>
  <c r="T168" i="6"/>
  <c r="M158" i="6"/>
  <c r="T124" i="6"/>
  <c r="T97" i="6"/>
  <c r="T195" i="6"/>
  <c r="T170" i="6"/>
  <c r="T95" i="6"/>
  <c r="T113" i="6"/>
  <c r="T85" i="6"/>
  <c r="T177" i="6"/>
  <c r="T70" i="6"/>
  <c r="T67" i="6"/>
  <c r="T127" i="6"/>
  <c r="T189" i="6"/>
  <c r="T62" i="6"/>
  <c r="T77" i="6"/>
  <c r="T76" i="6"/>
  <c r="T199" i="6"/>
  <c r="T147" i="6"/>
  <c r="T118" i="6"/>
  <c r="T152" i="6"/>
  <c r="T179" i="6"/>
  <c r="T116" i="6"/>
  <c r="T194" i="6"/>
  <c r="T83" i="6"/>
  <c r="T160" i="6"/>
  <c r="T135" i="6"/>
  <c r="T205" i="6"/>
  <c r="T128" i="6"/>
  <c r="T115" i="6"/>
  <c r="T202" i="6"/>
  <c r="T58" i="6"/>
  <c r="T101" i="6"/>
  <c r="T120" i="6"/>
  <c r="T102" i="6"/>
  <c r="T191" i="6"/>
  <c r="T121" i="6"/>
  <c r="T105" i="6"/>
  <c r="T193" i="6"/>
  <c r="T69" i="6"/>
  <c r="T188" i="6"/>
  <c r="T138" i="6"/>
  <c r="T198" i="6"/>
  <c r="T91" i="6"/>
  <c r="T141" i="6"/>
  <c r="T75" i="6"/>
  <c r="T172" i="6"/>
  <c r="T130" i="6"/>
  <c r="T140" i="6"/>
  <c r="T181" i="6"/>
  <c r="T89" i="6"/>
  <c r="T59" i="6"/>
  <c r="X56" i="6"/>
  <c r="D5" i="5" s="1"/>
  <c r="W41" i="6"/>
  <c r="D6" i="12" s="1"/>
  <c r="D7" i="12" s="1"/>
  <c r="AE41" i="6"/>
  <c r="AN41" i="6"/>
  <c r="M57" i="6" l="1"/>
  <c r="M171" i="6"/>
  <c r="M149" i="6"/>
  <c r="M125" i="6"/>
  <c r="M178" i="6"/>
  <c r="M190" i="6"/>
  <c r="M185" i="6"/>
  <c r="M162" i="6"/>
  <c r="M63" i="6"/>
  <c r="M183" i="6"/>
  <c r="M86" i="6"/>
  <c r="M126" i="6"/>
  <c r="M196" i="6"/>
  <c r="M68" i="6"/>
  <c r="M180" i="6"/>
  <c r="M119" i="6"/>
  <c r="M107" i="6"/>
  <c r="M84" i="6"/>
  <c r="M157" i="6"/>
  <c r="M144" i="6"/>
  <c r="M186" i="6"/>
  <c r="M117" i="6"/>
  <c r="M132" i="6"/>
  <c r="M108" i="6"/>
  <c r="M139" i="6"/>
  <c r="M110" i="6"/>
  <c r="M151" i="6"/>
  <c r="M79" i="6"/>
  <c r="M92" i="6"/>
  <c r="M166" i="6"/>
  <c r="M150" i="6"/>
  <c r="M109" i="6"/>
  <c r="M175" i="6"/>
  <c r="M99" i="6"/>
  <c r="M164" i="6"/>
  <c r="M182" i="6"/>
  <c r="M206" i="6"/>
  <c r="M174" i="6"/>
  <c r="M96" i="6"/>
  <c r="M80" i="6"/>
  <c r="M88" i="6"/>
  <c r="M201" i="6"/>
  <c r="M65" i="6"/>
  <c r="M122" i="6"/>
  <c r="M98" i="6"/>
  <c r="M148" i="6"/>
  <c r="M106" i="6"/>
  <c r="M133" i="6"/>
  <c r="M197" i="6"/>
  <c r="M142" i="6"/>
  <c r="M169" i="6"/>
  <c r="M146" i="6"/>
  <c r="M64" i="6"/>
  <c r="M204" i="6"/>
  <c r="M129" i="6"/>
  <c r="M143" i="6"/>
  <c r="M81" i="6"/>
  <c r="M137" i="6"/>
  <c r="M167" i="6"/>
  <c r="M78" i="6"/>
  <c r="M192" i="6"/>
  <c r="M187" i="6"/>
  <c r="AP56" i="6"/>
  <c r="F6" i="12"/>
  <c r="F7" i="12" s="1"/>
  <c r="M71" i="6"/>
  <c r="M61" i="6"/>
  <c r="M163" i="6"/>
  <c r="M176" i="6"/>
  <c r="M60" i="6"/>
  <c r="M100" i="6"/>
  <c r="M138" i="6"/>
  <c r="C87" i="4"/>
  <c r="M83" i="6"/>
  <c r="C32" i="4"/>
  <c r="M170" i="6"/>
  <c r="C119" i="4"/>
  <c r="M131" i="6"/>
  <c r="C80" i="4"/>
  <c r="M194" i="6"/>
  <c r="C143" i="4"/>
  <c r="M127" i="6"/>
  <c r="C76" i="4"/>
  <c r="M59" i="6"/>
  <c r="C8" i="4"/>
  <c r="M91" i="6"/>
  <c r="C40" i="4"/>
  <c r="M202" i="6"/>
  <c r="C151" i="4"/>
  <c r="M97" i="6"/>
  <c r="C46" i="4"/>
  <c r="M111" i="6"/>
  <c r="C60" i="4"/>
  <c r="M134" i="6"/>
  <c r="C83" i="4"/>
  <c r="M173" i="6"/>
  <c r="C122" i="4"/>
  <c r="M89" i="6"/>
  <c r="C38" i="4"/>
  <c r="M198" i="6"/>
  <c r="C147" i="4"/>
  <c r="M102" i="6"/>
  <c r="C51" i="4"/>
  <c r="M115" i="6"/>
  <c r="C64" i="4"/>
  <c r="M179" i="6"/>
  <c r="C128" i="4"/>
  <c r="M70" i="6"/>
  <c r="C19" i="4"/>
  <c r="M124" i="6"/>
  <c r="C73" i="4"/>
  <c r="M93" i="6"/>
  <c r="C42" i="4"/>
  <c r="M87" i="6"/>
  <c r="C36" i="4"/>
  <c r="M200" i="6"/>
  <c r="M154" i="6"/>
  <c r="C152" i="4"/>
  <c r="M203" i="6"/>
  <c r="M120" i="6"/>
  <c r="C69" i="4"/>
  <c r="M152" i="6"/>
  <c r="C101" i="4"/>
  <c r="M72" i="6"/>
  <c r="C21" i="4"/>
  <c r="M188" i="6"/>
  <c r="C137" i="4"/>
  <c r="M205" i="6"/>
  <c r="C154" i="4"/>
  <c r="M76" i="6"/>
  <c r="C25" i="4"/>
  <c r="M85" i="6"/>
  <c r="C34" i="4"/>
  <c r="M90" i="6"/>
  <c r="C39" i="4"/>
  <c r="M156" i="6"/>
  <c r="C105" i="4"/>
  <c r="M153" i="6"/>
  <c r="C102" i="4"/>
  <c r="M140" i="6"/>
  <c r="C89" i="4"/>
  <c r="M118" i="6"/>
  <c r="C67" i="4"/>
  <c r="M130" i="6"/>
  <c r="C79" i="4"/>
  <c r="M147" i="6"/>
  <c r="C96" i="4"/>
  <c r="M113" i="6"/>
  <c r="C62" i="4"/>
  <c r="M184" i="6"/>
  <c r="C133" i="4"/>
  <c r="M181" i="6"/>
  <c r="C130" i="4"/>
  <c r="M128" i="6"/>
  <c r="C77" i="4"/>
  <c r="M177" i="6"/>
  <c r="C126" i="4"/>
  <c r="M69" i="6"/>
  <c r="C18" i="4"/>
  <c r="M135" i="6"/>
  <c r="C84" i="4"/>
  <c r="M77" i="6"/>
  <c r="C26" i="4"/>
  <c r="M66" i="6"/>
  <c r="C15" i="4"/>
  <c r="M103" i="6"/>
  <c r="C52" i="4"/>
  <c r="M155" i="6"/>
  <c r="C104" i="4"/>
  <c r="M172" i="6"/>
  <c r="C121" i="4"/>
  <c r="M193" i="6"/>
  <c r="C142" i="4"/>
  <c r="M160" i="6"/>
  <c r="C109" i="4"/>
  <c r="M199" i="6"/>
  <c r="C148" i="4"/>
  <c r="M62" i="6"/>
  <c r="C11" i="4"/>
  <c r="M95" i="6"/>
  <c r="C44" i="4"/>
  <c r="M94" i="6"/>
  <c r="C43" i="4"/>
  <c r="M136" i="6"/>
  <c r="C85" i="4"/>
  <c r="M161" i="6"/>
  <c r="C110" i="4"/>
  <c r="M123" i="6"/>
  <c r="C72" i="4"/>
  <c r="M105" i="6"/>
  <c r="C54" i="4"/>
  <c r="M165" i="6"/>
  <c r="C114" i="4"/>
  <c r="M112" i="6"/>
  <c r="C61" i="4"/>
  <c r="M75" i="6"/>
  <c r="C24" i="4"/>
  <c r="M145" i="6"/>
  <c r="C94" i="4"/>
  <c r="M141" i="6"/>
  <c r="C90" i="4"/>
  <c r="M168" i="6"/>
  <c r="C117" i="4"/>
  <c r="M114" i="6"/>
  <c r="C63" i="4"/>
  <c r="M74" i="6"/>
  <c r="C23" i="4"/>
  <c r="M82" i="6"/>
  <c r="C31" i="4"/>
  <c r="M104" i="6"/>
  <c r="C53" i="4"/>
  <c r="M101" i="6"/>
  <c r="C50" i="4"/>
  <c r="M189" i="6"/>
  <c r="C138" i="4"/>
  <c r="M121" i="6"/>
  <c r="C70" i="4"/>
  <c r="M58" i="6"/>
  <c r="C7" i="4"/>
  <c r="M195" i="6"/>
  <c r="C144" i="4"/>
  <c r="M191" i="6"/>
  <c r="C140" i="4"/>
  <c r="M116" i="6"/>
  <c r="C65" i="4"/>
  <c r="M67" i="6"/>
  <c r="C16" i="4"/>
  <c r="M73" i="6"/>
  <c r="M159" i="6"/>
  <c r="C108" i="4"/>
  <c r="AO41" i="6"/>
  <c r="X173" i="6"/>
  <c r="D122" i="5" s="1"/>
  <c r="X206" i="6"/>
  <c r="D155" i="5" s="1"/>
  <c r="X85" i="6"/>
  <c r="D34" i="5" s="1"/>
  <c r="X74" i="6"/>
  <c r="D23" i="5" s="1"/>
  <c r="X108" i="6"/>
  <c r="D57" i="5" s="1"/>
  <c r="X128" i="6"/>
  <c r="D77" i="5" s="1"/>
  <c r="X116" i="6"/>
  <c r="D65" i="5" s="1"/>
  <c r="X110" i="6"/>
  <c r="D59" i="5" s="1"/>
  <c r="X188" i="6"/>
  <c r="D137" i="5" s="1"/>
  <c r="X88" i="6"/>
  <c r="D37" i="5" s="1"/>
  <c r="X162" i="6"/>
  <c r="D111" i="5" s="1"/>
  <c r="X158" i="6"/>
  <c r="D107" i="5" s="1"/>
  <c r="X159" i="6"/>
  <c r="D108" i="5" s="1"/>
  <c r="X194" i="6"/>
  <c r="D143" i="5" s="1"/>
  <c r="X178" i="6"/>
  <c r="D127" i="5" s="1"/>
  <c r="X148" i="6"/>
  <c r="D97" i="5" s="1"/>
  <c r="X155" i="6"/>
  <c r="D104" i="5" s="1"/>
  <c r="X179" i="6"/>
  <c r="D128" i="5" s="1"/>
  <c r="X153" i="6"/>
  <c r="D102" i="5" s="1"/>
  <c r="X184" i="6"/>
  <c r="D133" i="5" s="1"/>
  <c r="X193" i="6"/>
  <c r="D142" i="5" s="1"/>
  <c r="X185" i="6"/>
  <c r="D134" i="5" s="1"/>
  <c r="X127" i="6"/>
  <c r="D76" i="5" s="1"/>
  <c r="Y56" i="6"/>
  <c r="X198" i="6"/>
  <c r="D147" i="5" s="1"/>
  <c r="X182" i="6"/>
  <c r="D131" i="5" s="1"/>
  <c r="X96" i="6"/>
  <c r="D45" i="5" s="1"/>
  <c r="X167" i="6"/>
  <c r="D116" i="5" s="1"/>
  <c r="X58" i="6"/>
  <c r="D7" i="5" s="1"/>
  <c r="X102" i="6"/>
  <c r="D51" i="5" s="1"/>
  <c r="X165" i="6"/>
  <c r="D114" i="5" s="1"/>
  <c r="X118" i="6"/>
  <c r="D67" i="5" s="1"/>
  <c r="X60" i="6"/>
  <c r="D9" i="5" s="1"/>
  <c r="X177" i="6"/>
  <c r="D126" i="5" s="1"/>
  <c r="X143" i="6"/>
  <c r="D92" i="5" s="1"/>
  <c r="X69" i="6"/>
  <c r="D18" i="5" s="1"/>
  <c r="X144" i="6"/>
  <c r="D93" i="5" s="1"/>
  <c r="X59" i="6"/>
  <c r="D8" i="5" s="1"/>
  <c r="X174" i="6"/>
  <c r="D123" i="5" s="1"/>
  <c r="X84" i="6"/>
  <c r="D33" i="5" s="1"/>
  <c r="X161" i="6"/>
  <c r="D110" i="5" s="1"/>
  <c r="X154" i="6"/>
  <c r="D103" i="5" s="1"/>
  <c r="X130" i="6"/>
  <c r="D79" i="5" s="1"/>
  <c r="X164" i="6"/>
  <c r="D113" i="5" s="1"/>
  <c r="X169" i="6"/>
  <c r="D118" i="5" s="1"/>
  <c r="X83" i="6"/>
  <c r="D32" i="5" s="1"/>
  <c r="X175" i="6"/>
  <c r="D124" i="5" s="1"/>
  <c r="X152" i="6"/>
  <c r="D101" i="5" s="1"/>
  <c r="X89" i="6"/>
  <c r="D38" i="5" s="1"/>
  <c r="X160" i="6"/>
  <c r="D109" i="5" s="1"/>
  <c r="X181" i="6"/>
  <c r="D130" i="5" s="1"/>
  <c r="X137" i="6"/>
  <c r="D86" i="5" s="1"/>
  <c r="X67" i="6"/>
  <c r="D16" i="5" s="1"/>
  <c r="X131" i="6"/>
  <c r="D80" i="5" s="1"/>
  <c r="X186" i="6"/>
  <c r="D135" i="5" s="1"/>
  <c r="X75" i="6"/>
  <c r="D24" i="5" s="1"/>
  <c r="X187" i="6"/>
  <c r="D136" i="5" s="1"/>
  <c r="X138" i="6"/>
  <c r="D87" i="5" s="1"/>
  <c r="X62" i="6"/>
  <c r="D11" i="5" s="1"/>
  <c r="X134" i="6"/>
  <c r="D83" i="5" s="1"/>
  <c r="X78" i="6"/>
  <c r="D27" i="5" s="1"/>
  <c r="X105" i="6"/>
  <c r="D54" i="5" s="1"/>
  <c r="X107" i="6"/>
  <c r="D56" i="5" s="1"/>
  <c r="X119" i="6"/>
  <c r="D68" i="5" s="1"/>
  <c r="X150" i="6"/>
  <c r="D99" i="5" s="1"/>
  <c r="X147" i="6"/>
  <c r="D96" i="5" s="1"/>
  <c r="X132" i="6"/>
  <c r="D81" i="5" s="1"/>
  <c r="X93" i="6"/>
  <c r="D42" i="5" s="1"/>
  <c r="X180" i="6"/>
  <c r="D129" i="5" s="1"/>
  <c r="X103" i="6"/>
  <c r="D52" i="5" s="1"/>
  <c r="X168" i="6"/>
  <c r="D117" i="5" s="1"/>
  <c r="X142" i="6"/>
  <c r="D91" i="5" s="1"/>
  <c r="X97" i="6"/>
  <c r="D46" i="5" s="1"/>
  <c r="X76" i="6"/>
  <c r="D25" i="5" s="1"/>
  <c r="X170" i="6"/>
  <c r="D119" i="5" s="1"/>
  <c r="X91" i="6"/>
  <c r="D40" i="5" s="1"/>
  <c r="X101" i="6"/>
  <c r="D50" i="5" s="1"/>
  <c r="X183" i="6"/>
  <c r="D132" i="5" s="1"/>
  <c r="X86" i="6"/>
  <c r="D35" i="5" s="1"/>
  <c r="X125" i="6"/>
  <c r="D74" i="5" s="1"/>
  <c r="X189" i="6"/>
  <c r="D138" i="5" s="1"/>
  <c r="X90" i="6"/>
  <c r="D39" i="5" s="1"/>
  <c r="X146" i="6"/>
  <c r="D95" i="5" s="1"/>
  <c r="X63" i="6"/>
  <c r="D12" i="5" s="1"/>
  <c r="X112" i="6"/>
  <c r="D61" i="5" s="1"/>
  <c r="X61" i="6"/>
  <c r="D10" i="5" s="1"/>
  <c r="X141" i="6"/>
  <c r="D90" i="5" s="1"/>
  <c r="X82" i="6"/>
  <c r="D31" i="5" s="1"/>
  <c r="X145" i="6"/>
  <c r="D94" i="5" s="1"/>
  <c r="X115" i="6"/>
  <c r="D64" i="5" s="1"/>
  <c r="X122" i="6"/>
  <c r="D71" i="5" s="1"/>
  <c r="X202" i="6"/>
  <c r="D151" i="5" s="1"/>
  <c r="X197" i="6"/>
  <c r="D146" i="5" s="1"/>
  <c r="X136" i="6"/>
  <c r="D85" i="5" s="1"/>
  <c r="X99" i="6"/>
  <c r="D48" i="5" s="1"/>
  <c r="X72" i="6"/>
  <c r="D21" i="5" s="1"/>
  <c r="X77" i="6"/>
  <c r="D26" i="5" s="1"/>
  <c r="X171" i="6"/>
  <c r="D120" i="5" s="1"/>
  <c r="X201" i="6"/>
  <c r="D150" i="5" s="1"/>
  <c r="X140" i="6"/>
  <c r="D89" i="5" s="1"/>
  <c r="X113" i="6"/>
  <c r="D62" i="5" s="1"/>
  <c r="X64" i="6"/>
  <c r="D13" i="5" s="1"/>
  <c r="X195" i="6"/>
  <c r="D144" i="5" s="1"/>
  <c r="X121" i="6"/>
  <c r="D70" i="5" s="1"/>
  <c r="X81" i="6"/>
  <c r="D30" i="5" s="1"/>
  <c r="X135" i="6"/>
  <c r="D84" i="5" s="1"/>
  <c r="X157" i="6"/>
  <c r="D106" i="5" s="1"/>
  <c r="X80" i="6"/>
  <c r="D29" i="5" s="1"/>
  <c r="X68" i="6"/>
  <c r="D17" i="5" s="1"/>
  <c r="X199" i="6"/>
  <c r="D148" i="5" s="1"/>
  <c r="X126" i="6"/>
  <c r="D75" i="5" s="1"/>
  <c r="X73" i="6"/>
  <c r="D22" i="5" s="1"/>
  <c r="X66" i="6"/>
  <c r="D15" i="5" s="1"/>
  <c r="X117" i="6"/>
  <c r="D66" i="5" s="1"/>
  <c r="X106" i="6"/>
  <c r="D55" i="5" s="1"/>
  <c r="X204" i="6"/>
  <c r="D153" i="5" s="1"/>
  <c r="X114" i="6"/>
  <c r="D63" i="5" s="1"/>
  <c r="X92" i="6"/>
  <c r="D41" i="5" s="1"/>
  <c r="X71" i="6"/>
  <c r="D20" i="5" s="1"/>
  <c r="X139" i="6"/>
  <c r="D88" i="5" s="1"/>
  <c r="X176" i="6"/>
  <c r="D125" i="5" s="1"/>
  <c r="X70" i="6"/>
  <c r="D19" i="5" s="1"/>
  <c r="X94" i="6"/>
  <c r="D43" i="5" s="1"/>
  <c r="X79" i="6"/>
  <c r="D28" i="5" s="1"/>
  <c r="X203" i="6"/>
  <c r="D152" i="5" s="1"/>
  <c r="X87" i="6"/>
  <c r="D36" i="5" s="1"/>
  <c r="X98" i="6"/>
  <c r="D47" i="5" s="1"/>
  <c r="X65" i="6"/>
  <c r="D14" i="5" s="1"/>
  <c r="X163" i="6"/>
  <c r="D112" i="5" s="1"/>
  <c r="X191" i="6"/>
  <c r="D140" i="5" s="1"/>
  <c r="X100" i="6"/>
  <c r="D49" i="5" s="1"/>
  <c r="X151" i="6"/>
  <c r="D100" i="5" s="1"/>
  <c r="X95" i="6"/>
  <c r="D44" i="5" s="1"/>
  <c r="X192" i="6"/>
  <c r="D141" i="5" s="1"/>
  <c r="X196" i="6"/>
  <c r="D145" i="5" s="1"/>
  <c r="X123" i="6"/>
  <c r="D72" i="5" s="1"/>
  <c r="X190" i="6"/>
  <c r="D139" i="5" s="1"/>
  <c r="X120" i="6"/>
  <c r="D69" i="5" s="1"/>
  <c r="X124" i="6"/>
  <c r="D73" i="5" s="1"/>
  <c r="X172" i="6"/>
  <c r="D121" i="5" s="1"/>
  <c r="X156" i="6"/>
  <c r="D105" i="5" s="1"/>
  <c r="X166" i="6"/>
  <c r="D115" i="5" s="1"/>
  <c r="X205" i="6"/>
  <c r="D154" i="5" s="1"/>
  <c r="X149" i="6"/>
  <c r="D98" i="5" s="1"/>
  <c r="X109" i="6"/>
  <c r="D58" i="5" s="1"/>
  <c r="X111" i="6"/>
  <c r="D60" i="5" s="1"/>
  <c r="X129" i="6"/>
  <c r="D78" i="5" s="1"/>
  <c r="X104" i="6"/>
  <c r="D53" i="5" s="1"/>
  <c r="X200" i="6"/>
  <c r="D149" i="5" s="1"/>
  <c r="X57" i="6"/>
  <c r="D6" i="5" s="1"/>
  <c r="X133" i="6"/>
  <c r="D82" i="5" s="1"/>
  <c r="AG56" i="6"/>
  <c r="E5" i="5" s="1"/>
  <c r="AF41" i="6"/>
  <c r="E6" i="12" s="1"/>
  <c r="E7" i="12" s="1"/>
  <c r="AP69" i="6" l="1"/>
  <c r="F18" i="5" s="1"/>
  <c r="AP143" i="6"/>
  <c r="F5" i="5"/>
  <c r="AZ56" i="6"/>
  <c r="Y102" i="6"/>
  <c r="D51" i="9" s="1"/>
  <c r="D5" i="9"/>
  <c r="AP73" i="6"/>
  <c r="AP139" i="6"/>
  <c r="AP187" i="6"/>
  <c r="AP116" i="6"/>
  <c r="AP163" i="6"/>
  <c r="AP198" i="6"/>
  <c r="AP135" i="6"/>
  <c r="AP131" i="6"/>
  <c r="AP130" i="6"/>
  <c r="AP166" i="6"/>
  <c r="AP71" i="6"/>
  <c r="AP114" i="6"/>
  <c r="Y82" i="6"/>
  <c r="AP95" i="6"/>
  <c r="AP107" i="6"/>
  <c r="AP97" i="6"/>
  <c r="AP100" i="6"/>
  <c r="AP84" i="6"/>
  <c r="AP205" i="6"/>
  <c r="AP196" i="6"/>
  <c r="AP87" i="6"/>
  <c r="AP121" i="6"/>
  <c r="AP94" i="6"/>
  <c r="AP164" i="6"/>
  <c r="AP106" i="6"/>
  <c r="AP91" i="6"/>
  <c r="AP132" i="6"/>
  <c r="AP113" i="6"/>
  <c r="AP82" i="6"/>
  <c r="AP152" i="6"/>
  <c r="AP172" i="6"/>
  <c r="AP81" i="6"/>
  <c r="AP128" i="6"/>
  <c r="AP125" i="6"/>
  <c r="AP165" i="6"/>
  <c r="AP59" i="6"/>
  <c r="AP194" i="6"/>
  <c r="AP93" i="6"/>
  <c r="AP85" i="6"/>
  <c r="AP110" i="6"/>
  <c r="AP58" i="6"/>
  <c r="AP117" i="6"/>
  <c r="AP149" i="6"/>
  <c r="AP88" i="6"/>
  <c r="AP193" i="6"/>
  <c r="AP202" i="6"/>
  <c r="Y135" i="6"/>
  <c r="AP133" i="6"/>
  <c r="AP186" i="6"/>
  <c r="AP126" i="6"/>
  <c r="AP183" i="6"/>
  <c r="AP162" i="6"/>
  <c r="AP174" i="6"/>
  <c r="AQ56" i="6"/>
  <c r="AP75" i="6"/>
  <c r="AP72" i="6"/>
  <c r="AP63" i="6"/>
  <c r="AP206" i="6"/>
  <c r="AP148" i="6"/>
  <c r="AP141" i="6"/>
  <c r="AP168" i="6"/>
  <c r="AP76" i="6"/>
  <c r="AP70" i="6"/>
  <c r="AP175" i="6"/>
  <c r="AP86" i="6"/>
  <c r="AP158" i="6"/>
  <c r="AP184" i="6"/>
  <c r="AP98" i="6"/>
  <c r="AP64" i="6"/>
  <c r="AP195" i="6"/>
  <c r="AP201" i="6"/>
  <c r="AP118" i="6"/>
  <c r="Y140" i="6"/>
  <c r="Y100" i="6"/>
  <c r="D49" i="9" s="1"/>
  <c r="AP92" i="6"/>
  <c r="AP145" i="6"/>
  <c r="AP160" i="6"/>
  <c r="AP68" i="6"/>
  <c r="AP161" i="6"/>
  <c r="AP169" i="6"/>
  <c r="AP129" i="6"/>
  <c r="AP173" i="6"/>
  <c r="AP155" i="6"/>
  <c r="AP61" i="6"/>
  <c r="AP176" i="6"/>
  <c r="AP136" i="6"/>
  <c r="AP104" i="6"/>
  <c r="AP90" i="6"/>
  <c r="AP127" i="6"/>
  <c r="AP67" i="6"/>
  <c r="AP156" i="6"/>
  <c r="AP199" i="6"/>
  <c r="AP79" i="6"/>
  <c r="AP144" i="6"/>
  <c r="AP102" i="6"/>
  <c r="AP112" i="6"/>
  <c r="AP62" i="6"/>
  <c r="AP197" i="6"/>
  <c r="AP115" i="6"/>
  <c r="AP146" i="6"/>
  <c r="AP57" i="6"/>
  <c r="Y92" i="6"/>
  <c r="D41" i="9" s="1"/>
  <c r="AP171" i="6"/>
  <c r="AP178" i="6"/>
  <c r="AP150" i="6"/>
  <c r="AP180" i="6"/>
  <c r="AP203" i="6"/>
  <c r="AP80" i="6"/>
  <c r="AP191" i="6"/>
  <c r="AP60" i="6"/>
  <c r="AP188" i="6"/>
  <c r="AP185" i="6"/>
  <c r="AP138" i="6"/>
  <c r="AP77" i="6"/>
  <c r="AP204" i="6"/>
  <c r="AP123" i="6"/>
  <c r="AP105" i="6"/>
  <c r="AP153" i="6"/>
  <c r="AP159" i="6"/>
  <c r="AP122" i="6"/>
  <c r="AP89" i="6"/>
  <c r="AP189" i="6"/>
  <c r="AP182" i="6"/>
  <c r="AP200" i="6"/>
  <c r="AP179" i="6"/>
  <c r="AP120" i="6"/>
  <c r="AP167" i="6"/>
  <c r="AP142" i="6"/>
  <c r="AP78" i="6"/>
  <c r="AP108" i="6"/>
  <c r="AP111" i="6"/>
  <c r="AP192" i="6"/>
  <c r="AP119" i="6"/>
  <c r="AP190" i="6"/>
  <c r="Y74" i="6"/>
  <c r="Y66" i="6"/>
  <c r="D15" i="9" s="1"/>
  <c r="Y179" i="6"/>
  <c r="D128" i="9" s="1"/>
  <c r="Y57" i="6"/>
  <c r="Y144" i="6"/>
  <c r="D93" i="9" s="1"/>
  <c r="Y166" i="6"/>
  <c r="Y61" i="6"/>
  <c r="Y124" i="6"/>
  <c r="Y123" i="6"/>
  <c r="Y188" i="6"/>
  <c r="D137" i="9" s="1"/>
  <c r="Y150" i="6"/>
  <c r="Y81" i="6"/>
  <c r="AP96" i="6"/>
  <c r="AP103" i="6"/>
  <c r="AP66" i="6"/>
  <c r="AP134" i="6"/>
  <c r="AP154" i="6"/>
  <c r="AP151" i="6"/>
  <c r="AP177" i="6"/>
  <c r="AP99" i="6"/>
  <c r="AP74" i="6"/>
  <c r="AP101" i="6"/>
  <c r="AP181" i="6"/>
  <c r="AP124" i="6"/>
  <c r="AP65" i="6"/>
  <c r="AP137" i="6"/>
  <c r="AP140" i="6"/>
  <c r="AP157" i="6"/>
  <c r="AP109" i="6"/>
  <c r="AP83" i="6"/>
  <c r="AP170" i="6"/>
  <c r="AP147" i="6"/>
  <c r="Y137" i="6"/>
  <c r="Y70" i="6"/>
  <c r="Y172" i="6"/>
  <c r="D121" i="9" s="1"/>
  <c r="Y202" i="6"/>
  <c r="Y59" i="6"/>
  <c r="Y64" i="6"/>
  <c r="Y176" i="6"/>
  <c r="Y98" i="6"/>
  <c r="D47" i="9" s="1"/>
  <c r="Y204" i="6"/>
  <c r="Y203" i="6"/>
  <c r="Y128" i="6"/>
  <c r="D77" i="9" s="1"/>
  <c r="Y146" i="6"/>
  <c r="D95" i="9" s="1"/>
  <c r="Y136" i="6"/>
  <c r="D85" i="9" s="1"/>
  <c r="Y149" i="6"/>
  <c r="Y73" i="6"/>
  <c r="Y76" i="6"/>
  <c r="Y103" i="6"/>
  <c r="Y113" i="6"/>
  <c r="Y168" i="6"/>
  <c r="D117" i="9" s="1"/>
  <c r="Y141" i="6"/>
  <c r="Y111" i="6"/>
  <c r="D60" i="9" s="1"/>
  <c r="Y97" i="6"/>
  <c r="Y72" i="6"/>
  <c r="Y105" i="6"/>
  <c r="Y122" i="6"/>
  <c r="D71" i="9" s="1"/>
  <c r="Y157" i="6"/>
  <c r="Y129" i="6"/>
  <c r="Y62" i="6"/>
  <c r="Y121" i="6"/>
  <c r="Y205" i="6"/>
  <c r="D154" i="9" s="1"/>
  <c r="Y142" i="6"/>
  <c r="D91" i="9" s="1"/>
  <c r="Y154" i="6"/>
  <c r="Y132" i="6"/>
  <c r="Y89" i="6"/>
  <c r="Y159" i="6"/>
  <c r="D108" i="9" s="1"/>
  <c r="Y186" i="6"/>
  <c r="Y101" i="6"/>
  <c r="D50" i="9" s="1"/>
  <c r="Y180" i="6"/>
  <c r="D129" i="9" s="1"/>
  <c r="Y69" i="6"/>
  <c r="Y131" i="6"/>
  <c r="D80" i="9" s="1"/>
  <c r="Y171" i="6"/>
  <c r="D120" i="9" s="1"/>
  <c r="Y109" i="6"/>
  <c r="D58" i="9" s="1"/>
  <c r="Y115" i="6"/>
  <c r="D64" i="9" s="1"/>
  <c r="Y190" i="6"/>
  <c r="D139" i="9" s="1"/>
  <c r="Y148" i="6"/>
  <c r="D97" i="9" s="1"/>
  <c r="Y189" i="6"/>
  <c r="Y145" i="6"/>
  <c r="Y192" i="6"/>
  <c r="D141" i="9" s="1"/>
  <c r="Y195" i="6"/>
  <c r="Y78" i="6"/>
  <c r="D27" i="9" s="1"/>
  <c r="Y191" i="6"/>
  <c r="D140" i="9" s="1"/>
  <c r="AG176" i="6"/>
  <c r="E125" i="5" s="1"/>
  <c r="AH56" i="6"/>
  <c r="AG179" i="6"/>
  <c r="E128" i="5" s="1"/>
  <c r="AG94" i="6"/>
  <c r="E43" i="5" s="1"/>
  <c r="AG136" i="6"/>
  <c r="E85" i="5" s="1"/>
  <c r="AG114" i="6"/>
  <c r="E63" i="5" s="1"/>
  <c r="AG64" i="6"/>
  <c r="E13" i="5" s="1"/>
  <c r="AG156" i="6"/>
  <c r="E105" i="5" s="1"/>
  <c r="AG140" i="6"/>
  <c r="E89" i="5" s="1"/>
  <c r="AG127" i="6"/>
  <c r="E76" i="5" s="1"/>
  <c r="AG67" i="6"/>
  <c r="E16" i="5" s="1"/>
  <c r="AG161" i="6"/>
  <c r="E110" i="5" s="1"/>
  <c r="AG116" i="6"/>
  <c r="E65" i="5" s="1"/>
  <c r="AG71" i="6"/>
  <c r="E20" i="5" s="1"/>
  <c r="AG132" i="6"/>
  <c r="E81" i="5" s="1"/>
  <c r="AG142" i="6"/>
  <c r="E91" i="5" s="1"/>
  <c r="AG95" i="6"/>
  <c r="E44" i="5" s="1"/>
  <c r="AG75" i="6"/>
  <c r="E24" i="5" s="1"/>
  <c r="AG201" i="6"/>
  <c r="E150" i="5" s="1"/>
  <c r="AG200" i="6"/>
  <c r="E149" i="5" s="1"/>
  <c r="AG203" i="6"/>
  <c r="E152" i="5" s="1"/>
  <c r="AG118" i="6"/>
  <c r="E67" i="5" s="1"/>
  <c r="AG123" i="6"/>
  <c r="E72" i="5" s="1"/>
  <c r="AG139" i="6"/>
  <c r="E88" i="5" s="1"/>
  <c r="AG107" i="6"/>
  <c r="E56" i="5" s="1"/>
  <c r="AG86" i="6"/>
  <c r="E35" i="5" s="1"/>
  <c r="AG109" i="6"/>
  <c r="E58" i="5" s="1"/>
  <c r="AG177" i="6"/>
  <c r="E126" i="5" s="1"/>
  <c r="AG61" i="6"/>
  <c r="E10" i="5" s="1"/>
  <c r="AG91" i="6"/>
  <c r="E40" i="5" s="1"/>
  <c r="AG186" i="6"/>
  <c r="E135" i="5" s="1"/>
  <c r="AG173" i="6"/>
  <c r="E122" i="5" s="1"/>
  <c r="AG167" i="6"/>
  <c r="E116" i="5" s="1"/>
  <c r="AG165" i="6"/>
  <c r="E114" i="5" s="1"/>
  <c r="AG120" i="6"/>
  <c r="E69" i="5" s="1"/>
  <c r="AG154" i="6"/>
  <c r="E103" i="5" s="1"/>
  <c r="AG150" i="6"/>
  <c r="E99" i="5" s="1"/>
  <c r="AG93" i="6"/>
  <c r="E42" i="5" s="1"/>
  <c r="AG178" i="6"/>
  <c r="E127" i="5" s="1"/>
  <c r="AG157" i="6"/>
  <c r="E106" i="5" s="1"/>
  <c r="AG68" i="6"/>
  <c r="E17" i="5" s="1"/>
  <c r="AG121" i="6"/>
  <c r="E70" i="5" s="1"/>
  <c r="AG76" i="6"/>
  <c r="E25" i="5" s="1"/>
  <c r="AG191" i="6"/>
  <c r="E140" i="5" s="1"/>
  <c r="AG97" i="6"/>
  <c r="E46" i="5" s="1"/>
  <c r="AG73" i="6"/>
  <c r="E22" i="5" s="1"/>
  <c r="AG87" i="6"/>
  <c r="E36" i="5" s="1"/>
  <c r="AG180" i="6"/>
  <c r="E129" i="5" s="1"/>
  <c r="AG88" i="6"/>
  <c r="E37" i="5" s="1"/>
  <c r="AG98" i="6"/>
  <c r="E47" i="5" s="1"/>
  <c r="AG193" i="6"/>
  <c r="E142" i="5" s="1"/>
  <c r="AG134" i="6"/>
  <c r="E83" i="5" s="1"/>
  <c r="AG174" i="6"/>
  <c r="E123" i="5" s="1"/>
  <c r="AG198" i="6"/>
  <c r="E147" i="5" s="1"/>
  <c r="AG158" i="6"/>
  <c r="E107" i="5" s="1"/>
  <c r="AG104" i="6"/>
  <c r="E53" i="5" s="1"/>
  <c r="AG166" i="6"/>
  <c r="E115" i="5" s="1"/>
  <c r="AG147" i="6"/>
  <c r="E96" i="5" s="1"/>
  <c r="AG60" i="6"/>
  <c r="E9" i="5" s="1"/>
  <c r="AG110" i="6"/>
  <c r="E59" i="5" s="1"/>
  <c r="AG124" i="6"/>
  <c r="E73" i="5" s="1"/>
  <c r="AG103" i="6"/>
  <c r="E52" i="5" s="1"/>
  <c r="AG152" i="6"/>
  <c r="E101" i="5" s="1"/>
  <c r="AG106" i="6"/>
  <c r="E55" i="5" s="1"/>
  <c r="AG155" i="6"/>
  <c r="E104" i="5" s="1"/>
  <c r="AG192" i="6"/>
  <c r="E141" i="5" s="1"/>
  <c r="AG113" i="6"/>
  <c r="E62" i="5" s="1"/>
  <c r="AG164" i="6"/>
  <c r="E113" i="5" s="1"/>
  <c r="AG82" i="6"/>
  <c r="E31" i="5" s="1"/>
  <c r="AG168" i="6"/>
  <c r="E117" i="5" s="1"/>
  <c r="AG169" i="6"/>
  <c r="E118" i="5" s="1"/>
  <c r="AG188" i="6"/>
  <c r="E137" i="5" s="1"/>
  <c r="AG77" i="6"/>
  <c r="E26" i="5" s="1"/>
  <c r="AG115" i="6"/>
  <c r="E64" i="5" s="1"/>
  <c r="AG151" i="6"/>
  <c r="E100" i="5" s="1"/>
  <c r="AG196" i="6"/>
  <c r="E145" i="5" s="1"/>
  <c r="AG105" i="6"/>
  <c r="E54" i="5" s="1"/>
  <c r="AG63" i="6"/>
  <c r="E12" i="5" s="1"/>
  <c r="AG100" i="6"/>
  <c r="E49" i="5" s="1"/>
  <c r="AG171" i="6"/>
  <c r="E120" i="5" s="1"/>
  <c r="AG101" i="6"/>
  <c r="E50" i="5" s="1"/>
  <c r="AG143" i="6"/>
  <c r="E92" i="5" s="1"/>
  <c r="AG62" i="6"/>
  <c r="E11" i="5" s="1"/>
  <c r="AG145" i="6"/>
  <c r="E94" i="5" s="1"/>
  <c r="AG194" i="6"/>
  <c r="E143" i="5" s="1"/>
  <c r="AG59" i="6"/>
  <c r="E8" i="5" s="1"/>
  <c r="AG141" i="6"/>
  <c r="E90" i="5" s="1"/>
  <c r="AG80" i="6"/>
  <c r="E29" i="5" s="1"/>
  <c r="AG182" i="6"/>
  <c r="E131" i="5" s="1"/>
  <c r="AG89" i="6"/>
  <c r="E38" i="5" s="1"/>
  <c r="AG206" i="6"/>
  <c r="E155" i="5" s="1"/>
  <c r="AG205" i="6"/>
  <c r="E154" i="5" s="1"/>
  <c r="AG133" i="6"/>
  <c r="E82" i="5" s="1"/>
  <c r="AG65" i="6"/>
  <c r="E14" i="5" s="1"/>
  <c r="AG162" i="6"/>
  <c r="E111" i="5" s="1"/>
  <c r="AG190" i="6"/>
  <c r="E139" i="5" s="1"/>
  <c r="AG108" i="6"/>
  <c r="E57" i="5" s="1"/>
  <c r="AG58" i="6"/>
  <c r="E7" i="5" s="1"/>
  <c r="AG126" i="6"/>
  <c r="E75" i="5" s="1"/>
  <c r="AG163" i="6"/>
  <c r="E112" i="5" s="1"/>
  <c r="AG72" i="6"/>
  <c r="E21" i="5" s="1"/>
  <c r="AG99" i="6"/>
  <c r="E48" i="5" s="1"/>
  <c r="AG135" i="6"/>
  <c r="E84" i="5" s="1"/>
  <c r="AG184" i="6"/>
  <c r="E133" i="5" s="1"/>
  <c r="AG183" i="6"/>
  <c r="E132" i="5" s="1"/>
  <c r="AG81" i="6"/>
  <c r="E30" i="5" s="1"/>
  <c r="AG74" i="6"/>
  <c r="E23" i="5" s="1"/>
  <c r="AG138" i="6"/>
  <c r="E87" i="5" s="1"/>
  <c r="AG160" i="6"/>
  <c r="E109" i="5" s="1"/>
  <c r="AG195" i="6"/>
  <c r="E144" i="5" s="1"/>
  <c r="AG112" i="6"/>
  <c r="E61" i="5" s="1"/>
  <c r="AG57" i="6"/>
  <c r="E6" i="5" s="1"/>
  <c r="AG96" i="6"/>
  <c r="E45" i="5" s="1"/>
  <c r="AG83" i="6"/>
  <c r="E32" i="5" s="1"/>
  <c r="AG197" i="6"/>
  <c r="E146" i="5" s="1"/>
  <c r="AG90" i="6"/>
  <c r="E39" i="5" s="1"/>
  <c r="AG78" i="6"/>
  <c r="E27" i="5" s="1"/>
  <c r="AG119" i="6"/>
  <c r="E68" i="5" s="1"/>
  <c r="AG70" i="6"/>
  <c r="E19" i="5" s="1"/>
  <c r="AG130" i="6"/>
  <c r="E79" i="5" s="1"/>
  <c r="AG84" i="6"/>
  <c r="E33" i="5" s="1"/>
  <c r="AG79" i="6"/>
  <c r="E28" i="5" s="1"/>
  <c r="AG66" i="6"/>
  <c r="E15" i="5" s="1"/>
  <c r="AG199" i="6"/>
  <c r="E148" i="5" s="1"/>
  <c r="AG159" i="6"/>
  <c r="E108" i="5" s="1"/>
  <c r="AG170" i="6"/>
  <c r="E119" i="5" s="1"/>
  <c r="AG146" i="6"/>
  <c r="E95" i="5" s="1"/>
  <c r="AG144" i="6"/>
  <c r="E93" i="5" s="1"/>
  <c r="AG129" i="6"/>
  <c r="E78" i="5" s="1"/>
  <c r="AG102" i="6"/>
  <c r="E51" i="5" s="1"/>
  <c r="AG172" i="6"/>
  <c r="E121" i="5" s="1"/>
  <c r="AG189" i="6"/>
  <c r="E138" i="5" s="1"/>
  <c r="AG69" i="6"/>
  <c r="E18" i="5" s="1"/>
  <c r="AG85" i="6"/>
  <c r="E34" i="5" s="1"/>
  <c r="AG137" i="6"/>
  <c r="E86" i="5" s="1"/>
  <c r="AG149" i="6"/>
  <c r="E98" i="5" s="1"/>
  <c r="AG175" i="6"/>
  <c r="E124" i="5" s="1"/>
  <c r="AG122" i="6"/>
  <c r="E71" i="5" s="1"/>
  <c r="AG131" i="6"/>
  <c r="E80" i="5" s="1"/>
  <c r="AG202" i="6"/>
  <c r="E151" i="5" s="1"/>
  <c r="AG153" i="6"/>
  <c r="E102" i="5" s="1"/>
  <c r="AG181" i="6"/>
  <c r="E130" i="5" s="1"/>
  <c r="AG148" i="6"/>
  <c r="E97" i="5" s="1"/>
  <c r="AG111" i="6"/>
  <c r="E60" i="5" s="1"/>
  <c r="AG185" i="6"/>
  <c r="E134" i="5" s="1"/>
  <c r="AG187" i="6"/>
  <c r="E136" i="5" s="1"/>
  <c r="AG204" i="6"/>
  <c r="E153" i="5" s="1"/>
  <c r="AG128" i="6"/>
  <c r="E77" i="5" s="1"/>
  <c r="AG117" i="6"/>
  <c r="E66" i="5" s="1"/>
  <c r="AG92" i="6"/>
  <c r="E41" i="5" s="1"/>
  <c r="AG125" i="6"/>
  <c r="E74" i="5" s="1"/>
  <c r="Y91" i="6"/>
  <c r="D40" i="9" s="1"/>
  <c r="Y182" i="6"/>
  <c r="Y169" i="6"/>
  <c r="D118" i="9" s="1"/>
  <c r="Y185" i="6"/>
  <c r="Y95" i="6"/>
  <c r="Y134" i="6"/>
  <c r="Y119" i="6"/>
  <c r="D68" i="9" s="1"/>
  <c r="Y206" i="6"/>
  <c r="Y67" i="6"/>
  <c r="Y147" i="6"/>
  <c r="Y177" i="6"/>
  <c r="D126" i="9" s="1"/>
  <c r="Y58" i="6"/>
  <c r="D7" i="9" s="1"/>
  <c r="Y96" i="6"/>
  <c r="Y86" i="6"/>
  <c r="Y139" i="6"/>
  <c r="D88" i="9" s="1"/>
  <c r="Y194" i="6"/>
  <c r="D143" i="9" s="1"/>
  <c r="Y77" i="6"/>
  <c r="Y167" i="6"/>
  <c r="D116" i="9" s="1"/>
  <c r="Y151" i="6"/>
  <c r="Y174" i="6"/>
  <c r="Y63" i="6"/>
  <c r="D12" i="9" s="1"/>
  <c r="Y187" i="6"/>
  <c r="Y164" i="6"/>
  <c r="D113" i="9" s="1"/>
  <c r="Y184" i="6"/>
  <c r="Y117" i="6"/>
  <c r="D66" i="9" s="1"/>
  <c r="Y178" i="6"/>
  <c r="D127" i="9" s="1"/>
  <c r="Y156" i="6"/>
  <c r="Y120" i="6"/>
  <c r="Y161" i="6"/>
  <c r="Y162" i="6"/>
  <c r="Y165" i="6"/>
  <c r="Y114" i="6"/>
  <c r="Y198" i="6"/>
  <c r="D147" i="9" s="1"/>
  <c r="Y79" i="6"/>
  <c r="D28" i="9" s="1"/>
  <c r="Y110" i="6"/>
  <c r="Y170" i="6"/>
  <c r="Y85" i="6"/>
  <c r="Y152" i="6"/>
  <c r="D101" i="9" s="1"/>
  <c r="Y71" i="6"/>
  <c r="D20" i="9" s="1"/>
  <c r="Y138" i="6"/>
  <c r="Y94" i="6"/>
  <c r="Y106" i="6"/>
  <c r="D55" i="9" s="1"/>
  <c r="Y153" i="6"/>
  <c r="D102" i="9" s="1"/>
  <c r="Y87" i="6"/>
  <c r="D36" i="9" s="1"/>
  <c r="Y130" i="6"/>
  <c r="Y183" i="6"/>
  <c r="D132" i="9" s="1"/>
  <c r="Y173" i="6"/>
  <c r="D122" i="9" s="1"/>
  <c r="Y88" i="6"/>
  <c r="D37" i="9" s="1"/>
  <c r="Y143" i="6"/>
  <c r="Y181" i="6"/>
  <c r="Y99" i="6"/>
  <c r="Y197" i="6"/>
  <c r="Y163" i="6"/>
  <c r="D112" i="9" s="1"/>
  <c r="Y116" i="6"/>
  <c r="D65" i="9" s="1"/>
  <c r="Y107" i="6"/>
  <c r="D56" i="9" s="1"/>
  <c r="Y201" i="6"/>
  <c r="Y83" i="6"/>
  <c r="Y75" i="6"/>
  <c r="Y175" i="6"/>
  <c r="Y126" i="6"/>
  <c r="Y133" i="6"/>
  <c r="D82" i="9" s="1"/>
  <c r="Y196" i="6"/>
  <c r="D145" i="9" s="1"/>
  <c r="Y199" i="6"/>
  <c r="Y84" i="6"/>
  <c r="D33" i="9" s="1"/>
  <c r="Y158" i="6"/>
  <c r="D107" i="9" s="1"/>
  <c r="Y118" i="6"/>
  <c r="D67" i="9" s="1"/>
  <c r="Y68" i="6"/>
  <c r="Y90" i="6"/>
  <c r="D39" i="9" s="1"/>
  <c r="Y108" i="6"/>
  <c r="Y127" i="6"/>
  <c r="Y155" i="6"/>
  <c r="Y80" i="6"/>
  <c r="Y112" i="6"/>
  <c r="Y200" i="6"/>
  <c r="Y104" i="6"/>
  <c r="D53" i="9" s="1"/>
  <c r="Y93" i="6"/>
  <c r="D42" i="9" s="1"/>
  <c r="Y160" i="6"/>
  <c r="Y125" i="6"/>
  <c r="D74" i="9" s="1"/>
  <c r="Y193" i="6"/>
  <c r="Y60" i="6"/>
  <c r="D9" i="9" s="1"/>
  <c r="Y65" i="6"/>
  <c r="D14" i="9" s="1"/>
  <c r="BA56" i="6" l="1"/>
  <c r="AZ143" i="6"/>
  <c r="AZ69" i="6"/>
  <c r="F92" i="5"/>
  <c r="F86" i="5"/>
  <c r="AZ137" i="6"/>
  <c r="F100" i="5"/>
  <c r="AZ151" i="6"/>
  <c r="F91" i="5"/>
  <c r="AZ142" i="6"/>
  <c r="F71" i="5"/>
  <c r="AZ122" i="6"/>
  <c r="F134" i="5"/>
  <c r="AZ185" i="6"/>
  <c r="F127" i="5"/>
  <c r="AZ178" i="6"/>
  <c r="F61" i="5"/>
  <c r="AZ112" i="6"/>
  <c r="F39" i="5"/>
  <c r="AZ90" i="6"/>
  <c r="F118" i="5"/>
  <c r="AZ169" i="6"/>
  <c r="F67" i="5"/>
  <c r="AZ118" i="6"/>
  <c r="F124" i="5"/>
  <c r="AZ175" i="6"/>
  <c r="F21" i="5"/>
  <c r="AZ72" i="6"/>
  <c r="F82" i="5"/>
  <c r="AZ133" i="6"/>
  <c r="F59" i="5"/>
  <c r="AZ110" i="6"/>
  <c r="F30" i="5"/>
  <c r="AZ81" i="6"/>
  <c r="F113" i="5"/>
  <c r="AZ164" i="6"/>
  <c r="F46" i="5"/>
  <c r="AZ97" i="6"/>
  <c r="F80" i="5"/>
  <c r="AZ131" i="6"/>
  <c r="F14" i="5"/>
  <c r="AZ65" i="6"/>
  <c r="F103" i="5"/>
  <c r="AZ154" i="6"/>
  <c r="F116" i="5"/>
  <c r="AZ167" i="6"/>
  <c r="F108" i="5"/>
  <c r="AZ159" i="6"/>
  <c r="F137" i="5"/>
  <c r="AZ188" i="6"/>
  <c r="F120" i="5"/>
  <c r="AZ171" i="6"/>
  <c r="F51" i="5"/>
  <c r="AZ102" i="6"/>
  <c r="F53" i="5"/>
  <c r="AZ104" i="6"/>
  <c r="F110" i="5"/>
  <c r="AZ161" i="6"/>
  <c r="F150" i="5"/>
  <c r="AZ201" i="6"/>
  <c r="F19" i="5"/>
  <c r="AZ70" i="6"/>
  <c r="F24" i="5"/>
  <c r="AZ75" i="6"/>
  <c r="F34" i="5"/>
  <c r="AZ85" i="6"/>
  <c r="F121" i="5"/>
  <c r="AZ172" i="6"/>
  <c r="F43" i="5"/>
  <c r="AZ94" i="6"/>
  <c r="F56" i="5"/>
  <c r="AZ107" i="6"/>
  <c r="F84" i="5"/>
  <c r="AZ135" i="6"/>
  <c r="F96" i="5"/>
  <c r="AZ147" i="6"/>
  <c r="F73" i="5"/>
  <c r="AZ124" i="6"/>
  <c r="F83" i="5"/>
  <c r="AZ134" i="6"/>
  <c r="F139" i="5"/>
  <c r="AZ190" i="6"/>
  <c r="F69" i="5"/>
  <c r="AZ120" i="6"/>
  <c r="F102" i="5"/>
  <c r="AZ153" i="6"/>
  <c r="F9" i="5"/>
  <c r="AZ60" i="6"/>
  <c r="F93" i="5"/>
  <c r="AZ144" i="6"/>
  <c r="F85" i="5"/>
  <c r="AZ136" i="6"/>
  <c r="F17" i="5"/>
  <c r="AZ68" i="6"/>
  <c r="F144" i="5"/>
  <c r="AZ195" i="6"/>
  <c r="F25" i="5"/>
  <c r="AZ76" i="6"/>
  <c r="F151" i="5"/>
  <c r="AZ202" i="6"/>
  <c r="F42" i="5"/>
  <c r="AZ93" i="6"/>
  <c r="F101" i="5"/>
  <c r="AZ152" i="6"/>
  <c r="F70" i="5"/>
  <c r="AZ121" i="6"/>
  <c r="F44" i="5"/>
  <c r="AZ95" i="6"/>
  <c r="F147" i="5"/>
  <c r="AZ198" i="6"/>
  <c r="F119" i="5"/>
  <c r="AZ170" i="6"/>
  <c r="F130" i="5"/>
  <c r="AZ181" i="6"/>
  <c r="F15" i="5"/>
  <c r="AZ66" i="6"/>
  <c r="F68" i="5"/>
  <c r="AZ119" i="6"/>
  <c r="F128" i="5"/>
  <c r="AZ179" i="6"/>
  <c r="F54" i="5"/>
  <c r="AZ105" i="6"/>
  <c r="F140" i="5"/>
  <c r="AZ191" i="6"/>
  <c r="F6" i="5"/>
  <c r="AZ57" i="6"/>
  <c r="F28" i="5"/>
  <c r="AZ79" i="6"/>
  <c r="F125" i="5"/>
  <c r="AZ176" i="6"/>
  <c r="F109" i="5"/>
  <c r="AZ160" i="6"/>
  <c r="F13" i="5"/>
  <c r="AZ64" i="6"/>
  <c r="F117" i="5"/>
  <c r="AZ168" i="6"/>
  <c r="F123" i="5"/>
  <c r="AZ174" i="6"/>
  <c r="F142" i="5"/>
  <c r="AZ193" i="6"/>
  <c r="F143" i="5"/>
  <c r="AZ194" i="6"/>
  <c r="F31" i="5"/>
  <c r="AZ82" i="6"/>
  <c r="F36" i="5"/>
  <c r="AZ87" i="6"/>
  <c r="F112" i="5"/>
  <c r="AZ163" i="6"/>
  <c r="F32" i="5"/>
  <c r="AZ83" i="6"/>
  <c r="F50" i="5"/>
  <c r="AZ101" i="6"/>
  <c r="F52" i="5"/>
  <c r="AZ103" i="6"/>
  <c r="F141" i="5"/>
  <c r="AZ192" i="6"/>
  <c r="F149" i="5"/>
  <c r="AZ200" i="6"/>
  <c r="F72" i="5"/>
  <c r="AZ123" i="6"/>
  <c r="F29" i="5"/>
  <c r="AZ80" i="6"/>
  <c r="F95" i="5"/>
  <c r="AZ146" i="6"/>
  <c r="F148" i="5"/>
  <c r="AZ199" i="6"/>
  <c r="F10" i="5"/>
  <c r="AZ61" i="6"/>
  <c r="F94" i="5"/>
  <c r="AZ145" i="6"/>
  <c r="F47" i="5"/>
  <c r="AZ98" i="6"/>
  <c r="F90" i="5"/>
  <c r="AZ141" i="6"/>
  <c r="F111" i="5"/>
  <c r="AZ162" i="6"/>
  <c r="F37" i="5"/>
  <c r="AZ88" i="6"/>
  <c r="F8" i="5"/>
  <c r="AZ59" i="6"/>
  <c r="F62" i="5"/>
  <c r="AZ113" i="6"/>
  <c r="F145" i="5"/>
  <c r="AZ196" i="6"/>
  <c r="F63" i="5"/>
  <c r="AZ114" i="6"/>
  <c r="F65" i="5"/>
  <c r="AZ116" i="6"/>
  <c r="F58" i="5"/>
  <c r="AZ109" i="6"/>
  <c r="F23" i="5"/>
  <c r="AZ74" i="6"/>
  <c r="F45" i="5"/>
  <c r="AZ96" i="6"/>
  <c r="F60" i="5"/>
  <c r="AZ111" i="6"/>
  <c r="F131" i="5"/>
  <c r="AZ182" i="6"/>
  <c r="F153" i="5"/>
  <c r="AZ204" i="6"/>
  <c r="F152" i="5"/>
  <c r="AZ203" i="6"/>
  <c r="F64" i="5"/>
  <c r="AZ115" i="6"/>
  <c r="F105" i="5"/>
  <c r="AZ156" i="6"/>
  <c r="F104" i="5"/>
  <c r="AZ155" i="6"/>
  <c r="F41" i="5"/>
  <c r="AZ92" i="6"/>
  <c r="F133" i="5"/>
  <c r="AZ184" i="6"/>
  <c r="F97" i="5"/>
  <c r="AZ148" i="6"/>
  <c r="F132" i="5"/>
  <c r="AZ183" i="6"/>
  <c r="F98" i="5"/>
  <c r="AZ149" i="6"/>
  <c r="F114" i="5"/>
  <c r="AZ165" i="6"/>
  <c r="F81" i="5"/>
  <c r="AZ132" i="6"/>
  <c r="F154" i="5"/>
  <c r="AZ205" i="6"/>
  <c r="F20" i="5"/>
  <c r="AZ71" i="6"/>
  <c r="F136" i="5"/>
  <c r="AZ187" i="6"/>
  <c r="F106" i="5"/>
  <c r="AZ157" i="6"/>
  <c r="F48" i="5"/>
  <c r="AZ99" i="6"/>
  <c r="F57" i="5"/>
  <c r="AZ108" i="6"/>
  <c r="F138" i="5"/>
  <c r="AZ189" i="6"/>
  <c r="F26" i="5"/>
  <c r="AZ77" i="6"/>
  <c r="F129" i="5"/>
  <c r="AZ180" i="6"/>
  <c r="F146" i="5"/>
  <c r="AZ197" i="6"/>
  <c r="F16" i="5"/>
  <c r="AZ67" i="6"/>
  <c r="F122" i="5"/>
  <c r="AZ173" i="6"/>
  <c r="F107" i="5"/>
  <c r="AZ158" i="6"/>
  <c r="F155" i="5"/>
  <c r="AZ206" i="6"/>
  <c r="F75" i="5"/>
  <c r="AZ126" i="6"/>
  <c r="F66" i="5"/>
  <c r="AZ117" i="6"/>
  <c r="F74" i="5"/>
  <c r="AZ125" i="6"/>
  <c r="F40" i="5"/>
  <c r="AZ91" i="6"/>
  <c r="F33" i="5"/>
  <c r="AZ84" i="6"/>
  <c r="F115" i="5"/>
  <c r="AZ166" i="6"/>
  <c r="F88" i="5"/>
  <c r="AZ139" i="6"/>
  <c r="F89" i="5"/>
  <c r="AZ140" i="6"/>
  <c r="F126" i="5"/>
  <c r="AZ177" i="6"/>
  <c r="F27" i="5"/>
  <c r="AZ78" i="6"/>
  <c r="F38" i="5"/>
  <c r="AZ89" i="6"/>
  <c r="F87" i="5"/>
  <c r="AZ138" i="6"/>
  <c r="F99" i="5"/>
  <c r="AZ150" i="6"/>
  <c r="F11" i="5"/>
  <c r="AZ62" i="6"/>
  <c r="F76" i="5"/>
  <c r="AZ127" i="6"/>
  <c r="F78" i="5"/>
  <c r="AZ129" i="6"/>
  <c r="F35" i="5"/>
  <c r="AZ86" i="6"/>
  <c r="F12" i="5"/>
  <c r="AZ63" i="6"/>
  <c r="F135" i="5"/>
  <c r="AZ186" i="6"/>
  <c r="F7" i="5"/>
  <c r="AZ58" i="6"/>
  <c r="F77" i="5"/>
  <c r="AZ128" i="6"/>
  <c r="F55" i="5"/>
  <c r="AZ106" i="6"/>
  <c r="F49" i="5"/>
  <c r="AZ100" i="6"/>
  <c r="F79" i="5"/>
  <c r="AZ130" i="6"/>
  <c r="F22" i="5"/>
  <c r="AZ73" i="6"/>
  <c r="AC102" i="6"/>
  <c r="V102" i="6" s="1"/>
  <c r="AC138" i="6"/>
  <c r="D87" i="4" s="1"/>
  <c r="D87" i="9"/>
  <c r="AC160" i="6"/>
  <c r="D109" i="4" s="1"/>
  <c r="D109" i="9"/>
  <c r="AC108" i="6"/>
  <c r="D57" i="4" s="1"/>
  <c r="D57" i="9"/>
  <c r="AC130" i="6"/>
  <c r="D79" i="4" s="1"/>
  <c r="D79" i="9"/>
  <c r="AC85" i="6"/>
  <c r="D34" i="4" s="1"/>
  <c r="D34" i="9"/>
  <c r="AC161" i="6"/>
  <c r="D110" i="4" s="1"/>
  <c r="D110" i="9"/>
  <c r="AC96" i="6"/>
  <c r="D45" i="4" s="1"/>
  <c r="D45" i="9"/>
  <c r="AC95" i="6"/>
  <c r="D44" i="4" s="1"/>
  <c r="D44" i="9"/>
  <c r="AC145" i="6"/>
  <c r="D94" i="4" s="1"/>
  <c r="D94" i="9"/>
  <c r="AC69" i="6"/>
  <c r="D18" i="4" s="1"/>
  <c r="D18" i="9"/>
  <c r="AC72" i="6"/>
  <c r="D21" i="4" s="1"/>
  <c r="D21" i="9"/>
  <c r="AC73" i="6"/>
  <c r="D22" i="4" s="1"/>
  <c r="D22" i="9"/>
  <c r="AC176" i="6"/>
  <c r="D125" i="4" s="1"/>
  <c r="D125" i="9"/>
  <c r="AC61" i="6"/>
  <c r="D10" i="4" s="1"/>
  <c r="D10" i="9"/>
  <c r="AC82" i="6"/>
  <c r="D31" i="4" s="1"/>
  <c r="D31" i="9"/>
  <c r="AC185" i="6"/>
  <c r="D134" i="4" s="1"/>
  <c r="D134" i="9"/>
  <c r="AC189" i="6"/>
  <c r="D138" i="4" s="1"/>
  <c r="D138" i="9"/>
  <c r="AC97" i="6"/>
  <c r="D46" i="4" s="1"/>
  <c r="D46" i="9"/>
  <c r="AC149" i="6"/>
  <c r="D98" i="4" s="1"/>
  <c r="D98" i="9"/>
  <c r="AC64" i="6"/>
  <c r="D13" i="4" s="1"/>
  <c r="D13" i="9"/>
  <c r="AC166" i="6"/>
  <c r="D115" i="4" s="1"/>
  <c r="D115" i="9"/>
  <c r="AC197" i="6"/>
  <c r="D146" i="4" s="1"/>
  <c r="D146" i="9"/>
  <c r="AC170" i="6"/>
  <c r="D119" i="4" s="1"/>
  <c r="D119" i="9"/>
  <c r="AC120" i="6"/>
  <c r="D69" i="4" s="1"/>
  <c r="D69" i="9"/>
  <c r="AC174" i="6"/>
  <c r="D123" i="4" s="1"/>
  <c r="D123" i="9"/>
  <c r="AC68" i="6"/>
  <c r="D17" i="4" s="1"/>
  <c r="D17" i="9"/>
  <c r="AC110" i="6"/>
  <c r="D59" i="4" s="1"/>
  <c r="D59" i="9"/>
  <c r="AH99" i="6"/>
  <c r="E48" i="9" s="1"/>
  <c r="E5" i="9"/>
  <c r="AC121" i="6"/>
  <c r="D70" i="4" s="1"/>
  <c r="D70" i="9"/>
  <c r="AC59" i="6"/>
  <c r="D8" i="4" s="1"/>
  <c r="D8" i="9"/>
  <c r="AC75" i="6"/>
  <c r="D24" i="4" s="1"/>
  <c r="D24" i="9"/>
  <c r="AC181" i="6"/>
  <c r="D130" i="4" s="1"/>
  <c r="D130" i="9"/>
  <c r="AC147" i="6"/>
  <c r="D96" i="4" s="1"/>
  <c r="D96" i="9"/>
  <c r="AC182" i="6"/>
  <c r="D131" i="4" s="1"/>
  <c r="D131" i="9"/>
  <c r="AC186" i="6"/>
  <c r="D135" i="4" s="1"/>
  <c r="D135" i="9"/>
  <c r="AC62" i="6"/>
  <c r="D11" i="4" s="1"/>
  <c r="D11" i="9"/>
  <c r="AC141" i="6"/>
  <c r="D90" i="4" s="1"/>
  <c r="D90" i="9"/>
  <c r="AC202" i="6"/>
  <c r="D151" i="9"/>
  <c r="AC81" i="6"/>
  <c r="D30" i="9"/>
  <c r="AC57" i="6"/>
  <c r="D6" i="4" s="1"/>
  <c r="D6" i="9"/>
  <c r="AC175" i="6"/>
  <c r="D124" i="4" s="1"/>
  <c r="D124" i="9"/>
  <c r="AC99" i="6"/>
  <c r="D48" i="4" s="1"/>
  <c r="D48" i="9"/>
  <c r="AC156" i="6"/>
  <c r="D105" i="4" s="1"/>
  <c r="D105" i="9"/>
  <c r="AC151" i="6"/>
  <c r="D100" i="4" s="1"/>
  <c r="D100" i="9"/>
  <c r="AC200" i="6"/>
  <c r="D149" i="4" s="1"/>
  <c r="D149" i="9"/>
  <c r="AC112" i="6"/>
  <c r="D61" i="4" s="1"/>
  <c r="D61" i="9"/>
  <c r="AC83" i="6"/>
  <c r="D32" i="4" s="1"/>
  <c r="D32" i="9"/>
  <c r="AC143" i="6"/>
  <c r="D92" i="4" s="1"/>
  <c r="D92" i="9"/>
  <c r="AC94" i="6"/>
  <c r="D43" i="4" s="1"/>
  <c r="D43" i="9"/>
  <c r="AC77" i="6"/>
  <c r="D26" i="4" s="1"/>
  <c r="D26" i="9"/>
  <c r="AC67" i="6"/>
  <c r="D16" i="4" s="1"/>
  <c r="D16" i="9"/>
  <c r="AC129" i="6"/>
  <c r="D78" i="9"/>
  <c r="AC150" i="6"/>
  <c r="D99" i="4" s="1"/>
  <c r="D99" i="9"/>
  <c r="AC140" i="6"/>
  <c r="D89" i="4" s="1"/>
  <c r="D89" i="9"/>
  <c r="AC206" i="6"/>
  <c r="D155" i="4" s="1"/>
  <c r="D155" i="9"/>
  <c r="AC89" i="6"/>
  <c r="D38" i="4" s="1"/>
  <c r="D38" i="9"/>
  <c r="AC157" i="6"/>
  <c r="D106" i="4" s="1"/>
  <c r="D106" i="9"/>
  <c r="AC113" i="6"/>
  <c r="D62" i="4" s="1"/>
  <c r="D62" i="9"/>
  <c r="AC203" i="6"/>
  <c r="D152" i="4" s="1"/>
  <c r="D152" i="9"/>
  <c r="AC70" i="6"/>
  <c r="D19" i="4" s="1"/>
  <c r="D19" i="9"/>
  <c r="AC126" i="6"/>
  <c r="D75" i="4" s="1"/>
  <c r="D75" i="9"/>
  <c r="AC80" i="6"/>
  <c r="D29" i="4" s="1"/>
  <c r="D29" i="9"/>
  <c r="AC201" i="6"/>
  <c r="D150" i="4" s="1"/>
  <c r="D150" i="9"/>
  <c r="AC184" i="6"/>
  <c r="D133" i="4" s="1"/>
  <c r="D133" i="9"/>
  <c r="AC199" i="6"/>
  <c r="D148" i="4" s="1"/>
  <c r="D148" i="9"/>
  <c r="AC165" i="6"/>
  <c r="D114" i="4" s="1"/>
  <c r="D114" i="9"/>
  <c r="AC195" i="6"/>
  <c r="D144" i="4" s="1"/>
  <c r="D144" i="9"/>
  <c r="AC132" i="6"/>
  <c r="D81" i="4" s="1"/>
  <c r="D81" i="9"/>
  <c r="AC103" i="6"/>
  <c r="D52" i="4" s="1"/>
  <c r="D52" i="9"/>
  <c r="AC204" i="6"/>
  <c r="D153" i="4" s="1"/>
  <c r="D153" i="9"/>
  <c r="AC137" i="6"/>
  <c r="D86" i="4" s="1"/>
  <c r="D86" i="9"/>
  <c r="AC123" i="6"/>
  <c r="D72" i="4" s="1"/>
  <c r="D72" i="9"/>
  <c r="AC74" i="6"/>
  <c r="D23" i="4" s="1"/>
  <c r="D23" i="9"/>
  <c r="AC135" i="6"/>
  <c r="D84" i="4" s="1"/>
  <c r="D84" i="9"/>
  <c r="AC114" i="6"/>
  <c r="D63" i="4" s="1"/>
  <c r="D63" i="9"/>
  <c r="AC193" i="6"/>
  <c r="D142" i="4" s="1"/>
  <c r="D142" i="9"/>
  <c r="AC155" i="6"/>
  <c r="D104" i="4" s="1"/>
  <c r="D104" i="9"/>
  <c r="AC127" i="6"/>
  <c r="D76" i="4" s="1"/>
  <c r="D76" i="9"/>
  <c r="AC162" i="6"/>
  <c r="D111" i="4" s="1"/>
  <c r="D111" i="9"/>
  <c r="AC187" i="6"/>
  <c r="D136" i="4" s="1"/>
  <c r="D136" i="9"/>
  <c r="AC86" i="6"/>
  <c r="D35" i="4" s="1"/>
  <c r="D35" i="9"/>
  <c r="AC134" i="6"/>
  <c r="D83" i="4" s="1"/>
  <c r="D83" i="9"/>
  <c r="AC154" i="6"/>
  <c r="D103" i="4" s="1"/>
  <c r="D103" i="9"/>
  <c r="AC105" i="6"/>
  <c r="D54" i="4" s="1"/>
  <c r="D54" i="9"/>
  <c r="AC76" i="6"/>
  <c r="D25" i="4" s="1"/>
  <c r="D25" i="9"/>
  <c r="AC124" i="6"/>
  <c r="D73" i="4" s="1"/>
  <c r="D73" i="9"/>
  <c r="AQ190" i="6"/>
  <c r="F5" i="9"/>
  <c r="AQ64" i="6"/>
  <c r="AC111" i="6"/>
  <c r="AC117" i="6"/>
  <c r="AC173" i="6"/>
  <c r="AC106" i="6"/>
  <c r="AC167" i="6"/>
  <c r="AC180" i="6"/>
  <c r="AC88" i="6"/>
  <c r="AC191" i="6"/>
  <c r="AC148" i="6"/>
  <c r="AC179" i="6"/>
  <c r="AC100" i="6"/>
  <c r="AC164" i="6"/>
  <c r="AC79" i="6"/>
  <c r="AC183" i="6"/>
  <c r="AC118" i="6"/>
  <c r="AC172" i="6"/>
  <c r="AC71" i="6"/>
  <c r="AC84" i="6"/>
  <c r="AC139" i="6"/>
  <c r="AC136" i="6"/>
  <c r="AC66" i="6"/>
  <c r="AC190" i="6"/>
  <c r="AC109" i="6"/>
  <c r="AC177" i="6"/>
  <c r="AC153" i="6"/>
  <c r="AC146" i="6"/>
  <c r="AC93" i="6"/>
  <c r="AC104" i="6"/>
  <c r="AC131" i="6"/>
  <c r="AC144" i="6"/>
  <c r="AC87" i="6"/>
  <c r="AC192" i="6"/>
  <c r="AC107" i="6"/>
  <c r="AC98" i="6"/>
  <c r="AC152" i="6"/>
  <c r="AC65" i="6"/>
  <c r="AC163" i="6"/>
  <c r="AC90" i="6"/>
  <c r="AC122" i="6"/>
  <c r="AC91" i="6"/>
  <c r="AC159" i="6"/>
  <c r="AC78" i="6"/>
  <c r="AC128" i="6"/>
  <c r="AC116" i="6"/>
  <c r="AC168" i="6"/>
  <c r="AC196" i="6"/>
  <c r="AC119" i="6"/>
  <c r="AC171" i="6"/>
  <c r="AC158" i="6"/>
  <c r="AC63" i="6"/>
  <c r="AC58" i="6"/>
  <c r="AC92" i="6"/>
  <c r="AC101" i="6"/>
  <c r="AC169" i="6"/>
  <c r="AC194" i="6"/>
  <c r="AC178" i="6"/>
  <c r="AC205" i="6"/>
  <c r="AC142" i="6"/>
  <c r="AC188" i="6"/>
  <c r="AC115" i="6"/>
  <c r="AC60" i="6"/>
  <c r="AC133" i="6"/>
  <c r="AC125" i="6"/>
  <c r="AC198" i="6"/>
  <c r="AQ156" i="6"/>
  <c r="AN56" i="6"/>
  <c r="AQ127" i="6"/>
  <c r="AQ153" i="6"/>
  <c r="AQ148" i="6"/>
  <c r="AQ202" i="6"/>
  <c r="AQ204" i="6"/>
  <c r="AQ96" i="6"/>
  <c r="AQ149" i="6"/>
  <c r="AQ89" i="6"/>
  <c r="AQ155" i="6"/>
  <c r="AQ160" i="6"/>
  <c r="AQ58" i="6"/>
  <c r="AQ88" i="6"/>
  <c r="AQ134" i="6"/>
  <c r="AQ93" i="6"/>
  <c r="AQ102" i="6"/>
  <c r="AQ167" i="6"/>
  <c r="AQ57" i="6"/>
  <c r="AQ180" i="6"/>
  <c r="AQ63" i="6"/>
  <c r="AQ133" i="6"/>
  <c r="AQ203" i="6"/>
  <c r="AQ70" i="6"/>
  <c r="AQ106" i="6"/>
  <c r="AQ119" i="6"/>
  <c r="AQ177" i="6"/>
  <c r="AQ146" i="6"/>
  <c r="AQ91" i="6"/>
  <c r="AQ109" i="6"/>
  <c r="AQ143" i="6"/>
  <c r="AQ163" i="6"/>
  <c r="AQ123" i="6"/>
  <c r="AQ99" i="6"/>
  <c r="AQ188" i="6"/>
  <c r="AQ75" i="6"/>
  <c r="AQ176" i="6"/>
  <c r="AQ60" i="6"/>
  <c r="AQ161" i="6"/>
  <c r="AQ72" i="6"/>
  <c r="AQ84" i="6"/>
  <c r="AQ137" i="6"/>
  <c r="AQ124" i="6"/>
  <c r="AQ97" i="6"/>
  <c r="AQ193" i="6"/>
  <c r="AQ71" i="6"/>
  <c r="AQ135" i="6"/>
  <c r="AQ171" i="6"/>
  <c r="AQ140" i="6"/>
  <c r="AQ201" i="6"/>
  <c r="AQ104" i="6"/>
  <c r="AQ78" i="6"/>
  <c r="AQ175" i="6"/>
  <c r="AQ172" i="6"/>
  <c r="AQ162" i="6"/>
  <c r="AQ101" i="6"/>
  <c r="AQ200" i="6"/>
  <c r="AQ147" i="6"/>
  <c r="AQ129" i="6"/>
  <c r="AQ131" i="6"/>
  <c r="AQ174" i="6"/>
  <c r="AQ95" i="6"/>
  <c r="AQ120" i="6"/>
  <c r="AQ100" i="6"/>
  <c r="AQ92" i="6"/>
  <c r="AQ197" i="6"/>
  <c r="AQ205" i="6"/>
  <c r="AQ69" i="6"/>
  <c r="AQ185" i="6"/>
  <c r="AQ169" i="6"/>
  <c r="AQ145" i="6"/>
  <c r="AQ121" i="6"/>
  <c r="AQ144" i="6"/>
  <c r="AQ192" i="6"/>
  <c r="AQ179" i="6"/>
  <c r="AQ126" i="6"/>
  <c r="AQ164" i="6"/>
  <c r="AQ80" i="6"/>
  <c r="AQ195" i="6"/>
  <c r="AQ86" i="6"/>
  <c r="AQ152" i="6"/>
  <c r="AQ68" i="6"/>
  <c r="AQ198" i="6"/>
  <c r="AQ83" i="6"/>
  <c r="AQ150" i="6"/>
  <c r="AQ136" i="6"/>
  <c r="AQ66" i="6"/>
  <c r="AQ125" i="6"/>
  <c r="AQ170" i="6"/>
  <c r="AQ159" i="6"/>
  <c r="AQ118" i="6"/>
  <c r="AQ114" i="6"/>
  <c r="AQ165" i="6"/>
  <c r="AQ142" i="6"/>
  <c r="AQ191" i="6"/>
  <c r="AQ115" i="6"/>
  <c r="AQ117" i="6"/>
  <c r="AQ141" i="6"/>
  <c r="AQ74" i="6"/>
  <c r="AQ111" i="6"/>
  <c r="AQ184" i="6"/>
  <c r="AQ79" i="6"/>
  <c r="AQ87" i="6"/>
  <c r="AQ85" i="6"/>
  <c r="AQ181" i="6"/>
  <c r="AQ168" i="6"/>
  <c r="AQ81" i="6"/>
  <c r="AQ65" i="6"/>
  <c r="AQ183" i="6"/>
  <c r="AQ151" i="6"/>
  <c r="AQ82" i="6"/>
  <c r="AQ194" i="6"/>
  <c r="AQ67" i="6"/>
  <c r="AQ77" i="6"/>
  <c r="AQ186" i="6"/>
  <c r="AQ90" i="6"/>
  <c r="AQ178" i="6"/>
  <c r="AQ206" i="6"/>
  <c r="AQ73" i="6"/>
  <c r="AQ108" i="6"/>
  <c r="AQ107" i="6"/>
  <c r="AQ154" i="6"/>
  <c r="AQ61" i="6"/>
  <c r="AQ112" i="6"/>
  <c r="AQ166" i="6"/>
  <c r="AQ187" i="6"/>
  <c r="AQ196" i="6"/>
  <c r="AQ76" i="6"/>
  <c r="AQ59" i="6"/>
  <c r="AQ113" i="6"/>
  <c r="AQ138" i="6"/>
  <c r="AQ62" i="6"/>
  <c r="AQ189" i="6"/>
  <c r="AQ199" i="6"/>
  <c r="AQ157" i="6"/>
  <c r="AQ130" i="6"/>
  <c r="AQ139" i="6"/>
  <c r="AQ173" i="6"/>
  <c r="AH112" i="6"/>
  <c r="E61" i="9" s="1"/>
  <c r="AQ128" i="6"/>
  <c r="AQ116" i="6"/>
  <c r="AQ105" i="6"/>
  <c r="AQ122" i="6"/>
  <c r="AQ158" i="6"/>
  <c r="AQ110" i="6"/>
  <c r="AQ94" i="6"/>
  <c r="AQ132" i="6"/>
  <c r="AQ182" i="6"/>
  <c r="AQ103" i="6"/>
  <c r="AQ98" i="6"/>
  <c r="AH131" i="6"/>
  <c r="E80" i="9" s="1"/>
  <c r="AH97" i="6"/>
  <c r="E46" i="9" s="1"/>
  <c r="AH178" i="6"/>
  <c r="E127" i="9" s="1"/>
  <c r="AH148" i="6"/>
  <c r="AH150" i="6"/>
  <c r="E99" i="9" s="1"/>
  <c r="AH182" i="6"/>
  <c r="E131" i="9" s="1"/>
  <c r="AH88" i="6"/>
  <c r="E37" i="9" s="1"/>
  <c r="AH199" i="6"/>
  <c r="AH188" i="6"/>
  <c r="AH73" i="6"/>
  <c r="AH194" i="6"/>
  <c r="AH147" i="6"/>
  <c r="AH87" i="6"/>
  <c r="E36" i="9" s="1"/>
  <c r="AH85" i="6"/>
  <c r="E34" i="9" s="1"/>
  <c r="AH166" i="6"/>
  <c r="E115" i="9" s="1"/>
  <c r="AH118" i="6"/>
  <c r="E67" i="9" s="1"/>
  <c r="AH141" i="6"/>
  <c r="E90" i="9" s="1"/>
  <c r="AH183" i="6"/>
  <c r="AH59" i="6"/>
  <c r="E8" i="9" s="1"/>
  <c r="AH185" i="6"/>
  <c r="AH113" i="6"/>
  <c r="E62" i="9" s="1"/>
  <c r="AH81" i="6"/>
  <c r="E30" i="9" s="1"/>
  <c r="AH93" i="6"/>
  <c r="AH200" i="6"/>
  <c r="AH116" i="6"/>
  <c r="AH165" i="6"/>
  <c r="E114" i="9" s="1"/>
  <c r="AH95" i="6"/>
  <c r="AH138" i="6"/>
  <c r="E87" i="9" s="1"/>
  <c r="AH86" i="6"/>
  <c r="E35" i="9" s="1"/>
  <c r="AH192" i="6"/>
  <c r="AH180" i="6"/>
  <c r="AH92" i="6"/>
  <c r="E41" i="9" s="1"/>
  <c r="AH168" i="6"/>
  <c r="E117" i="9" s="1"/>
  <c r="AH126" i="6"/>
  <c r="AH84" i="6"/>
  <c r="E33" i="9" s="1"/>
  <c r="AH187" i="6"/>
  <c r="AH186" i="6"/>
  <c r="E135" i="9" s="1"/>
  <c r="AH191" i="6"/>
  <c r="E140" i="9" s="1"/>
  <c r="AH176" i="6"/>
  <c r="E125" i="9" s="1"/>
  <c r="AH201" i="6"/>
  <c r="AH162" i="6"/>
  <c r="E111" i="9" s="1"/>
  <c r="AH177" i="6"/>
  <c r="AH167" i="6"/>
  <c r="AH172" i="6"/>
  <c r="E121" i="9" s="1"/>
  <c r="AH125" i="6"/>
  <c r="E74" i="9" s="1"/>
  <c r="AH145" i="6"/>
  <c r="AH143" i="6"/>
  <c r="E92" i="9" s="1"/>
  <c r="AH142" i="6"/>
  <c r="AH98" i="6"/>
  <c r="E47" i="9" s="1"/>
  <c r="AH120" i="6"/>
  <c r="E69" i="9" s="1"/>
  <c r="AH204" i="6"/>
  <c r="E153" i="9" s="1"/>
  <c r="AH161" i="6"/>
  <c r="AH121" i="6"/>
  <c r="E70" i="9" s="1"/>
  <c r="AH123" i="6"/>
  <c r="E72" i="9" s="1"/>
  <c r="AH163" i="6"/>
  <c r="E112" i="9" s="1"/>
  <c r="AH76" i="6"/>
  <c r="AH60" i="6"/>
  <c r="E9" i="9" s="1"/>
  <c r="AH156" i="6"/>
  <c r="AH157" i="6"/>
  <c r="AH144" i="6"/>
  <c r="E93" i="9" s="1"/>
  <c r="AH69" i="6"/>
  <c r="AH164" i="6"/>
  <c r="E113" i="9" s="1"/>
  <c r="AH101" i="6"/>
  <c r="AH160" i="6"/>
  <c r="E109" i="9" s="1"/>
  <c r="AH111" i="6"/>
  <c r="AH108" i="6"/>
  <c r="AH190" i="6"/>
  <c r="AH57" i="6"/>
  <c r="AH146" i="6"/>
  <c r="AH149" i="6"/>
  <c r="E98" i="9" s="1"/>
  <c r="AH74" i="6"/>
  <c r="AH106" i="6"/>
  <c r="E55" i="9" s="1"/>
  <c r="AH80" i="6"/>
  <c r="E29" i="9" s="1"/>
  <c r="AH196" i="6"/>
  <c r="E145" i="9" s="1"/>
  <c r="AH133" i="6"/>
  <c r="E82" i="9" s="1"/>
  <c r="AH114" i="6"/>
  <c r="E63" i="9" s="1"/>
  <c r="AH189" i="6"/>
  <c r="E138" i="9" s="1"/>
  <c r="AH134" i="6"/>
  <c r="E83" i="9" s="1"/>
  <c r="AH155" i="6"/>
  <c r="E104" i="9" s="1"/>
  <c r="AH170" i="6"/>
  <c r="E119" i="9" s="1"/>
  <c r="AH71" i="6"/>
  <c r="AH203" i="6"/>
  <c r="AH105" i="6"/>
  <c r="AH137" i="6"/>
  <c r="AH64" i="6"/>
  <c r="AH115" i="6"/>
  <c r="AH154" i="6"/>
  <c r="E103" i="9" s="1"/>
  <c r="AH181" i="6"/>
  <c r="E130" i="9" s="1"/>
  <c r="AH91" i="6"/>
  <c r="E40" i="9" s="1"/>
  <c r="AH136" i="6"/>
  <c r="E85" i="9" s="1"/>
  <c r="AH159" i="6"/>
  <c r="AH77" i="6"/>
  <c r="AH130" i="6"/>
  <c r="AH119" i="6"/>
  <c r="E68" i="9" s="1"/>
  <c r="AH171" i="6"/>
  <c r="E120" i="9" s="1"/>
  <c r="AH202" i="6"/>
  <c r="E151" i="9" s="1"/>
  <c r="AH195" i="6"/>
  <c r="AH103" i="6"/>
  <c r="AH153" i="6"/>
  <c r="AH124" i="6"/>
  <c r="AH129" i="6"/>
  <c r="E78" i="9" s="1"/>
  <c r="AH140" i="6"/>
  <c r="AH107" i="6"/>
  <c r="AH169" i="6"/>
  <c r="E118" i="9" s="1"/>
  <c r="AH79" i="6"/>
  <c r="E28" i="9" s="1"/>
  <c r="AH122" i="6"/>
  <c r="AH100" i="6"/>
  <c r="AH193" i="6"/>
  <c r="AH198" i="6"/>
  <c r="AH90" i="6"/>
  <c r="E39" i="9" s="1"/>
  <c r="AH179" i="6"/>
  <c r="E128" i="9" s="1"/>
  <c r="AH110" i="6"/>
  <c r="E59" i="9" s="1"/>
  <c r="AH102" i="6"/>
  <c r="E51" i="9" s="1"/>
  <c r="AH205" i="6"/>
  <c r="E154" i="9" s="1"/>
  <c r="AH151" i="6"/>
  <c r="E100" i="9" s="1"/>
  <c r="AH67" i="6"/>
  <c r="E16" i="9" s="1"/>
  <c r="AH94" i="6"/>
  <c r="E43" i="9" s="1"/>
  <c r="AH61" i="6"/>
  <c r="E10" i="9" s="1"/>
  <c r="AH96" i="6"/>
  <c r="E45" i="9" s="1"/>
  <c r="AH78" i="6"/>
  <c r="E27" i="9" s="1"/>
  <c r="AH63" i="6"/>
  <c r="AH65" i="6"/>
  <c r="AH66" i="6"/>
  <c r="AH75" i="6"/>
  <c r="AH158" i="6"/>
  <c r="AH152" i="6"/>
  <c r="AH132" i="6"/>
  <c r="AH70" i="6"/>
  <c r="E19" i="9" s="1"/>
  <c r="AH89" i="6"/>
  <c r="E38" i="9" s="1"/>
  <c r="AH62" i="6"/>
  <c r="AH127" i="6"/>
  <c r="AH184" i="6"/>
  <c r="AH173" i="6"/>
  <c r="AH135" i="6"/>
  <c r="E84" i="9" s="1"/>
  <c r="AH117" i="6"/>
  <c r="E66" i="9" s="1"/>
  <c r="AH128" i="6"/>
  <c r="AH104" i="6"/>
  <c r="E53" i="9" s="1"/>
  <c r="AH174" i="6"/>
  <c r="AH206" i="6"/>
  <c r="E155" i="9" s="1"/>
  <c r="AH58" i="6"/>
  <c r="E7" i="9" s="1"/>
  <c r="AH175" i="6"/>
  <c r="AH109" i="6"/>
  <c r="E58" i="9" s="1"/>
  <c r="AH139" i="6"/>
  <c r="E88" i="9" s="1"/>
  <c r="AH83" i="6"/>
  <c r="E32" i="9" s="1"/>
  <c r="AH82" i="6"/>
  <c r="AH197" i="6"/>
  <c r="AH72" i="6"/>
  <c r="E21" i="9" s="1"/>
  <c r="AH68" i="6"/>
  <c r="E17" i="9" s="1"/>
  <c r="BA99" i="6" l="1"/>
  <c r="BA83" i="6"/>
  <c r="BA191" i="6"/>
  <c r="BA198" i="6"/>
  <c r="BA155" i="6"/>
  <c r="BA171" i="6"/>
  <c r="BA188" i="6"/>
  <c r="BA62" i="6"/>
  <c r="BA73" i="6"/>
  <c r="BA81" i="6"/>
  <c r="BA203" i="6"/>
  <c r="BA122" i="6"/>
  <c r="BA145" i="6"/>
  <c r="BA158" i="6"/>
  <c r="BA65" i="6"/>
  <c r="BA115" i="6"/>
  <c r="BA121" i="6"/>
  <c r="BA131" i="6"/>
  <c r="BA75" i="6"/>
  <c r="BA70" i="6"/>
  <c r="BA160" i="6"/>
  <c r="BA138" i="6"/>
  <c r="BA135" i="6"/>
  <c r="BA113" i="6"/>
  <c r="BA206" i="6"/>
  <c r="BA168" i="6"/>
  <c r="BA142" i="6"/>
  <c r="BA169" i="6"/>
  <c r="BA147" i="6"/>
  <c r="BA71" i="6"/>
  <c r="BA133" i="6"/>
  <c r="BA89" i="6"/>
  <c r="BA116" i="6"/>
  <c r="BA59" i="6"/>
  <c r="BA165" i="6"/>
  <c r="BA185" i="6"/>
  <c r="BA200" i="6"/>
  <c r="BA193" i="6"/>
  <c r="BA63" i="6"/>
  <c r="BA163" i="6"/>
  <c r="BA180" i="6"/>
  <c r="BA130" i="6"/>
  <c r="BA125" i="6"/>
  <c r="BA146" i="6"/>
  <c r="BA149" i="6"/>
  <c r="BA76" i="6"/>
  <c r="BA69" i="6"/>
  <c r="BA96" i="6"/>
  <c r="V166" i="6"/>
  <c r="BA105" i="6"/>
  <c r="BA143" i="6"/>
  <c r="BA57" i="6"/>
  <c r="BA109" i="6"/>
  <c r="BA77" i="6"/>
  <c r="BA79" i="6"/>
  <c r="BA159" i="6"/>
  <c r="BA172" i="6"/>
  <c r="BA167" i="6"/>
  <c r="BA67" i="6"/>
  <c r="BA170" i="6"/>
  <c r="BA92" i="6"/>
  <c r="BA175" i="6"/>
  <c r="BA94" i="6"/>
  <c r="BA151" i="6"/>
  <c r="BA88" i="6"/>
  <c r="BA68" i="6"/>
  <c r="BA178" i="6"/>
  <c r="BA181" i="6"/>
  <c r="BA128" i="6"/>
  <c r="BA85" i="6"/>
  <c r="BA186" i="6"/>
  <c r="BA195" i="6"/>
  <c r="BA124" i="6"/>
  <c r="BA187" i="6"/>
  <c r="BA202" i="6"/>
  <c r="BA166" i="6"/>
  <c r="BA102" i="6"/>
  <c r="BA112" i="6"/>
  <c r="BA78" i="6"/>
  <c r="BA93" i="6"/>
  <c r="BA132" i="6"/>
  <c r="BA157" i="6"/>
  <c r="BA61" i="6"/>
  <c r="BA82" i="6"/>
  <c r="BA74" i="6"/>
  <c r="BA66" i="6"/>
  <c r="BA179" i="6"/>
  <c r="BA120" i="6"/>
  <c r="BA104" i="6"/>
  <c r="BA161" i="6"/>
  <c r="BA177" i="6"/>
  <c r="BA134" i="6"/>
  <c r="BA127" i="6"/>
  <c r="BA108" i="6"/>
  <c r="BA90" i="6"/>
  <c r="BA86" i="6"/>
  <c r="BA97" i="6"/>
  <c r="BA87" i="6"/>
  <c r="BA205" i="6"/>
  <c r="BA204" i="6"/>
  <c r="BA173" i="6"/>
  <c r="BA197" i="6"/>
  <c r="BA139" i="6"/>
  <c r="BA184" i="6"/>
  <c r="BA91" i="6"/>
  <c r="BA182" i="6"/>
  <c r="BA194" i="6"/>
  <c r="BA126" i="6"/>
  <c r="BA72" i="6"/>
  <c r="BA153" i="6"/>
  <c r="BA199" i="6"/>
  <c r="BA136" i="6"/>
  <c r="BA95" i="6"/>
  <c r="BA119" i="6"/>
  <c r="BA129" i="6"/>
  <c r="BA152" i="6"/>
  <c r="BA123" i="6"/>
  <c r="BA114" i="6"/>
  <c r="BA101" i="6"/>
  <c r="BA196" i="6"/>
  <c r="BA118" i="6"/>
  <c r="BA162" i="6"/>
  <c r="BA98" i="6"/>
  <c r="BA80" i="6"/>
  <c r="BA137" i="6"/>
  <c r="BA103" i="6"/>
  <c r="BA164" i="6"/>
  <c r="BA84" i="6"/>
  <c r="BA148" i="6"/>
  <c r="BA111" i="6"/>
  <c r="BA100" i="6"/>
  <c r="BA154" i="6"/>
  <c r="BA141" i="6"/>
  <c r="BA192" i="6"/>
  <c r="BA201" i="6"/>
  <c r="BA110" i="6"/>
  <c r="BA189" i="6"/>
  <c r="BA107" i="6"/>
  <c r="BA183" i="6"/>
  <c r="BA117" i="6"/>
  <c r="BA150" i="6"/>
  <c r="BA144" i="6"/>
  <c r="BA174" i="6"/>
  <c r="BA140" i="6"/>
  <c r="BA176" i="6"/>
  <c r="BA106" i="6"/>
  <c r="BA58" i="6"/>
  <c r="V110" i="6"/>
  <c r="V145" i="6"/>
  <c r="V73" i="6"/>
  <c r="V189" i="6"/>
  <c r="V72" i="6"/>
  <c r="V85" i="6"/>
  <c r="V170" i="6"/>
  <c r="V175" i="6"/>
  <c r="V121" i="6"/>
  <c r="V59" i="6"/>
  <c r="V108" i="6"/>
  <c r="V141" i="6"/>
  <c r="V112" i="6"/>
  <c r="V64" i="6"/>
  <c r="AL99" i="6"/>
  <c r="E48" i="4" s="1"/>
  <c r="V185" i="6"/>
  <c r="V149" i="6"/>
  <c r="V176" i="6"/>
  <c r="V69" i="6"/>
  <c r="V97" i="6"/>
  <c r="V95" i="6"/>
  <c r="V130" i="6"/>
  <c r="V138" i="6"/>
  <c r="V94" i="6"/>
  <c r="V161" i="6"/>
  <c r="V160" i="6"/>
  <c r="V174" i="6"/>
  <c r="V96" i="6"/>
  <c r="V61" i="6"/>
  <c r="V120" i="6"/>
  <c r="V197" i="6"/>
  <c r="D51" i="4"/>
  <c r="F9" i="9"/>
  <c r="BA60" i="6"/>
  <c r="F139" i="9"/>
  <c r="BA190" i="6"/>
  <c r="F105" i="9"/>
  <c r="BA156" i="6"/>
  <c r="F13" i="9"/>
  <c r="BA64" i="6"/>
  <c r="V140" i="6"/>
  <c r="V184" i="6"/>
  <c r="V200" i="6"/>
  <c r="V83" i="6"/>
  <c r="V181" i="6"/>
  <c r="V132" i="6"/>
  <c r="V89" i="6"/>
  <c r="V75" i="6"/>
  <c r="V82" i="6"/>
  <c r="V62" i="6"/>
  <c r="V105" i="6"/>
  <c r="V157" i="6"/>
  <c r="V143" i="6"/>
  <c r="V74" i="6"/>
  <c r="V70" i="6"/>
  <c r="V182" i="6"/>
  <c r="V187" i="6"/>
  <c r="V127" i="6"/>
  <c r="V206" i="6"/>
  <c r="V113" i="6"/>
  <c r="V201" i="6"/>
  <c r="V80" i="6"/>
  <c r="V137" i="6"/>
  <c r="V77" i="6"/>
  <c r="V150" i="6"/>
  <c r="V67" i="6"/>
  <c r="V147" i="6"/>
  <c r="V134" i="6"/>
  <c r="V204" i="6"/>
  <c r="V193" i="6"/>
  <c r="V68" i="6"/>
  <c r="AU190" i="6"/>
  <c r="V165" i="6"/>
  <c r="AL107" i="6"/>
  <c r="E56" i="4" s="1"/>
  <c r="E56" i="9"/>
  <c r="AL198" i="6"/>
  <c r="E147" i="4" s="1"/>
  <c r="E147" i="9"/>
  <c r="AL146" i="6"/>
  <c r="E95" i="4" s="1"/>
  <c r="E95" i="9"/>
  <c r="AL69" i="6"/>
  <c r="E18" i="4" s="1"/>
  <c r="E18" i="9"/>
  <c r="AU61" i="6"/>
  <c r="AN61" i="6" s="1"/>
  <c r="F10" i="9"/>
  <c r="AU81" i="6"/>
  <c r="AN81" i="6" s="1"/>
  <c r="F30" i="9"/>
  <c r="AU118" i="6"/>
  <c r="AN118" i="6" s="1"/>
  <c r="F67" i="9"/>
  <c r="AU179" i="6"/>
  <c r="AN179" i="6" s="1"/>
  <c r="F128" i="9"/>
  <c r="AU129" i="6"/>
  <c r="F78" i="9"/>
  <c r="AU124" i="6"/>
  <c r="AN124" i="6" s="1"/>
  <c r="F73" i="9"/>
  <c r="AU188" i="6"/>
  <c r="AN188" i="6" s="1"/>
  <c r="F137" i="9"/>
  <c r="AU57" i="6"/>
  <c r="AN57" i="6" s="1"/>
  <c r="F6" i="9"/>
  <c r="AU155" i="6"/>
  <c r="AN155" i="6" s="1"/>
  <c r="F104" i="9"/>
  <c r="V133" i="6"/>
  <c r="D82" i="4"/>
  <c r="V90" i="6"/>
  <c r="D39" i="4"/>
  <c r="V190" i="6"/>
  <c r="D139" i="4"/>
  <c r="V66" i="6"/>
  <c r="D15" i="4"/>
  <c r="V167" i="6"/>
  <c r="D116" i="4"/>
  <c r="AL184" i="6"/>
  <c r="E133" i="4" s="1"/>
  <c r="E133" i="9"/>
  <c r="AL75" i="6"/>
  <c r="E24" i="4" s="1"/>
  <c r="E24" i="9"/>
  <c r="AL193" i="6"/>
  <c r="E142" i="4" s="1"/>
  <c r="E142" i="9"/>
  <c r="AL124" i="6"/>
  <c r="E73" i="4" s="1"/>
  <c r="E73" i="9"/>
  <c r="AL77" i="6"/>
  <c r="E26" i="4" s="1"/>
  <c r="E26" i="9"/>
  <c r="AL137" i="6"/>
  <c r="E86" i="4" s="1"/>
  <c r="E86" i="9"/>
  <c r="AL57" i="6"/>
  <c r="E6" i="4" s="1"/>
  <c r="E6" i="9"/>
  <c r="AL161" i="6"/>
  <c r="E110" i="4" s="1"/>
  <c r="E110" i="9"/>
  <c r="AL187" i="6"/>
  <c r="E136" i="4" s="1"/>
  <c r="E136" i="9"/>
  <c r="AL185" i="6"/>
  <c r="E134" i="4" s="1"/>
  <c r="E134" i="9"/>
  <c r="AL147" i="6"/>
  <c r="E96" i="4" s="1"/>
  <c r="E96" i="9"/>
  <c r="AL148" i="6"/>
  <c r="E97" i="4" s="1"/>
  <c r="E97" i="9"/>
  <c r="AU94" i="6"/>
  <c r="AN94" i="6" s="1"/>
  <c r="F43" i="9"/>
  <c r="AU173" i="6"/>
  <c r="AN173" i="6" s="1"/>
  <c r="F122" i="9"/>
  <c r="AU113" i="6"/>
  <c r="F62" i="9"/>
  <c r="AU154" i="6"/>
  <c r="AN154" i="6" s="1"/>
  <c r="F103" i="9"/>
  <c r="AU77" i="6"/>
  <c r="AN77" i="6" s="1"/>
  <c r="F26" i="9"/>
  <c r="AU168" i="6"/>
  <c r="AN168" i="6" s="1"/>
  <c r="F117" i="9"/>
  <c r="AU141" i="6"/>
  <c r="F90" i="9"/>
  <c r="AU159" i="6"/>
  <c r="AN159" i="6" s="1"/>
  <c r="F108" i="9"/>
  <c r="AU68" i="6"/>
  <c r="AN68" i="6" s="1"/>
  <c r="F17" i="9"/>
  <c r="AU192" i="6"/>
  <c r="AN192" i="6" s="1"/>
  <c r="F141" i="9"/>
  <c r="AU197" i="6"/>
  <c r="AN197" i="6" s="1"/>
  <c r="F146" i="9"/>
  <c r="AU147" i="6"/>
  <c r="AN147" i="6" s="1"/>
  <c r="F96" i="9"/>
  <c r="AU201" i="6"/>
  <c r="AN201" i="6" s="1"/>
  <c r="F150" i="9"/>
  <c r="AU137" i="6"/>
  <c r="AN137" i="6" s="1"/>
  <c r="F86" i="9"/>
  <c r="AU99" i="6"/>
  <c r="AN99" i="6" s="1"/>
  <c r="F48" i="9"/>
  <c r="AU119" i="6"/>
  <c r="AN119" i="6" s="1"/>
  <c r="F68" i="9"/>
  <c r="AU167" i="6"/>
  <c r="AN167" i="6" s="1"/>
  <c r="F116" i="9"/>
  <c r="AU89" i="6"/>
  <c r="AN89" i="6" s="1"/>
  <c r="F38" i="9"/>
  <c r="V60" i="6"/>
  <c r="D9" i="4"/>
  <c r="V115" i="6"/>
  <c r="D64" i="4"/>
  <c r="V92" i="6"/>
  <c r="D41" i="4"/>
  <c r="V168" i="6"/>
  <c r="D117" i="4"/>
  <c r="V124" i="6"/>
  <c r="V163" i="6"/>
  <c r="D112" i="4"/>
  <c r="V131" i="6"/>
  <c r="D80" i="4"/>
  <c r="V135" i="6"/>
  <c r="V86" i="6"/>
  <c r="V136" i="6"/>
  <c r="D85" i="4"/>
  <c r="V162" i="6"/>
  <c r="V100" i="6"/>
  <c r="D49" i="4"/>
  <c r="V106" i="6"/>
  <c r="D55" i="4"/>
  <c r="V114" i="6"/>
  <c r="AL100" i="6"/>
  <c r="E49" i="4" s="1"/>
  <c r="E49" i="9"/>
  <c r="AL153" i="6"/>
  <c r="E102" i="4" s="1"/>
  <c r="E102" i="9"/>
  <c r="AL159" i="6"/>
  <c r="E108" i="9"/>
  <c r="AL105" i="6"/>
  <c r="E54" i="4" s="1"/>
  <c r="E54" i="9"/>
  <c r="AL167" i="6"/>
  <c r="E116" i="4" s="1"/>
  <c r="E116" i="9"/>
  <c r="AL194" i="6"/>
  <c r="E143" i="4" s="1"/>
  <c r="E143" i="9"/>
  <c r="AU110" i="6"/>
  <c r="AN110" i="6" s="1"/>
  <c r="F59" i="9"/>
  <c r="AU59" i="6"/>
  <c r="AN59" i="6" s="1"/>
  <c r="F8" i="9"/>
  <c r="AU67" i="6"/>
  <c r="AN67" i="6" s="1"/>
  <c r="F16" i="9"/>
  <c r="AU181" i="6"/>
  <c r="AN181" i="6" s="1"/>
  <c r="F130" i="9"/>
  <c r="AU170" i="6"/>
  <c r="AN170" i="6" s="1"/>
  <c r="F119" i="9"/>
  <c r="AU144" i="6"/>
  <c r="AN144" i="6" s="1"/>
  <c r="F93" i="9"/>
  <c r="AU200" i="6"/>
  <c r="AN200" i="6" s="1"/>
  <c r="F149" i="9"/>
  <c r="AU140" i="6"/>
  <c r="AN140" i="6" s="1"/>
  <c r="F89" i="9"/>
  <c r="AU84" i="6"/>
  <c r="AN84" i="6" s="1"/>
  <c r="F33" i="9"/>
  <c r="AU123" i="6"/>
  <c r="AN123" i="6" s="1"/>
  <c r="F72" i="9"/>
  <c r="AU106" i="6"/>
  <c r="AN106" i="6" s="1"/>
  <c r="F55" i="9"/>
  <c r="AU149" i="6"/>
  <c r="AN149" i="6" s="1"/>
  <c r="F98" i="9"/>
  <c r="V188" i="6"/>
  <c r="D137" i="4"/>
  <c r="V58" i="6"/>
  <c r="D7" i="4"/>
  <c r="V116" i="6"/>
  <c r="D65" i="4"/>
  <c r="V65" i="6"/>
  <c r="D14" i="4"/>
  <c r="V104" i="6"/>
  <c r="D53" i="4"/>
  <c r="V179" i="6"/>
  <c r="D128" i="4"/>
  <c r="V148" i="6"/>
  <c r="D97" i="4"/>
  <c r="V173" i="6"/>
  <c r="D122" i="4"/>
  <c r="V129" i="6"/>
  <c r="D78" i="4"/>
  <c r="AL197" i="6"/>
  <c r="E146" i="4" s="1"/>
  <c r="E146" i="9"/>
  <c r="AL174" i="6"/>
  <c r="E123" i="4" s="1"/>
  <c r="E123" i="9"/>
  <c r="AL127" i="6"/>
  <c r="E76" i="4" s="1"/>
  <c r="E76" i="9"/>
  <c r="AL66" i="6"/>
  <c r="E15" i="4" s="1"/>
  <c r="E15" i="9"/>
  <c r="AL190" i="6"/>
  <c r="E139" i="4" s="1"/>
  <c r="E139" i="9"/>
  <c r="AL157" i="6"/>
  <c r="E106" i="4" s="1"/>
  <c r="E106" i="9"/>
  <c r="AL95" i="6"/>
  <c r="E44" i="4" s="1"/>
  <c r="E44" i="9"/>
  <c r="AU139" i="6"/>
  <c r="AN139" i="6" s="1"/>
  <c r="F88" i="9"/>
  <c r="AU107" i="6"/>
  <c r="AN107" i="6" s="1"/>
  <c r="F56" i="9"/>
  <c r="AU117" i="6"/>
  <c r="AN117" i="6" s="1"/>
  <c r="F66" i="9"/>
  <c r="AU152" i="6"/>
  <c r="AN152" i="6" s="1"/>
  <c r="F101" i="9"/>
  <c r="AU92" i="6"/>
  <c r="AN92" i="6" s="1"/>
  <c r="F41" i="9"/>
  <c r="AU102" i="6"/>
  <c r="AN102" i="6" s="1"/>
  <c r="F51" i="9"/>
  <c r="AL82" i="6"/>
  <c r="E31" i="4" s="1"/>
  <c r="E31" i="9"/>
  <c r="AL62" i="6"/>
  <c r="E11" i="4" s="1"/>
  <c r="E11" i="9"/>
  <c r="AL65" i="6"/>
  <c r="E14" i="4" s="1"/>
  <c r="E14" i="9"/>
  <c r="AL122" i="6"/>
  <c r="E71" i="4" s="1"/>
  <c r="E71" i="9"/>
  <c r="AL103" i="6"/>
  <c r="E52" i="4" s="1"/>
  <c r="E52" i="9"/>
  <c r="AL203" i="6"/>
  <c r="E152" i="4" s="1"/>
  <c r="E152" i="9"/>
  <c r="AL108" i="6"/>
  <c r="E57" i="4" s="1"/>
  <c r="E57" i="9"/>
  <c r="AL156" i="6"/>
  <c r="E105" i="4" s="1"/>
  <c r="E105" i="9"/>
  <c r="AL177" i="6"/>
  <c r="E126" i="4" s="1"/>
  <c r="E126" i="9"/>
  <c r="AL126" i="6"/>
  <c r="E75" i="4" s="1"/>
  <c r="E75" i="9"/>
  <c r="AL183" i="6"/>
  <c r="E132" i="4" s="1"/>
  <c r="E132" i="9"/>
  <c r="AL73" i="6"/>
  <c r="E22" i="4" s="1"/>
  <c r="E22" i="9"/>
  <c r="AU158" i="6"/>
  <c r="AN158" i="6" s="1"/>
  <c r="F107" i="9"/>
  <c r="AU130" i="6"/>
  <c r="AN130" i="6" s="1"/>
  <c r="F79" i="9"/>
  <c r="AU76" i="6"/>
  <c r="AN76" i="6" s="1"/>
  <c r="F25" i="9"/>
  <c r="AU108" i="6"/>
  <c r="AN108" i="6" s="1"/>
  <c r="F57" i="9"/>
  <c r="AU194" i="6"/>
  <c r="AN194" i="6" s="1"/>
  <c r="F143" i="9"/>
  <c r="AU85" i="6"/>
  <c r="AN85" i="6" s="1"/>
  <c r="F34" i="9"/>
  <c r="AU115" i="6"/>
  <c r="AN115" i="6" s="1"/>
  <c r="F64" i="9"/>
  <c r="AU125" i="6"/>
  <c r="AN125" i="6" s="1"/>
  <c r="F74" i="9"/>
  <c r="AU86" i="6"/>
  <c r="AN86" i="6" s="1"/>
  <c r="F35" i="9"/>
  <c r="AU121" i="6"/>
  <c r="AN121" i="6" s="1"/>
  <c r="F70" i="9"/>
  <c r="AU100" i="6"/>
  <c r="AN100" i="6" s="1"/>
  <c r="F49" i="9"/>
  <c r="AU101" i="6"/>
  <c r="AN101" i="6" s="1"/>
  <c r="F50" i="9"/>
  <c r="AU171" i="6"/>
  <c r="AN171" i="6" s="1"/>
  <c r="F120" i="9"/>
  <c r="AU72" i="6"/>
  <c r="AN72" i="6" s="1"/>
  <c r="F21" i="9"/>
  <c r="AU163" i="6"/>
  <c r="AN163" i="6" s="1"/>
  <c r="F112" i="9"/>
  <c r="AU70" i="6"/>
  <c r="AN70" i="6" s="1"/>
  <c r="F19" i="9"/>
  <c r="AU93" i="6"/>
  <c r="AN93" i="6" s="1"/>
  <c r="F42" i="9"/>
  <c r="AU96" i="6"/>
  <c r="AN96" i="6" s="1"/>
  <c r="F45" i="9"/>
  <c r="AU64" i="6"/>
  <c r="V142" i="6"/>
  <c r="D91" i="4"/>
  <c r="V63" i="6"/>
  <c r="D12" i="4"/>
  <c r="V128" i="6"/>
  <c r="D77" i="4"/>
  <c r="V152" i="6"/>
  <c r="D101" i="4"/>
  <c r="V93" i="6"/>
  <c r="D42" i="4"/>
  <c r="V123" i="6"/>
  <c r="V103" i="6"/>
  <c r="V139" i="6"/>
  <c r="D88" i="4"/>
  <c r="V191" i="6"/>
  <c r="D140" i="4"/>
  <c r="V199" i="6"/>
  <c r="AL71" i="6"/>
  <c r="E20" i="4" s="1"/>
  <c r="E20" i="9"/>
  <c r="AL188" i="6"/>
  <c r="E137" i="4" s="1"/>
  <c r="E137" i="9"/>
  <c r="AU122" i="6"/>
  <c r="AN122" i="6" s="1"/>
  <c r="F71" i="9"/>
  <c r="AU196" i="6"/>
  <c r="AN196" i="6" s="1"/>
  <c r="F145" i="9"/>
  <c r="AU87" i="6"/>
  <c r="AN87" i="6" s="1"/>
  <c r="F36" i="9"/>
  <c r="AU66" i="6"/>
  <c r="AN66" i="6" s="1"/>
  <c r="F15" i="9"/>
  <c r="AU145" i="6"/>
  <c r="AN145" i="6" s="1"/>
  <c r="F94" i="9"/>
  <c r="AU162" i="6"/>
  <c r="AN162" i="6" s="1"/>
  <c r="F111" i="9"/>
  <c r="AU161" i="6"/>
  <c r="AN161" i="6" s="1"/>
  <c r="F110" i="9"/>
  <c r="AU134" i="6"/>
  <c r="AN134" i="6" s="1"/>
  <c r="F83" i="9"/>
  <c r="V205" i="6"/>
  <c r="D154" i="4"/>
  <c r="V158" i="6"/>
  <c r="D107" i="4"/>
  <c r="V78" i="6"/>
  <c r="D27" i="4"/>
  <c r="V98" i="6"/>
  <c r="D47" i="4"/>
  <c r="V146" i="6"/>
  <c r="D95" i="4"/>
  <c r="V84" i="6"/>
  <c r="D33" i="4"/>
  <c r="V88" i="6"/>
  <c r="D37" i="4"/>
  <c r="V81" i="6"/>
  <c r="D30" i="4"/>
  <c r="AL128" i="6"/>
  <c r="E77" i="4" s="1"/>
  <c r="E77" i="9"/>
  <c r="AL63" i="6"/>
  <c r="E12" i="4" s="1"/>
  <c r="E12" i="9"/>
  <c r="AL195" i="6"/>
  <c r="E144" i="4" s="1"/>
  <c r="E144" i="9"/>
  <c r="AL111" i="6"/>
  <c r="E60" i="4" s="1"/>
  <c r="E60" i="9"/>
  <c r="AL116" i="6"/>
  <c r="E65" i="4" s="1"/>
  <c r="E65" i="9"/>
  <c r="AU157" i="6"/>
  <c r="AN157" i="6" s="1"/>
  <c r="F106" i="9"/>
  <c r="AU73" i="6"/>
  <c r="AN73" i="6" s="1"/>
  <c r="F22" i="9"/>
  <c r="AU82" i="6"/>
  <c r="AN82" i="6" s="1"/>
  <c r="F31" i="9"/>
  <c r="AU191" i="6"/>
  <c r="AN191" i="6" s="1"/>
  <c r="F140" i="9"/>
  <c r="AU195" i="6"/>
  <c r="AN195" i="6" s="1"/>
  <c r="F144" i="9"/>
  <c r="AU120" i="6"/>
  <c r="AN120" i="6" s="1"/>
  <c r="F69" i="9"/>
  <c r="AU135" i="6"/>
  <c r="AN135" i="6" s="1"/>
  <c r="F84" i="9"/>
  <c r="AU143" i="6"/>
  <c r="AN143" i="6" s="1"/>
  <c r="F92" i="9"/>
  <c r="AU203" i="6"/>
  <c r="AN203" i="6" s="1"/>
  <c r="F152" i="9"/>
  <c r="AU204" i="6"/>
  <c r="AN204" i="6" s="1"/>
  <c r="F153" i="9"/>
  <c r="AL76" i="6"/>
  <c r="E25" i="4" s="1"/>
  <c r="E25" i="9"/>
  <c r="AL142" i="6"/>
  <c r="E91" i="4" s="1"/>
  <c r="E91" i="9"/>
  <c r="AL201" i="6"/>
  <c r="E150" i="4" s="1"/>
  <c r="E150" i="9"/>
  <c r="AL200" i="6"/>
  <c r="E149" i="4" s="1"/>
  <c r="E149" i="9"/>
  <c r="AL199" i="6"/>
  <c r="E148" i="4" s="1"/>
  <c r="E148" i="9"/>
  <c r="AU98" i="6"/>
  <c r="AN98" i="6" s="1"/>
  <c r="F47" i="9"/>
  <c r="AU105" i="6"/>
  <c r="AN105" i="6" s="1"/>
  <c r="F54" i="9"/>
  <c r="AU199" i="6"/>
  <c r="AN199" i="6" s="1"/>
  <c r="F148" i="9"/>
  <c r="AU187" i="6"/>
  <c r="AN187" i="6" s="1"/>
  <c r="F136" i="9"/>
  <c r="AU206" i="6"/>
  <c r="AN206" i="6" s="1"/>
  <c r="F155" i="9"/>
  <c r="AU151" i="6"/>
  <c r="AN151" i="6" s="1"/>
  <c r="F100" i="9"/>
  <c r="AU79" i="6"/>
  <c r="AN79" i="6" s="1"/>
  <c r="F28" i="9"/>
  <c r="AU142" i="6"/>
  <c r="AN142" i="6" s="1"/>
  <c r="F91" i="9"/>
  <c r="AU136" i="6"/>
  <c r="AN136" i="6" s="1"/>
  <c r="F85" i="9"/>
  <c r="AU80" i="6"/>
  <c r="AN80" i="6" s="1"/>
  <c r="F29" i="9"/>
  <c r="AU169" i="6"/>
  <c r="AN169" i="6" s="1"/>
  <c r="F118" i="9"/>
  <c r="AU95" i="6"/>
  <c r="AN95" i="6" s="1"/>
  <c r="F44" i="9"/>
  <c r="AU172" i="6"/>
  <c r="AN172" i="6" s="1"/>
  <c r="F121" i="9"/>
  <c r="AU71" i="6"/>
  <c r="AN71" i="6" s="1"/>
  <c r="F20" i="9"/>
  <c r="AU109" i="6"/>
  <c r="AN109" i="6" s="1"/>
  <c r="F58" i="9"/>
  <c r="AU133" i="6"/>
  <c r="AN133" i="6" s="1"/>
  <c r="F82" i="9"/>
  <c r="AU88" i="6"/>
  <c r="AN88" i="6" s="1"/>
  <c r="F37" i="9"/>
  <c r="AU202" i="6"/>
  <c r="AN202" i="6" s="1"/>
  <c r="F151" i="9"/>
  <c r="V151" i="6"/>
  <c r="V155" i="6"/>
  <c r="V178" i="6"/>
  <c r="D127" i="4"/>
  <c r="V171" i="6"/>
  <c r="D120" i="4"/>
  <c r="V156" i="6"/>
  <c r="V159" i="6"/>
  <c r="D108" i="4"/>
  <c r="V107" i="6"/>
  <c r="D56" i="4"/>
  <c r="V153" i="6"/>
  <c r="D102" i="4"/>
  <c r="V76" i="6"/>
  <c r="V99" i="6"/>
  <c r="V195" i="6"/>
  <c r="V71" i="6"/>
  <c r="D20" i="4"/>
  <c r="V118" i="6"/>
  <c r="D67" i="4"/>
  <c r="V203" i="6"/>
  <c r="V57" i="6"/>
  <c r="V186" i="6"/>
  <c r="AL74" i="6"/>
  <c r="E23" i="4" s="1"/>
  <c r="E23" i="9"/>
  <c r="AL101" i="6"/>
  <c r="E50" i="4" s="1"/>
  <c r="E50" i="9"/>
  <c r="AU103" i="6"/>
  <c r="F52" i="9"/>
  <c r="AU116" i="6"/>
  <c r="AN116" i="6" s="1"/>
  <c r="F65" i="9"/>
  <c r="AU189" i="6"/>
  <c r="F138" i="9"/>
  <c r="AU166" i="6"/>
  <c r="AN166" i="6" s="1"/>
  <c r="F115" i="9"/>
  <c r="AU178" i="6"/>
  <c r="F127" i="9"/>
  <c r="AU183" i="6"/>
  <c r="AN183" i="6" s="1"/>
  <c r="F132" i="9"/>
  <c r="AU184" i="6"/>
  <c r="F133" i="9"/>
  <c r="AU165" i="6"/>
  <c r="AN165" i="6" s="1"/>
  <c r="F114" i="9"/>
  <c r="AU150" i="6"/>
  <c r="F99" i="9"/>
  <c r="AU164" i="6"/>
  <c r="AN164" i="6" s="1"/>
  <c r="F113" i="9"/>
  <c r="AU185" i="6"/>
  <c r="F134" i="9"/>
  <c r="AU174" i="6"/>
  <c r="AN174" i="6" s="1"/>
  <c r="F123" i="9"/>
  <c r="AU175" i="6"/>
  <c r="F124" i="9"/>
  <c r="AU193" i="6"/>
  <c r="AN193" i="6" s="1"/>
  <c r="F142" i="9"/>
  <c r="AU176" i="6"/>
  <c r="F125" i="9"/>
  <c r="AU91" i="6"/>
  <c r="AN91" i="6" s="1"/>
  <c r="F40" i="9"/>
  <c r="AU63" i="6"/>
  <c r="F12" i="9"/>
  <c r="AU58" i="6"/>
  <c r="AN58" i="6" s="1"/>
  <c r="F7" i="9"/>
  <c r="AU148" i="6"/>
  <c r="F97" i="9"/>
  <c r="V198" i="6"/>
  <c r="D147" i="4"/>
  <c r="V194" i="6"/>
  <c r="D143" i="4"/>
  <c r="V91" i="6"/>
  <c r="D40" i="4"/>
  <c r="V192" i="6"/>
  <c r="D141" i="4"/>
  <c r="V177" i="6"/>
  <c r="D126" i="4"/>
  <c r="V172" i="6"/>
  <c r="D121" i="4"/>
  <c r="V183" i="6"/>
  <c r="D132" i="4"/>
  <c r="V117" i="6"/>
  <c r="D66" i="4"/>
  <c r="V202" i="6"/>
  <c r="D151" i="4"/>
  <c r="AL180" i="6"/>
  <c r="E129" i="4" s="1"/>
  <c r="E129" i="9"/>
  <c r="AL93" i="6"/>
  <c r="E42" i="4" s="1"/>
  <c r="E42" i="9"/>
  <c r="AL175" i="6"/>
  <c r="E124" i="4" s="1"/>
  <c r="E124" i="9"/>
  <c r="AL173" i="6"/>
  <c r="E122" i="4" s="1"/>
  <c r="E122" i="9"/>
  <c r="AL152" i="6"/>
  <c r="E101" i="4" s="1"/>
  <c r="E101" i="9"/>
  <c r="AL140" i="6"/>
  <c r="E89" i="4" s="1"/>
  <c r="E89" i="9"/>
  <c r="AL115" i="6"/>
  <c r="E64" i="4" s="1"/>
  <c r="E64" i="9"/>
  <c r="AL145" i="6"/>
  <c r="E94" i="4" s="1"/>
  <c r="E94" i="9"/>
  <c r="AL192" i="6"/>
  <c r="E141" i="4" s="1"/>
  <c r="E141" i="9"/>
  <c r="AU182" i="6"/>
  <c r="AN182" i="6" s="1"/>
  <c r="F131" i="9"/>
  <c r="AU128" i="6"/>
  <c r="F77" i="9"/>
  <c r="AU62" i="6"/>
  <c r="AN62" i="6" s="1"/>
  <c r="F11" i="9"/>
  <c r="AU112" i="6"/>
  <c r="F61" i="9"/>
  <c r="AU90" i="6"/>
  <c r="AN90" i="6" s="1"/>
  <c r="F39" i="9"/>
  <c r="AU65" i="6"/>
  <c r="F14" i="9"/>
  <c r="AU111" i="6"/>
  <c r="AN111" i="6" s="1"/>
  <c r="F60" i="9"/>
  <c r="AU114" i="6"/>
  <c r="F63" i="9"/>
  <c r="AU83" i="6"/>
  <c r="AN83" i="6" s="1"/>
  <c r="F32" i="9"/>
  <c r="AU126" i="6"/>
  <c r="F75" i="9"/>
  <c r="AU69" i="6"/>
  <c r="AN69" i="6" s="1"/>
  <c r="F18" i="9"/>
  <c r="AU131" i="6"/>
  <c r="F80" i="9"/>
  <c r="AU78" i="6"/>
  <c r="AN78" i="6" s="1"/>
  <c r="F27" i="9"/>
  <c r="AU97" i="6"/>
  <c r="AN97" i="6" s="1"/>
  <c r="F46" i="9"/>
  <c r="AU75" i="6"/>
  <c r="AN75" i="6" s="1"/>
  <c r="F24" i="9"/>
  <c r="AU146" i="6"/>
  <c r="F95" i="9"/>
  <c r="AU180" i="6"/>
  <c r="AN180" i="6" s="1"/>
  <c r="F129" i="9"/>
  <c r="AU160" i="6"/>
  <c r="F109" i="9"/>
  <c r="AU153" i="6"/>
  <c r="AN153" i="6" s="1"/>
  <c r="F102" i="9"/>
  <c r="V125" i="6"/>
  <c r="D74" i="4"/>
  <c r="V169" i="6"/>
  <c r="D118" i="4"/>
  <c r="V119" i="6"/>
  <c r="D68" i="4"/>
  <c r="V122" i="6"/>
  <c r="D71" i="4"/>
  <c r="V87" i="6"/>
  <c r="D36" i="4"/>
  <c r="V109" i="6"/>
  <c r="D58" i="4"/>
  <c r="V154" i="6"/>
  <c r="V126" i="6"/>
  <c r="V79" i="6"/>
  <c r="D28" i="4"/>
  <c r="V180" i="6"/>
  <c r="D129" i="4"/>
  <c r="V111" i="6"/>
  <c r="D60" i="4"/>
  <c r="AL132" i="6"/>
  <c r="E81" i="4" s="1"/>
  <c r="E81" i="9"/>
  <c r="AL158" i="6"/>
  <c r="E107" i="4" s="1"/>
  <c r="E107" i="9"/>
  <c r="AL130" i="6"/>
  <c r="E79" i="4" s="1"/>
  <c r="E79" i="9"/>
  <c r="AL64" i="6"/>
  <c r="E13" i="4" s="1"/>
  <c r="E13" i="9"/>
  <c r="AU132" i="6"/>
  <c r="F81" i="9"/>
  <c r="AU138" i="6"/>
  <c r="AN138" i="6" s="1"/>
  <c r="F87" i="9"/>
  <c r="AU186" i="6"/>
  <c r="F135" i="9"/>
  <c r="AU74" i="6"/>
  <c r="AN74" i="6" s="1"/>
  <c r="F23" i="9"/>
  <c r="AU198" i="6"/>
  <c r="F147" i="9"/>
  <c r="AU205" i="6"/>
  <c r="F154" i="9"/>
  <c r="AU104" i="6"/>
  <c r="F53" i="9"/>
  <c r="AU177" i="6"/>
  <c r="AN177" i="6" s="1"/>
  <c r="F126" i="9"/>
  <c r="AU127" i="6"/>
  <c r="F76" i="9"/>
  <c r="V101" i="6"/>
  <c r="D50" i="4"/>
  <c r="V196" i="6"/>
  <c r="D145" i="4"/>
  <c r="V144" i="6"/>
  <c r="D93" i="4"/>
  <c r="V164" i="6"/>
  <c r="D113" i="4"/>
  <c r="AL70" i="6"/>
  <c r="AL79" i="6"/>
  <c r="AL120" i="6"/>
  <c r="AL196" i="6"/>
  <c r="AL202" i="6"/>
  <c r="AL78" i="6"/>
  <c r="AL91" i="6"/>
  <c r="AL102" i="6"/>
  <c r="AL169" i="6"/>
  <c r="AL182" i="6"/>
  <c r="AL205" i="6"/>
  <c r="AL136" i="6"/>
  <c r="AL104" i="6"/>
  <c r="AL143" i="6"/>
  <c r="AL60" i="6"/>
  <c r="AL154" i="6"/>
  <c r="AL163" i="6"/>
  <c r="AL119" i="6"/>
  <c r="AL123" i="6"/>
  <c r="AL141" i="6"/>
  <c r="AL125" i="6"/>
  <c r="AL106" i="6"/>
  <c r="AL144" i="6"/>
  <c r="AL68" i="6"/>
  <c r="AL86" i="6"/>
  <c r="AL89" i="6"/>
  <c r="AL179" i="6"/>
  <c r="AL113" i="6"/>
  <c r="AL172" i="6"/>
  <c r="AL191" i="6"/>
  <c r="AL138" i="6"/>
  <c r="AL117" i="6"/>
  <c r="AL170" i="6"/>
  <c r="AL186" i="6"/>
  <c r="AL162" i="6"/>
  <c r="AL149" i="6"/>
  <c r="AL88" i="6"/>
  <c r="AL96" i="6"/>
  <c r="AL165" i="6"/>
  <c r="AL58" i="6"/>
  <c r="AL67" i="6"/>
  <c r="AL151" i="6"/>
  <c r="AL131" i="6"/>
  <c r="AL134" i="6"/>
  <c r="AL90" i="6"/>
  <c r="AL61" i="6"/>
  <c r="AL133" i="6"/>
  <c r="AL114" i="6"/>
  <c r="AL168" i="6"/>
  <c r="AL85" i="6"/>
  <c r="AL178" i="6"/>
  <c r="AL135" i="6"/>
  <c r="AL171" i="6"/>
  <c r="AL166" i="6"/>
  <c r="AL84" i="6"/>
  <c r="AL121" i="6"/>
  <c r="AL81" i="6"/>
  <c r="AL204" i="6"/>
  <c r="AL110" i="6"/>
  <c r="AL150" i="6"/>
  <c r="AL72" i="6"/>
  <c r="AL181" i="6"/>
  <c r="AL87" i="6"/>
  <c r="AL112" i="6"/>
  <c r="AL139" i="6"/>
  <c r="AL80" i="6"/>
  <c r="AL176" i="6"/>
  <c r="AL155" i="6"/>
  <c r="AL129" i="6"/>
  <c r="AL98" i="6"/>
  <c r="AL83" i="6"/>
  <c r="AL109" i="6"/>
  <c r="AL206" i="6"/>
  <c r="AL94" i="6"/>
  <c r="AL164" i="6"/>
  <c r="AL189" i="6"/>
  <c r="AL97" i="6"/>
  <c r="AL160" i="6"/>
  <c r="AL118" i="6"/>
  <c r="AL59" i="6"/>
  <c r="AL92" i="6"/>
  <c r="AU156" i="6"/>
  <c r="AU60" i="6"/>
  <c r="AE105" i="6" l="1"/>
  <c r="BB60" i="6"/>
  <c r="AE203" i="6"/>
  <c r="BB64" i="6"/>
  <c r="BB156" i="6"/>
  <c r="AE69" i="6"/>
  <c r="AE75" i="6"/>
  <c r="AE190" i="6"/>
  <c r="AE198" i="6"/>
  <c r="AE126" i="6"/>
  <c r="AE99" i="6"/>
  <c r="AE71" i="6"/>
  <c r="AE195" i="6"/>
  <c r="AE128" i="6"/>
  <c r="AE200" i="6"/>
  <c r="AE122" i="6"/>
  <c r="AE161" i="6"/>
  <c r="AE100" i="6"/>
  <c r="AE124" i="6"/>
  <c r="AE140" i="6"/>
  <c r="AE156" i="6"/>
  <c r="AE148" i="6"/>
  <c r="AE185" i="6"/>
  <c r="AE116" i="6"/>
  <c r="AE137" i="6"/>
  <c r="AE62" i="6"/>
  <c r="AE197" i="6"/>
  <c r="AE142" i="6"/>
  <c r="AE107" i="6"/>
  <c r="AE153" i="6"/>
  <c r="AE95" i="6"/>
  <c r="AE194" i="6"/>
  <c r="AE127" i="6"/>
  <c r="AE188" i="6"/>
  <c r="AE73" i="6"/>
  <c r="AE184" i="6"/>
  <c r="AE187" i="6"/>
  <c r="AE77" i="6"/>
  <c r="AE146" i="6"/>
  <c r="AE157" i="6"/>
  <c r="AE103" i="6"/>
  <c r="AE174" i="6"/>
  <c r="AE167" i="6"/>
  <c r="AE199" i="6"/>
  <c r="AE177" i="6"/>
  <c r="AE82" i="6"/>
  <c r="AE76" i="6"/>
  <c r="AE111" i="6"/>
  <c r="AE65" i="6"/>
  <c r="AE66" i="6"/>
  <c r="AE63" i="6"/>
  <c r="AE201" i="6"/>
  <c r="AE183" i="6"/>
  <c r="AE108" i="6"/>
  <c r="AE64" i="6"/>
  <c r="AE93" i="6"/>
  <c r="AE173" i="6"/>
  <c r="AE145" i="6"/>
  <c r="AE101" i="6"/>
  <c r="F58" i="4"/>
  <c r="BB109" i="6"/>
  <c r="F118" i="4"/>
  <c r="BB169" i="6"/>
  <c r="F28" i="4"/>
  <c r="BB79" i="6"/>
  <c r="F148" i="4"/>
  <c r="BB199" i="6"/>
  <c r="F153" i="4"/>
  <c r="BB204" i="6"/>
  <c r="F69" i="4"/>
  <c r="BB120" i="6"/>
  <c r="F22" i="4"/>
  <c r="BB73" i="6"/>
  <c r="F110" i="4"/>
  <c r="BB161" i="6"/>
  <c r="F36" i="4"/>
  <c r="BB87" i="6"/>
  <c r="F19" i="4"/>
  <c r="BB70" i="6"/>
  <c r="F50" i="4"/>
  <c r="BB101" i="6"/>
  <c r="F74" i="4"/>
  <c r="BB125" i="6"/>
  <c r="F57" i="4"/>
  <c r="BB108" i="6"/>
  <c r="F51" i="4"/>
  <c r="BB102" i="6"/>
  <c r="F56" i="4"/>
  <c r="BB107" i="6"/>
  <c r="F72" i="4"/>
  <c r="BB123" i="6"/>
  <c r="F93" i="4"/>
  <c r="BB144" i="6"/>
  <c r="F8" i="4"/>
  <c r="BB59" i="6"/>
  <c r="F76" i="4"/>
  <c r="BB127" i="6"/>
  <c r="F147" i="4"/>
  <c r="BB198" i="6"/>
  <c r="F81" i="4"/>
  <c r="BB132" i="6"/>
  <c r="F109" i="4"/>
  <c r="BB160" i="6"/>
  <c r="F46" i="4"/>
  <c r="BB97" i="6"/>
  <c r="F75" i="4"/>
  <c r="BB126" i="6"/>
  <c r="F14" i="4"/>
  <c r="BB65" i="6"/>
  <c r="F77" i="4"/>
  <c r="BB128" i="6"/>
  <c r="F97" i="4"/>
  <c r="BB148" i="6"/>
  <c r="F125" i="4"/>
  <c r="BB176" i="6"/>
  <c r="F134" i="4"/>
  <c r="BB185" i="6"/>
  <c r="F133" i="4"/>
  <c r="BB184" i="6"/>
  <c r="F138" i="4"/>
  <c r="BB189" i="6"/>
  <c r="F116" i="4"/>
  <c r="BB167" i="6"/>
  <c r="F150" i="4"/>
  <c r="BB201" i="6"/>
  <c r="F17" i="4"/>
  <c r="BB68" i="6"/>
  <c r="F26" i="4"/>
  <c r="BB77" i="6"/>
  <c r="F43" i="4"/>
  <c r="BB94" i="6"/>
  <c r="F137" i="4"/>
  <c r="BB188" i="6"/>
  <c r="F67" i="4"/>
  <c r="BB118" i="6"/>
  <c r="F151" i="4"/>
  <c r="BB202" i="6"/>
  <c r="F20" i="4"/>
  <c r="BB71" i="6"/>
  <c r="F29" i="4"/>
  <c r="BB80" i="6"/>
  <c r="F100" i="4"/>
  <c r="BB151" i="6"/>
  <c r="F54" i="4"/>
  <c r="BB105" i="6"/>
  <c r="F152" i="4"/>
  <c r="BB203" i="6"/>
  <c r="F144" i="4"/>
  <c r="BB195" i="6"/>
  <c r="F106" i="4"/>
  <c r="BB157" i="6"/>
  <c r="F111" i="4"/>
  <c r="BB162" i="6"/>
  <c r="F145" i="4"/>
  <c r="BB196" i="6"/>
  <c r="F112" i="4"/>
  <c r="BB163" i="6"/>
  <c r="F49" i="4"/>
  <c r="BB100" i="6"/>
  <c r="F64" i="4"/>
  <c r="BB115" i="6"/>
  <c r="F25" i="4"/>
  <c r="BB76" i="6"/>
  <c r="F41" i="4"/>
  <c r="BB92" i="6"/>
  <c r="F88" i="4"/>
  <c r="BB139" i="6"/>
  <c r="F33" i="4"/>
  <c r="BB84" i="6"/>
  <c r="F119" i="4"/>
  <c r="BB170" i="6"/>
  <c r="F59" i="4"/>
  <c r="BB110" i="6"/>
  <c r="F126" i="4"/>
  <c r="BB177" i="6"/>
  <c r="F23" i="4"/>
  <c r="BB74" i="6"/>
  <c r="F129" i="4"/>
  <c r="BB180" i="6"/>
  <c r="F27" i="4"/>
  <c r="BB78" i="6"/>
  <c r="F32" i="4"/>
  <c r="BB83" i="6"/>
  <c r="F39" i="4"/>
  <c r="BB90" i="6"/>
  <c r="F131" i="4"/>
  <c r="BB182" i="6"/>
  <c r="F7" i="4"/>
  <c r="BB58" i="6"/>
  <c r="F142" i="4"/>
  <c r="BB193" i="6"/>
  <c r="F113" i="4"/>
  <c r="BB164" i="6"/>
  <c r="F132" i="4"/>
  <c r="BB183" i="6"/>
  <c r="F65" i="4"/>
  <c r="BB116" i="6"/>
  <c r="F68" i="4"/>
  <c r="BB119" i="6"/>
  <c r="F96" i="4"/>
  <c r="BB147" i="6"/>
  <c r="F108" i="4"/>
  <c r="BB159" i="6"/>
  <c r="F103" i="4"/>
  <c r="BB154" i="6"/>
  <c r="F73" i="4"/>
  <c r="BB124" i="6"/>
  <c r="F30" i="4"/>
  <c r="BB81" i="6"/>
  <c r="F37" i="4"/>
  <c r="BB88" i="6"/>
  <c r="F121" i="4"/>
  <c r="BB172" i="6"/>
  <c r="F85" i="4"/>
  <c r="BB136" i="6"/>
  <c r="F155" i="4"/>
  <c r="BB206" i="6"/>
  <c r="F47" i="4"/>
  <c r="BB98" i="6"/>
  <c r="F92" i="4"/>
  <c r="BB143" i="6"/>
  <c r="F140" i="4"/>
  <c r="BB191" i="6"/>
  <c r="F94" i="4"/>
  <c r="BB145" i="6"/>
  <c r="F71" i="4"/>
  <c r="BB122" i="6"/>
  <c r="F45" i="4"/>
  <c r="BB96" i="6"/>
  <c r="F21" i="4"/>
  <c r="BB72" i="6"/>
  <c r="F70" i="4"/>
  <c r="BB121" i="6"/>
  <c r="F34" i="4"/>
  <c r="BB85" i="6"/>
  <c r="F79" i="4"/>
  <c r="BB130" i="6"/>
  <c r="F101" i="4"/>
  <c r="BB152" i="6"/>
  <c r="F98" i="4"/>
  <c r="BB149" i="6"/>
  <c r="F89" i="4"/>
  <c r="BB140" i="6"/>
  <c r="F130" i="4"/>
  <c r="BB181" i="6"/>
  <c r="F53" i="4"/>
  <c r="BB104" i="6"/>
  <c r="F135" i="4"/>
  <c r="BB186" i="6"/>
  <c r="F95" i="4"/>
  <c r="BB146" i="6"/>
  <c r="F80" i="4"/>
  <c r="BB131" i="6"/>
  <c r="F63" i="4"/>
  <c r="BB114" i="6"/>
  <c r="F61" i="4"/>
  <c r="BB112" i="6"/>
  <c r="F12" i="4"/>
  <c r="BB63" i="6"/>
  <c r="F124" i="4"/>
  <c r="BB175" i="6"/>
  <c r="F99" i="4"/>
  <c r="BB150" i="6"/>
  <c r="F127" i="4"/>
  <c r="BB178" i="6"/>
  <c r="F52" i="4"/>
  <c r="BB103" i="6"/>
  <c r="F48" i="4"/>
  <c r="BB99" i="6"/>
  <c r="F146" i="4"/>
  <c r="BB197" i="6"/>
  <c r="F90" i="4"/>
  <c r="BB141" i="6"/>
  <c r="F62" i="4"/>
  <c r="BB113" i="6"/>
  <c r="F104" i="4"/>
  <c r="BB155" i="6"/>
  <c r="F78" i="4"/>
  <c r="BB129" i="6"/>
  <c r="F10" i="4"/>
  <c r="BB61" i="6"/>
  <c r="F82" i="4"/>
  <c r="BB133" i="6"/>
  <c r="F44" i="4"/>
  <c r="BB95" i="6"/>
  <c r="F91" i="4"/>
  <c r="BB142" i="6"/>
  <c r="F136" i="4"/>
  <c r="BB187" i="6"/>
  <c r="F84" i="4"/>
  <c r="BB135" i="6"/>
  <c r="F31" i="4"/>
  <c r="BB82" i="6"/>
  <c r="F83" i="4"/>
  <c r="BB134" i="6"/>
  <c r="F15" i="4"/>
  <c r="BB66" i="6"/>
  <c r="F42" i="4"/>
  <c r="BB93" i="6"/>
  <c r="F120" i="4"/>
  <c r="BB171" i="6"/>
  <c r="F35" i="4"/>
  <c r="BB86" i="6"/>
  <c r="F143" i="4"/>
  <c r="BB194" i="6"/>
  <c r="F107" i="4"/>
  <c r="BB158" i="6"/>
  <c r="F66" i="4"/>
  <c r="BB117" i="6"/>
  <c r="F55" i="4"/>
  <c r="BB106" i="6"/>
  <c r="F149" i="4"/>
  <c r="BB200" i="6"/>
  <c r="F16" i="4"/>
  <c r="BB67" i="6"/>
  <c r="F154" i="4"/>
  <c r="BB205" i="6"/>
  <c r="F87" i="4"/>
  <c r="BB138" i="6"/>
  <c r="F102" i="4"/>
  <c r="BB153" i="6"/>
  <c r="F24" i="4"/>
  <c r="BB75" i="6"/>
  <c r="F18" i="4"/>
  <c r="BB69" i="6"/>
  <c r="F60" i="4"/>
  <c r="BB111" i="6"/>
  <c r="F11" i="4"/>
  <c r="BB62" i="6"/>
  <c r="F40" i="4"/>
  <c r="BB91" i="6"/>
  <c r="F123" i="4"/>
  <c r="BB174" i="6"/>
  <c r="F114" i="4"/>
  <c r="BB165" i="6"/>
  <c r="F115" i="4"/>
  <c r="BB166" i="6"/>
  <c r="F38" i="4"/>
  <c r="BB89" i="6"/>
  <c r="F86" i="4"/>
  <c r="BB137" i="6"/>
  <c r="F141" i="4"/>
  <c r="BB192" i="6"/>
  <c r="F117" i="4"/>
  <c r="BB168" i="6"/>
  <c r="F122" i="4"/>
  <c r="BB173" i="6"/>
  <c r="F6" i="4"/>
  <c r="BB57" i="6"/>
  <c r="F128" i="4"/>
  <c r="BB179" i="6"/>
  <c r="AN190" i="6"/>
  <c r="BB190" i="6"/>
  <c r="AN129" i="6"/>
  <c r="AN103" i="6"/>
  <c r="AN131" i="6"/>
  <c r="AN146" i="6"/>
  <c r="AE180" i="6"/>
  <c r="AE192" i="6"/>
  <c r="AN114" i="6"/>
  <c r="AN141" i="6"/>
  <c r="AN113" i="6"/>
  <c r="AE57" i="6"/>
  <c r="AN104" i="6"/>
  <c r="AN175" i="6"/>
  <c r="AN150" i="6"/>
  <c r="AN112" i="6"/>
  <c r="AE130" i="6"/>
  <c r="AN178" i="6"/>
  <c r="AN186" i="6"/>
  <c r="AE147" i="6"/>
  <c r="AE193" i="6"/>
  <c r="AN63" i="6"/>
  <c r="AE152" i="6"/>
  <c r="AE115" i="6"/>
  <c r="AE175" i="6"/>
  <c r="AN184" i="6"/>
  <c r="AN132" i="6"/>
  <c r="AN160" i="6"/>
  <c r="F139" i="4"/>
  <c r="AN176" i="6"/>
  <c r="AN126" i="6"/>
  <c r="AN189" i="6"/>
  <c r="AE74" i="6"/>
  <c r="AN185" i="6"/>
  <c r="AN128" i="6"/>
  <c r="AE132" i="6"/>
  <c r="AN148" i="6"/>
  <c r="AN65" i="6"/>
  <c r="AN205" i="6"/>
  <c r="AE158" i="6"/>
  <c r="AE118" i="6"/>
  <c r="E67" i="4"/>
  <c r="AE113" i="6"/>
  <c r="E62" i="4"/>
  <c r="AE160" i="6"/>
  <c r="E109" i="4"/>
  <c r="AE114" i="6"/>
  <c r="E63" i="4"/>
  <c r="AE123" i="6"/>
  <c r="E72" i="4"/>
  <c r="AE182" i="6"/>
  <c r="E131" i="4"/>
  <c r="AN60" i="6"/>
  <c r="F9" i="4"/>
  <c r="AE97" i="6"/>
  <c r="E46" i="4"/>
  <c r="AE129" i="6"/>
  <c r="E78" i="4"/>
  <c r="AE181" i="6"/>
  <c r="E130" i="4"/>
  <c r="AE166" i="6"/>
  <c r="E115" i="4"/>
  <c r="AE133" i="6"/>
  <c r="E82" i="4"/>
  <c r="AE165" i="6"/>
  <c r="E114" i="4"/>
  <c r="AE89" i="6"/>
  <c r="E38" i="4"/>
  <c r="AE119" i="6"/>
  <c r="E68" i="4"/>
  <c r="AE169" i="6"/>
  <c r="E118" i="4"/>
  <c r="AE120" i="6"/>
  <c r="E69" i="4"/>
  <c r="AE189" i="6"/>
  <c r="E138" i="4"/>
  <c r="AE155" i="6"/>
  <c r="E104" i="4"/>
  <c r="AE72" i="6"/>
  <c r="E21" i="4"/>
  <c r="AE171" i="6"/>
  <c r="E120" i="4"/>
  <c r="AE61" i="6"/>
  <c r="E10" i="4"/>
  <c r="AE96" i="6"/>
  <c r="E45" i="4"/>
  <c r="AE170" i="6"/>
  <c r="E119" i="4"/>
  <c r="AE86" i="6"/>
  <c r="E35" i="4"/>
  <c r="AE163" i="6"/>
  <c r="E112" i="4"/>
  <c r="AE79" i="6"/>
  <c r="E28" i="4"/>
  <c r="AE117" i="6"/>
  <c r="E66" i="4"/>
  <c r="AE154" i="6"/>
  <c r="E103" i="4"/>
  <c r="AE70" i="6"/>
  <c r="E19" i="4"/>
  <c r="AE176" i="6"/>
  <c r="E125" i="4"/>
  <c r="AE150" i="6"/>
  <c r="E99" i="4"/>
  <c r="AE90" i="6"/>
  <c r="E39" i="4"/>
  <c r="AE68" i="6"/>
  <c r="E17" i="4"/>
  <c r="AN156" i="6"/>
  <c r="F105" i="4"/>
  <c r="AE80" i="6"/>
  <c r="E29" i="4"/>
  <c r="AE149" i="6"/>
  <c r="E98" i="4"/>
  <c r="AE144" i="6"/>
  <c r="E93" i="4"/>
  <c r="AE102" i="6"/>
  <c r="E51" i="4"/>
  <c r="AE164" i="6"/>
  <c r="E113" i="4"/>
  <c r="AE135" i="6"/>
  <c r="E84" i="4"/>
  <c r="AE88" i="6"/>
  <c r="E37" i="4"/>
  <c r="AE94" i="6"/>
  <c r="E43" i="4"/>
  <c r="AE110" i="6"/>
  <c r="E59" i="4"/>
  <c r="AE178" i="6"/>
  <c r="E127" i="4"/>
  <c r="AE134" i="6"/>
  <c r="E83" i="4"/>
  <c r="AE138" i="6"/>
  <c r="E87" i="4"/>
  <c r="AE60" i="6"/>
  <c r="E9" i="4"/>
  <c r="AN198" i="6"/>
  <c r="AN127" i="6"/>
  <c r="AE92" i="6"/>
  <c r="E41" i="4"/>
  <c r="AE206" i="6"/>
  <c r="E155" i="4"/>
  <c r="AE139" i="6"/>
  <c r="E88" i="4"/>
  <c r="AE204" i="6"/>
  <c r="E153" i="4"/>
  <c r="AE131" i="6"/>
  <c r="E80" i="4"/>
  <c r="AE162" i="6"/>
  <c r="E111" i="4"/>
  <c r="AE191" i="6"/>
  <c r="E140" i="4"/>
  <c r="AE106" i="6"/>
  <c r="E55" i="4"/>
  <c r="AE143" i="6"/>
  <c r="E92" i="4"/>
  <c r="AE91" i="6"/>
  <c r="E40" i="4"/>
  <c r="AN64" i="6"/>
  <c r="F13" i="4"/>
  <c r="AE159" i="6"/>
  <c r="E108" i="4"/>
  <c r="AE59" i="6"/>
  <c r="E8" i="4"/>
  <c r="AE109" i="6"/>
  <c r="E58" i="4"/>
  <c r="AE112" i="6"/>
  <c r="E61" i="4"/>
  <c r="AE81" i="6"/>
  <c r="E30" i="4"/>
  <c r="AE85" i="6"/>
  <c r="E34" i="4"/>
  <c r="AE151" i="6"/>
  <c r="E100" i="4"/>
  <c r="AE186" i="6"/>
  <c r="E135" i="4"/>
  <c r="AE172" i="6"/>
  <c r="E121" i="4"/>
  <c r="AE125" i="6"/>
  <c r="E74" i="4"/>
  <c r="AE104" i="6"/>
  <c r="E53" i="4"/>
  <c r="AE136" i="6"/>
  <c r="E85" i="4"/>
  <c r="AE78" i="6"/>
  <c r="E27" i="4"/>
  <c r="AE87" i="6"/>
  <c r="E36" i="4"/>
  <c r="AE121" i="6"/>
  <c r="E70" i="4"/>
  <c r="AE67" i="6"/>
  <c r="E16" i="4"/>
  <c r="AE205" i="6"/>
  <c r="E154" i="4"/>
  <c r="AE202" i="6"/>
  <c r="E151" i="4"/>
  <c r="AE83" i="6"/>
  <c r="E32" i="4"/>
  <c r="AE168" i="6"/>
  <c r="E117" i="4"/>
  <c r="AE141" i="6"/>
  <c r="E90" i="4"/>
  <c r="AE98" i="6"/>
  <c r="E47" i="4"/>
  <c r="AE84" i="6"/>
  <c r="E33" i="4"/>
  <c r="AE58" i="6"/>
  <c r="E7" i="4"/>
  <c r="AE179" i="6"/>
  <c r="E128" i="4"/>
  <c r="AE196" i="6"/>
  <c r="E145" i="4"/>
</calcChain>
</file>

<file path=xl/sharedStrings.xml><?xml version="1.0" encoding="utf-8"?>
<sst xmlns="http://schemas.openxmlformats.org/spreadsheetml/2006/main" count="222" uniqueCount="119">
  <si>
    <t>#</t>
  </si>
  <si>
    <t>[km/h/s]</t>
  </si>
  <si>
    <t>1N</t>
    <phoneticPr fontId="3"/>
  </si>
  <si>
    <t>5N</t>
    <phoneticPr fontId="3"/>
  </si>
  <si>
    <t>[km/h]</t>
    <phoneticPr fontId="3"/>
  </si>
  <si>
    <t>[A]</t>
    <phoneticPr fontId="3"/>
  </si>
  <si>
    <t>[-]</t>
    <phoneticPr fontId="3"/>
  </si>
  <si>
    <t>[N]</t>
    <phoneticPr fontId="3"/>
  </si>
  <si>
    <t>加速度</t>
    <rPh sb="0" eb="3">
      <t>カソクド</t>
    </rPh>
    <phoneticPr fontId="3"/>
  </si>
  <si>
    <t>車両・編成情報</t>
    <rPh sb="0" eb="2">
      <t>シャリョウ</t>
    </rPh>
    <rPh sb="3" eb="5">
      <t>ヘンセイ</t>
    </rPh>
    <rPh sb="5" eb="7">
      <t>ジョウホウ</t>
    </rPh>
    <phoneticPr fontId="9"/>
  </si>
  <si>
    <t>号車</t>
    <rPh sb="0" eb="2">
      <t>ゴウシャ</t>
    </rPh>
    <phoneticPr fontId="9"/>
  </si>
  <si>
    <t>T</t>
    <phoneticPr fontId="9"/>
  </si>
  <si>
    <t>M</t>
    <phoneticPr fontId="9"/>
  </si>
  <si>
    <t>定員</t>
    <rPh sb="0" eb="2">
      <t>テイイン</t>
    </rPh>
    <phoneticPr fontId="9"/>
  </si>
  <si>
    <t>質量</t>
    <rPh sb="0" eb="2">
      <t>シツリョウ</t>
    </rPh>
    <phoneticPr fontId="9"/>
  </si>
  <si>
    <t>車種</t>
    <rPh sb="0" eb="2">
      <t>シャシュ</t>
    </rPh>
    <phoneticPr fontId="9"/>
  </si>
  <si>
    <t>編成</t>
    <rPh sb="0" eb="2">
      <t>ヘンセイ</t>
    </rPh>
    <phoneticPr fontId="9"/>
  </si>
  <si>
    <t>最大乗車率</t>
    <rPh sb="0" eb="2">
      <t>サイダイ</t>
    </rPh>
    <rPh sb="2" eb="5">
      <t>ジョウシャリツ</t>
    </rPh>
    <phoneticPr fontId="9"/>
  </si>
  <si>
    <t>人の質量[kg]</t>
    <rPh sb="0" eb="1">
      <t>ヒト</t>
    </rPh>
    <rPh sb="2" eb="4">
      <t>シツリョウ</t>
    </rPh>
    <phoneticPr fontId="9"/>
  </si>
  <si>
    <t>[人]</t>
    <rPh sb="1" eb="2">
      <t>ニン</t>
    </rPh>
    <phoneticPr fontId="9"/>
  </si>
  <si>
    <t>[t]</t>
    <phoneticPr fontId="9"/>
  </si>
  <si>
    <t>車両パラメーターファイル 入力用</t>
    <rPh sb="0" eb="2">
      <t>シャリョウ</t>
    </rPh>
    <rPh sb="13" eb="16">
      <t>ニュウリョクヨウ</t>
    </rPh>
    <phoneticPr fontId="9"/>
  </si>
  <si>
    <t>[Dynamics]</t>
    <phoneticPr fontId="9"/>
  </si>
  <si>
    <t>MotorcarWeight</t>
  </si>
  <si>
    <t>TrailerWeight</t>
  </si>
  <si>
    <t>MotorcarCount</t>
  </si>
  <si>
    <t>TrailerCount</t>
  </si>
  <si>
    <t>※その他の設定項目は適宜記入のこと</t>
    <rPh sb="3" eb="4">
      <t>タ</t>
    </rPh>
    <rPh sb="5" eb="7">
      <t>セッテイ</t>
    </rPh>
    <rPh sb="7" eb="9">
      <t>コウモク</t>
    </rPh>
    <rPh sb="10" eb="12">
      <t>テキギ</t>
    </rPh>
    <rPh sb="12" eb="14">
      <t>キニュウ</t>
    </rPh>
    <phoneticPr fontId="9"/>
  </si>
  <si>
    <t>[Passengers]</t>
    <phoneticPr fontId="9"/>
  </si>
  <si>
    <t>Capacity</t>
    <phoneticPr fontId="9"/>
  </si>
  <si>
    <t>BodyWeight</t>
    <phoneticPr fontId="9"/>
  </si>
  <si>
    <t>計算用</t>
    <rPh sb="0" eb="2">
      <t>ケイサン</t>
    </rPh>
    <rPh sb="2" eb="3">
      <t>ヨウ</t>
    </rPh>
    <phoneticPr fontId="9"/>
  </si>
  <si>
    <t>上限速度</t>
    <rPh sb="0" eb="2">
      <t>ジョウゲン</t>
    </rPh>
    <rPh sb="2" eb="4">
      <t>ソクド</t>
    </rPh>
    <phoneticPr fontId="3"/>
  </si>
  <si>
    <t>比例係数</t>
    <rPh sb="0" eb="2">
      <t>ヒレイ</t>
    </rPh>
    <rPh sb="2" eb="4">
      <t>ケイスウ</t>
    </rPh>
    <phoneticPr fontId="3"/>
  </si>
  <si>
    <t>計算領域</t>
    <rPh sb="0" eb="2">
      <t>ケイサン</t>
    </rPh>
    <rPh sb="2" eb="4">
      <t>リョウイキ</t>
    </rPh>
    <phoneticPr fontId="3"/>
  </si>
  <si>
    <t>BreakerDelay_On</t>
  </si>
  <si>
    <t>BreakerDelay_Off</t>
  </si>
  <si>
    <t>CurrentReducingTime</t>
  </si>
  <si>
    <t>JerkRegulation_Up</t>
  </si>
  <si>
    <t>JerkRegulation_Down</t>
  </si>
  <si>
    <t>RequiredNotch_Up</t>
  </si>
  <si>
    <t>RequiredNotch_Down</t>
  </si>
  <si>
    <t>Stepdelay_Up</t>
  </si>
  <si>
    <t>Stepdelay_Down</t>
  </si>
  <si>
    <t>CurrentLimitingValue_Empty</t>
  </si>
  <si>
    <t>CurrentLimitingValue_Full</t>
  </si>
  <si>
    <t>走行抵抗</t>
    <rPh sb="0" eb="2">
      <t>ソウコウ</t>
    </rPh>
    <rPh sb="2" eb="4">
      <t>テイコウ</t>
    </rPh>
    <phoneticPr fontId="3"/>
  </si>
  <si>
    <t>a</t>
    <phoneticPr fontId="9"/>
  </si>
  <si>
    <t>b</t>
    <phoneticPr fontId="9"/>
  </si>
  <si>
    <t>c</t>
    <phoneticPr fontId="9"/>
  </si>
  <si>
    <t>走行抵抗係数</t>
    <rPh sb="0" eb="2">
      <t>ソウコウ</t>
    </rPh>
    <rPh sb="2" eb="4">
      <t>テイコウ</t>
    </rPh>
    <rPh sb="4" eb="6">
      <t>ケイスウ</t>
    </rPh>
    <phoneticPr fontId="9"/>
  </si>
  <si>
    <t>使用方法:黄色のセルに必要事項を記入</t>
    <rPh sb="0" eb="2">
      <t>シヨウ</t>
    </rPh>
    <rPh sb="2" eb="4">
      <t>ホウホウ</t>
    </rPh>
    <rPh sb="5" eb="7">
      <t>キイロ</t>
    </rPh>
    <rPh sb="11" eb="13">
      <t>ヒツヨウ</t>
    </rPh>
    <rPh sb="13" eb="15">
      <t>ジコウ</t>
    </rPh>
    <rPh sb="16" eb="18">
      <t>キニュウ</t>
    </rPh>
    <phoneticPr fontId="9"/>
  </si>
  <si>
    <t>M車慣性係数</t>
    <rPh sb="1" eb="2">
      <t>シャ</t>
    </rPh>
    <rPh sb="2" eb="4">
      <t>カンセイ</t>
    </rPh>
    <rPh sb="4" eb="6">
      <t>ケイスウ</t>
    </rPh>
    <phoneticPr fontId="9"/>
  </si>
  <si>
    <t>T車慣性係数</t>
    <rPh sb="1" eb="2">
      <t>シャ</t>
    </rPh>
    <rPh sb="2" eb="4">
      <t>カンセイ</t>
    </rPh>
    <rPh sb="4" eb="6">
      <t>ケイスウ</t>
    </rPh>
    <phoneticPr fontId="9"/>
  </si>
  <si>
    <t>TrailerInertiaFactor</t>
    <phoneticPr fontId="9"/>
  </si>
  <si>
    <t>MotorcarInertiaFactor</t>
    <phoneticPr fontId="9"/>
  </si>
  <si>
    <t>慣性重量(空)</t>
    <rPh sb="0" eb="2">
      <t>カンセイ</t>
    </rPh>
    <rPh sb="2" eb="4">
      <t>ジュウリョウ</t>
    </rPh>
    <rPh sb="5" eb="6">
      <t>クウ</t>
    </rPh>
    <phoneticPr fontId="9"/>
  </si>
  <si>
    <t>慣性重量(積)</t>
    <rPh sb="0" eb="2">
      <t>カンセイ</t>
    </rPh>
    <rPh sb="2" eb="4">
      <t>ジュウリョウ</t>
    </rPh>
    <rPh sb="5" eb="6">
      <t>セキ</t>
    </rPh>
    <phoneticPr fontId="9"/>
  </si>
  <si>
    <t>質量(空車)</t>
    <rPh sb="0" eb="2">
      <t>シツリョウ</t>
    </rPh>
    <rPh sb="3" eb="5">
      <t>クウシャ</t>
    </rPh>
    <phoneticPr fontId="9"/>
  </si>
  <si>
    <t>計</t>
    <rPh sb="0" eb="1">
      <t>ケイ</t>
    </rPh>
    <phoneticPr fontId="9"/>
  </si>
  <si>
    <t>質量(積車)</t>
    <rPh sb="0" eb="2">
      <t>シツリョウ</t>
    </rPh>
    <rPh sb="3" eb="5">
      <t>セキシャ</t>
    </rPh>
    <phoneticPr fontId="9"/>
  </si>
  <si>
    <t>/1M車</t>
    <rPh sb="3" eb="4">
      <t>シャ</t>
    </rPh>
    <phoneticPr fontId="9"/>
  </si>
  <si>
    <t>応荷重制御を行う最大の乗車率</t>
    <rPh sb="0" eb="1">
      <t>オウ</t>
    </rPh>
    <rPh sb="1" eb="3">
      <t>カジュウ</t>
    </rPh>
    <rPh sb="3" eb="5">
      <t>セイギョ</t>
    </rPh>
    <rPh sb="6" eb="7">
      <t>オコナ</t>
    </rPh>
    <rPh sb="8" eb="10">
      <t>サイダイ</t>
    </rPh>
    <rPh sb="11" eb="14">
      <t>ジョウシャリツ</t>
    </rPh>
    <phoneticPr fontId="9"/>
  </si>
  <si>
    <t>要マクロ有効化</t>
    <rPh sb="0" eb="1">
      <t>ヨウ</t>
    </rPh>
    <rPh sb="4" eb="6">
      <t>ユウコウ</t>
    </rPh>
    <rPh sb="6" eb="7">
      <t>カ</t>
    </rPh>
    <phoneticPr fontId="3"/>
  </si>
  <si>
    <t>BveTs Vehicle Performance Table 1.00</t>
    <phoneticPr fontId="1"/>
  </si>
  <si>
    <t>T</t>
  </si>
  <si>
    <t>M</t>
  </si>
  <si>
    <t>トルク（空車）</t>
    <rPh sb="4" eb="6">
      <t>クウシャ</t>
    </rPh>
    <phoneticPr fontId="3"/>
  </si>
  <si>
    <t>最大すべり</t>
    <rPh sb="0" eb="2">
      <t>サイダイ</t>
    </rPh>
    <phoneticPr fontId="3"/>
  </si>
  <si>
    <t>空車</t>
    <rPh sb="0" eb="2">
      <t>クウシャ</t>
    </rPh>
    <phoneticPr fontId="3"/>
  </si>
  <si>
    <t>M</t>
    <phoneticPr fontId="9"/>
  </si>
  <si>
    <t>モーター電流（空車）</t>
    <rPh sb="4" eb="6">
      <t>デンリュウ</t>
    </rPh>
    <phoneticPr fontId="3"/>
  </si>
  <si>
    <t>積車</t>
    <rPh sb="0" eb="2">
      <t>セキシャ</t>
    </rPh>
    <phoneticPr fontId="3"/>
  </si>
  <si>
    <t>空車トルク</t>
    <rPh sb="0" eb="2">
      <t>クウシャ</t>
    </rPh>
    <phoneticPr fontId="3"/>
  </si>
  <si>
    <t>積車トルク</t>
    <rPh sb="0" eb="2">
      <t>セキシャ</t>
    </rPh>
    <phoneticPr fontId="3"/>
  </si>
  <si>
    <t>空車電流</t>
    <rPh sb="1" eb="2">
      <t>シャ</t>
    </rPh>
    <rPh sb="2" eb="4">
      <t>デンリュウ</t>
    </rPh>
    <phoneticPr fontId="3"/>
  </si>
  <si>
    <t>積車電流</t>
    <rPh sb="1" eb="2">
      <t>シャ</t>
    </rPh>
    <rPh sb="2" eb="4">
      <t>デンリュウ</t>
    </rPh>
    <phoneticPr fontId="3"/>
  </si>
  <si>
    <t>空車定出力</t>
    <rPh sb="2" eb="3">
      <t>テイ</t>
    </rPh>
    <rPh sb="3" eb="5">
      <t>シュツリョク</t>
    </rPh>
    <phoneticPr fontId="3"/>
  </si>
  <si>
    <t>積車定出力</t>
    <rPh sb="2" eb="3">
      <t>テイ</t>
    </rPh>
    <rPh sb="3" eb="5">
      <t>シュツリョク</t>
    </rPh>
    <phoneticPr fontId="3"/>
  </si>
  <si>
    <t>4N</t>
    <phoneticPr fontId="3"/>
  </si>
  <si>
    <t>3N</t>
    <phoneticPr fontId="3"/>
  </si>
  <si>
    <t>2N</t>
    <phoneticPr fontId="3"/>
  </si>
  <si>
    <t>#</t>
    <phoneticPr fontId="1"/>
  </si>
  <si>
    <t>加(空)</t>
    <rPh sb="0" eb="1">
      <t>カ</t>
    </rPh>
    <rPh sb="2" eb="3">
      <t>ソラ</t>
    </rPh>
    <phoneticPr fontId="3"/>
  </si>
  <si>
    <t>加(積)</t>
    <rPh sb="0" eb="1">
      <t>カ</t>
    </rPh>
    <rPh sb="2" eb="3">
      <t>セキ</t>
    </rPh>
    <phoneticPr fontId="3"/>
  </si>
  <si>
    <t>p1f</t>
    <phoneticPr fontId="3"/>
  </si>
  <si>
    <t>p1fmax</t>
    <phoneticPr fontId="3"/>
  </si>
  <si>
    <t>p2f</t>
    <phoneticPr fontId="3"/>
  </si>
  <si>
    <t>p2fmax</t>
    <phoneticPr fontId="3"/>
  </si>
  <si>
    <t>p3f</t>
    <phoneticPr fontId="3"/>
  </si>
  <si>
    <t>p3fmax</t>
    <phoneticPr fontId="3"/>
  </si>
  <si>
    <t>p4f</t>
    <phoneticPr fontId="3"/>
  </si>
  <si>
    <t>p4fmax</t>
    <phoneticPr fontId="3"/>
  </si>
  <si>
    <t>p5f</t>
    <phoneticPr fontId="3"/>
  </si>
  <si>
    <t>p5fmax</t>
    <phoneticPr fontId="3"/>
  </si>
  <si>
    <t>p5c</t>
    <phoneticPr fontId="3"/>
  </si>
  <si>
    <t>p5cmax</t>
    <phoneticPr fontId="3"/>
  </si>
  <si>
    <t>p4c</t>
    <phoneticPr fontId="3"/>
  </si>
  <si>
    <t>p4cmax</t>
    <phoneticPr fontId="3"/>
  </si>
  <si>
    <t>p1c</t>
    <phoneticPr fontId="3"/>
  </si>
  <si>
    <t>p1cmax</t>
    <phoneticPr fontId="3"/>
  </si>
  <si>
    <t>p2c</t>
    <phoneticPr fontId="3"/>
  </si>
  <si>
    <t>p2cmax</t>
    <phoneticPr fontId="3"/>
  </si>
  <si>
    <t>p3c</t>
    <phoneticPr fontId="3"/>
  </si>
  <si>
    <t>p3cmax</t>
    <phoneticPr fontId="3"/>
  </si>
  <si>
    <t>ResetTime</t>
  </si>
  <si>
    <t>f</t>
    <phoneticPr fontId="1"/>
  </si>
  <si>
    <t>fMax</t>
  </si>
  <si>
    <t>c</t>
  </si>
  <si>
    <t>cMax</t>
  </si>
  <si>
    <t>cZero</t>
  </si>
  <si>
    <t>Prmtr</t>
  </si>
  <si>
    <r>
      <t>1. 定引張力領域(V/F一定)</t>
    </r>
    <r>
      <rPr>
        <sz val="9"/>
        <color theme="1"/>
        <rFont val="Meiryo UI"/>
        <family val="3"/>
        <charset val="128"/>
      </rPr>
      <t xml:space="preserve"> 走行抵抗分は自動加算</t>
    </r>
    <rPh sb="7" eb="9">
      <t>リョウイキ</t>
    </rPh>
    <rPh sb="13" eb="15">
      <t>イッテイ</t>
    </rPh>
    <rPh sb="17" eb="19">
      <t>ソウコウ</t>
    </rPh>
    <rPh sb="19" eb="21">
      <t>テイコウ</t>
    </rPh>
    <rPh sb="21" eb="22">
      <t>ブン</t>
    </rPh>
    <rPh sb="23" eb="25">
      <t>ジドウ</t>
    </rPh>
    <rPh sb="25" eb="27">
      <t>カサン</t>
    </rPh>
    <phoneticPr fontId="3"/>
  </si>
  <si>
    <t>出力上限</t>
    <rPh sb="0" eb="2">
      <t>シュツリョク</t>
    </rPh>
    <rPh sb="2" eb="4">
      <t>ジョウゲン</t>
    </rPh>
    <phoneticPr fontId="3"/>
  </si>
  <si>
    <t>グラフ</t>
    <phoneticPr fontId="3"/>
  </si>
  <si>
    <t>2. 最大特性(満車時の設定を基準にする）</t>
    <rPh sb="3" eb="5">
      <t>サイダイ</t>
    </rPh>
    <rPh sb="5" eb="7">
      <t>トクセイ</t>
    </rPh>
    <rPh sb="8" eb="10">
      <t>マンシャ</t>
    </rPh>
    <rPh sb="10" eb="11">
      <t>ジ</t>
    </rPh>
    <rPh sb="12" eb="14">
      <t>セッテイ</t>
    </rPh>
    <rPh sb="15" eb="17">
      <t>キジュン</t>
    </rPh>
    <phoneticPr fontId="3"/>
  </si>
  <si>
    <t>※100%にしないこと</t>
    <phoneticPr fontId="3"/>
  </si>
  <si>
    <t>空車・積車比較</t>
    <rPh sb="0" eb="2">
      <t>クウシャ</t>
    </rPh>
    <rPh sb="3" eb="5">
      <t>セキシャ</t>
    </rPh>
    <rPh sb="5" eb="7">
      <t>ヒカク</t>
    </rPh>
    <phoneticPr fontId="3"/>
  </si>
  <si>
    <t>ノッチ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</si>
</sst>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#,##0.0;[Red]\-#,##0.0"/>
    <numFmt numFmtId="177" formatCode="0.0"/>
    <numFmt numFmtId="178" formatCode="0_ "/>
    <numFmt numFmtId="179" formatCode="0_);[Red]\(0\)"/>
    <numFmt numFmtId="180" formatCode="#,##0.000;[Red]\-#,##0.000"/>
  </numFmts>
  <fonts count="41" x14ac:knownFonts="1">
    <font>
      <sz val="8"/>
      <color theme="1"/>
      <name val="Meiryo UI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color theme="0" tint="-0.249977111117893"/>
      <name val="Calibri"/>
      <family val="2"/>
    </font>
    <font>
      <b/>
      <u/>
      <sz val="9"/>
      <color theme="1"/>
      <name val="Calibri"/>
      <family val="2"/>
    </font>
    <font>
      <b/>
      <sz val="8"/>
      <color theme="1"/>
      <name val="Meiryo UI"/>
      <family val="3"/>
      <charset val="128"/>
    </font>
    <font>
      <sz val="8"/>
      <color theme="1"/>
      <name val="Calibri"/>
      <family val="2"/>
    </font>
    <font>
      <b/>
      <u/>
      <sz val="8"/>
      <color theme="1"/>
      <name val="Calibri"/>
      <family val="2"/>
    </font>
    <font>
      <sz val="6"/>
      <name val="Meiryo UI"/>
      <family val="3"/>
      <charset val="128"/>
    </font>
    <font>
      <sz val="11"/>
      <color theme="1"/>
      <name val="Meiryo UI"/>
      <family val="3"/>
      <charset val="128"/>
    </font>
    <font>
      <sz val="8"/>
      <color rgb="FF0000FF"/>
      <name val="Meiryo UI"/>
      <family val="3"/>
      <charset val="128"/>
    </font>
    <font>
      <sz val="8"/>
      <color theme="0" tint="-0.14999847407452621"/>
      <name val="Meiryo UI"/>
      <family val="3"/>
      <charset val="128"/>
    </font>
    <font>
      <sz val="8"/>
      <color theme="0" tint="-0.34998626667073579"/>
      <name val="Meiryo UI"/>
      <family val="3"/>
      <charset val="128"/>
    </font>
    <font>
      <sz val="11"/>
      <color theme="0" tint="-0.499984740745262"/>
      <name val="Meiryo UI"/>
      <family val="3"/>
      <charset val="128"/>
    </font>
    <font>
      <sz val="8"/>
      <color theme="0" tint="-0.499984740745262"/>
      <name val="Meiryo UI"/>
      <family val="3"/>
      <charset val="128"/>
    </font>
    <font>
      <sz val="6"/>
      <color theme="1"/>
      <name val="Calibri"/>
      <family val="2"/>
    </font>
    <font>
      <sz val="8"/>
      <color theme="0" tint="-0.499984740745262"/>
      <name val="Calibri"/>
      <family val="2"/>
    </font>
    <font>
      <sz val="7"/>
      <color theme="0" tint="-0.499984740745262"/>
      <name val="Calibri"/>
      <family val="2"/>
    </font>
    <font>
      <b/>
      <sz val="9"/>
      <color theme="1"/>
      <name val="Meiryo UI"/>
      <family val="3"/>
      <charset val="128"/>
    </font>
    <font>
      <sz val="9"/>
      <color theme="1"/>
      <name val="Calibri"/>
      <family val="2"/>
    </font>
    <font>
      <sz val="9"/>
      <color theme="1"/>
      <name val="Meiryo UI"/>
      <family val="3"/>
      <charset val="128"/>
    </font>
    <font>
      <b/>
      <sz val="11"/>
      <color theme="0" tint="-0.499984740745262"/>
      <name val="Meiryo UI"/>
      <family val="3"/>
      <charset val="128"/>
    </font>
    <font>
      <sz val="9"/>
      <name val="Calibri"/>
      <family val="2"/>
    </font>
    <font>
      <sz val="8"/>
      <color rgb="FF00B050"/>
      <name val="Calibri"/>
      <family val="2"/>
    </font>
    <font>
      <sz val="9"/>
      <color rgb="FF0000FF"/>
      <name val="Calibri"/>
      <family val="2"/>
    </font>
    <font>
      <b/>
      <sz val="8"/>
      <color rgb="FFFF0000"/>
      <name val="Meiryo UI"/>
      <family val="3"/>
      <charset val="128"/>
    </font>
    <font>
      <sz val="8"/>
      <color theme="1" tint="0.499984740745262"/>
      <name val="Meiryo UI"/>
      <family val="3"/>
      <charset val="128"/>
    </font>
    <font>
      <sz val="6"/>
      <color theme="1"/>
      <name val="Meiryo UI"/>
      <family val="3"/>
      <charset val="128"/>
    </font>
    <font>
      <b/>
      <sz val="8"/>
      <color theme="0"/>
      <name val="Meiryo UI"/>
      <family val="3"/>
      <charset val="128"/>
    </font>
    <font>
      <sz val="9"/>
      <color theme="0"/>
      <name val="Meiryo UI"/>
      <family val="3"/>
      <charset val="128"/>
    </font>
    <font>
      <sz val="8"/>
      <color rgb="FF000000"/>
      <name val="Meiryo UI"/>
      <family val="3"/>
      <charset val="128"/>
    </font>
    <font>
      <sz val="8"/>
      <color theme="1"/>
      <name val="Meiryo UI"/>
      <family val="3"/>
      <charset val="128"/>
    </font>
    <font>
      <sz val="8"/>
      <color theme="1"/>
      <name val="ＭＳ Ｐゴシック"/>
      <family val="3"/>
      <charset val="128"/>
    </font>
    <font>
      <b/>
      <u/>
      <sz val="9"/>
      <color theme="1"/>
      <name val="ＭＳ Ｐゴシック"/>
      <family val="3"/>
      <charset val="128"/>
    </font>
    <font>
      <b/>
      <u/>
      <sz val="9"/>
      <color theme="0"/>
      <name val="Calibri"/>
      <family val="2"/>
    </font>
    <font>
      <sz val="8"/>
      <name val="Calibri"/>
      <family val="2"/>
    </font>
    <font>
      <sz val="8"/>
      <name val="Meiryo UI"/>
      <family val="3"/>
      <charset val="128"/>
    </font>
    <font>
      <u/>
      <sz val="8"/>
      <color theme="1"/>
      <name val="Meiryo UI"/>
      <family val="3"/>
      <charset val="128"/>
    </font>
    <font>
      <i/>
      <sz val="8"/>
      <color rgb="FF0000FF"/>
      <name val="Calibri"/>
      <family val="2"/>
    </font>
    <font>
      <sz val="9"/>
      <color theme="0" tint="-0.249977111117893"/>
      <name val="Meiryo UI"/>
      <family val="3"/>
      <charset val="128"/>
    </font>
  </fonts>
  <fills count="1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mediumGray">
        <fgColor theme="3" tint="0.79998168889431442"/>
        <bgColor indexed="65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</fills>
  <borders count="18">
    <border>
      <left/>
      <right/>
      <top/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ck">
        <color theme="0" tint="-4.9989318521683403E-2"/>
      </left>
      <right/>
      <top/>
      <bottom/>
      <diagonal/>
    </border>
    <border>
      <left/>
      <right style="thick">
        <color theme="0" tint="-4.9989318521683403E-2"/>
      </right>
      <top/>
      <bottom/>
      <diagonal/>
    </border>
    <border>
      <left style="thick">
        <color theme="6" tint="0.79998168889431442"/>
      </left>
      <right/>
      <top/>
      <bottom/>
      <diagonal/>
    </border>
    <border>
      <left/>
      <right style="thick">
        <color theme="6" tint="0.79998168889431442"/>
      </right>
      <top/>
      <bottom/>
      <diagonal/>
    </border>
    <border>
      <left style="thick">
        <color theme="6" tint="0.79998168889431442"/>
      </left>
      <right/>
      <top/>
      <bottom style="thick">
        <color theme="6" tint="0.79998168889431442"/>
      </bottom>
      <diagonal/>
    </border>
    <border>
      <left/>
      <right/>
      <top/>
      <bottom style="thick">
        <color theme="6" tint="0.79998168889431442"/>
      </bottom>
      <diagonal/>
    </border>
    <border>
      <left/>
      <right style="thick">
        <color theme="6" tint="0.79998168889431442"/>
      </right>
      <top/>
      <bottom style="thick">
        <color theme="6" tint="0.79998168889431442"/>
      </bottom>
      <diagonal/>
    </border>
    <border>
      <left style="thick">
        <color rgb="FF92D050"/>
      </left>
      <right style="thick">
        <color rgb="FF92D050"/>
      </right>
      <top/>
      <bottom/>
      <diagonal/>
    </border>
    <border>
      <left style="thick">
        <color theme="0" tint="-4.9989318521683403E-2"/>
      </left>
      <right/>
      <top/>
      <bottom style="thick">
        <color theme="0" tint="-4.9989318521683403E-2"/>
      </bottom>
      <diagonal/>
    </border>
    <border>
      <left/>
      <right/>
      <top/>
      <bottom style="thick">
        <color theme="0" tint="-4.9989318521683403E-2"/>
      </bottom>
      <diagonal/>
    </border>
    <border>
      <left/>
      <right style="thick">
        <color theme="0" tint="-4.9989318521683403E-2"/>
      </right>
      <top/>
      <bottom style="thick">
        <color theme="0" tint="-4.9989318521683403E-2"/>
      </bottom>
      <diagonal/>
    </border>
    <border>
      <left style="thick">
        <color theme="4" tint="0.59996337778862885"/>
      </left>
      <right/>
      <top/>
      <bottom/>
      <diagonal/>
    </border>
    <border>
      <left/>
      <right style="thick">
        <color theme="4" tint="0.59996337778862885"/>
      </right>
      <top/>
      <bottom/>
      <diagonal/>
    </border>
    <border>
      <left style="thick">
        <color theme="4" tint="0.59996337778862885"/>
      </left>
      <right/>
      <top/>
      <bottom style="thick">
        <color theme="4" tint="0.59996337778862885"/>
      </bottom>
      <diagonal/>
    </border>
    <border>
      <left/>
      <right/>
      <top/>
      <bottom style="thick">
        <color theme="4" tint="0.59996337778862885"/>
      </bottom>
      <diagonal/>
    </border>
    <border>
      <left/>
      <right style="thick">
        <color theme="4" tint="0.59996337778862885"/>
      </right>
      <top/>
      <bottom style="thick">
        <color theme="4" tint="0.59996337778862885"/>
      </bottom>
      <diagonal/>
    </border>
  </borders>
  <cellStyleXfs count="3">
    <xf numFmtId="0" fontId="0" fillId="0" borderId="0">
      <alignment vertical="center"/>
    </xf>
    <xf numFmtId="38" fontId="2" fillId="0" borderId="0" applyFont="0" applyFill="0" applyBorder="0" applyAlignment="0" applyProtection="0">
      <alignment vertical="center"/>
    </xf>
    <xf numFmtId="9" fontId="32" fillId="0" borderId="0" applyFont="0" applyFill="0" applyBorder="0" applyAlignment="0" applyProtection="0">
      <alignment vertical="center"/>
    </xf>
  </cellStyleXfs>
  <cellXfs count="102">
    <xf numFmtId="0" fontId="0" fillId="0" borderId="0" xfId="0">
      <alignment vertical="center"/>
    </xf>
    <xf numFmtId="0" fontId="7" fillId="0" borderId="0" xfId="0" applyFont="1">
      <alignment vertical="center"/>
    </xf>
    <xf numFmtId="0" fontId="10" fillId="0" borderId="0" xfId="0" applyFont="1">
      <alignment vertical="center"/>
    </xf>
    <xf numFmtId="0" fontId="0" fillId="5" borderId="0" xfId="0" applyFill="1">
      <alignment vertical="center"/>
    </xf>
    <xf numFmtId="0" fontId="0" fillId="6" borderId="1" xfId="0" applyFill="1" applyBorder="1" applyAlignment="1">
      <alignment horizontal="center" vertical="center"/>
    </xf>
    <xf numFmtId="0" fontId="13" fillId="0" borderId="0" xfId="0" applyFont="1">
      <alignment vertical="center"/>
    </xf>
    <xf numFmtId="0" fontId="12" fillId="0" borderId="0" xfId="0" applyFont="1">
      <alignment vertical="center"/>
    </xf>
    <xf numFmtId="0" fontId="16" fillId="0" borderId="0" xfId="0" applyFont="1">
      <alignment vertical="center"/>
    </xf>
    <xf numFmtId="0" fontId="0" fillId="2" borderId="0" xfId="0" applyFill="1">
      <alignment vertical="center"/>
    </xf>
    <xf numFmtId="0" fontId="8" fillId="0" borderId="0" xfId="0" applyFont="1" applyAlignment="1">
      <alignment horizontal="center" vertical="center"/>
    </xf>
    <xf numFmtId="38" fontId="7" fillId="0" borderId="0" xfId="1" applyFont="1" applyFill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0" xfId="0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178" fontId="0" fillId="0" borderId="0" xfId="0" applyNumberFormat="1">
      <alignment vertical="center"/>
    </xf>
    <xf numFmtId="178" fontId="0" fillId="0" borderId="0" xfId="0" applyNumberFormat="1" applyAlignment="1">
      <alignment horizontal="center" vertical="center"/>
    </xf>
    <xf numFmtId="177" fontId="11" fillId="3" borderId="0" xfId="0" applyNumberFormat="1" applyFont="1" applyFill="1" applyAlignment="1">
      <alignment horizontal="center" vertical="center"/>
    </xf>
    <xf numFmtId="177" fontId="0" fillId="0" borderId="0" xfId="0" applyNumberFormat="1">
      <alignment vertical="center"/>
    </xf>
    <xf numFmtId="176" fontId="0" fillId="0" borderId="0" xfId="1" applyNumberFormat="1" applyFont="1" applyBorder="1">
      <alignment vertical="center"/>
    </xf>
    <xf numFmtId="178" fontId="0" fillId="0" borderId="0" xfId="1" applyNumberFormat="1" applyFont="1" applyBorder="1">
      <alignment vertical="center"/>
    </xf>
    <xf numFmtId="9" fontId="11" fillId="3" borderId="0" xfId="0" applyNumberFormat="1" applyFont="1" applyFill="1">
      <alignment vertical="center"/>
    </xf>
    <xf numFmtId="179" fontId="11" fillId="3" borderId="0" xfId="0" applyNumberFormat="1" applyFont="1" applyFill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5" borderId="9" xfId="0" applyFill="1" applyBorder="1">
      <alignment vertical="center"/>
    </xf>
    <xf numFmtId="0" fontId="10" fillId="5" borderId="9" xfId="0" applyFont="1" applyFill="1" applyBorder="1">
      <alignment vertical="center"/>
    </xf>
    <xf numFmtId="0" fontId="14" fillId="2" borderId="2" xfId="0" applyFont="1" applyFill="1" applyBorder="1">
      <alignment vertical="center"/>
    </xf>
    <xf numFmtId="0" fontId="15" fillId="2" borderId="0" xfId="0" applyFont="1" applyFill="1">
      <alignment vertical="center"/>
    </xf>
    <xf numFmtId="0" fontId="15" fillId="2" borderId="3" xfId="0" applyFont="1" applyFill="1" applyBorder="1">
      <alignment vertical="center"/>
    </xf>
    <xf numFmtId="0" fontId="15" fillId="0" borderId="2" xfId="0" applyFont="1" applyBorder="1">
      <alignment vertical="center"/>
    </xf>
    <xf numFmtId="0" fontId="15" fillId="0" borderId="0" xfId="0" applyFont="1">
      <alignment vertical="center"/>
    </xf>
    <xf numFmtId="0" fontId="15" fillId="0" borderId="3" xfId="0" applyFont="1" applyBorder="1">
      <alignment vertical="center"/>
    </xf>
    <xf numFmtId="0" fontId="17" fillId="6" borderId="0" xfId="0" applyFont="1" applyFill="1">
      <alignment vertical="center"/>
    </xf>
    <xf numFmtId="0" fontId="15" fillId="0" borderId="0" xfId="0" applyFont="1" applyAlignment="1">
      <alignment horizontal="center" vertical="center"/>
    </xf>
    <xf numFmtId="0" fontId="17" fillId="0" borderId="0" xfId="0" applyFont="1">
      <alignment vertical="center"/>
    </xf>
    <xf numFmtId="0" fontId="18" fillId="0" borderId="0" xfId="0" applyFont="1">
      <alignment vertical="center"/>
    </xf>
    <xf numFmtId="9" fontId="17" fillId="0" borderId="0" xfId="0" applyNumberFormat="1" applyFont="1">
      <alignment vertical="center"/>
    </xf>
    <xf numFmtId="0" fontId="15" fillId="0" borderId="10" xfId="0" applyFont="1" applyBorder="1">
      <alignment vertical="center"/>
    </xf>
    <xf numFmtId="0" fontId="15" fillId="0" borderId="11" xfId="0" applyFont="1" applyBorder="1">
      <alignment vertical="center"/>
    </xf>
    <xf numFmtId="0" fontId="15" fillId="0" borderId="12" xfId="0" applyFont="1" applyBorder="1">
      <alignment vertical="center"/>
    </xf>
    <xf numFmtId="0" fontId="0" fillId="4" borderId="0" xfId="0" applyFill="1">
      <alignment vertical="center"/>
    </xf>
    <xf numFmtId="0" fontId="0" fillId="7" borderId="0" xfId="0" applyFill="1">
      <alignment vertical="center"/>
    </xf>
    <xf numFmtId="0" fontId="6" fillId="2" borderId="0" xfId="0" applyFont="1" applyFill="1">
      <alignment vertical="center"/>
    </xf>
    <xf numFmtId="0" fontId="22" fillId="2" borderId="0" xfId="0" applyFont="1" applyFill="1">
      <alignment vertical="center"/>
    </xf>
    <xf numFmtId="0" fontId="20" fillId="0" borderId="0" xfId="0" applyFont="1">
      <alignment vertical="center"/>
    </xf>
    <xf numFmtId="38" fontId="20" fillId="0" borderId="0" xfId="1" applyFont="1" applyFill="1" applyBorder="1">
      <alignment vertical="center"/>
    </xf>
    <xf numFmtId="0" fontId="20" fillId="7" borderId="0" xfId="0" applyFont="1" applyFill="1">
      <alignment vertical="center"/>
    </xf>
    <xf numFmtId="38" fontId="4" fillId="0" borderId="0" xfId="1" applyFont="1" applyBorder="1">
      <alignment vertical="center"/>
    </xf>
    <xf numFmtId="0" fontId="4" fillId="0" borderId="0" xfId="0" applyFont="1">
      <alignment vertical="center"/>
    </xf>
    <xf numFmtId="40" fontId="25" fillId="3" borderId="0" xfId="1" applyNumberFormat="1" applyFont="1" applyFill="1" applyBorder="1">
      <alignment vertical="center"/>
    </xf>
    <xf numFmtId="0" fontId="25" fillId="3" borderId="0" xfId="0" applyFont="1" applyFill="1">
      <alignment vertical="center"/>
    </xf>
    <xf numFmtId="38" fontId="25" fillId="3" borderId="0" xfId="1" applyFont="1" applyFill="1" applyBorder="1">
      <alignment vertical="center"/>
    </xf>
    <xf numFmtId="0" fontId="0" fillId="4" borderId="13" xfId="0" applyFill="1" applyBorder="1">
      <alignment vertical="center"/>
    </xf>
    <xf numFmtId="0" fontId="0" fillId="0" borderId="13" xfId="0" applyBorder="1">
      <alignment vertical="center"/>
    </xf>
    <xf numFmtId="0" fontId="0" fillId="0" borderId="13" xfId="0" applyBorder="1" applyAlignment="1">
      <alignment horizontal="left" vertical="center" indent="2"/>
    </xf>
    <xf numFmtId="0" fontId="19" fillId="7" borderId="13" xfId="0" applyFont="1" applyFill="1" applyBorder="1" applyAlignment="1">
      <alignment horizontal="left" vertical="center" indent="1"/>
    </xf>
    <xf numFmtId="0" fontId="0" fillId="0" borderId="15" xfId="0" applyBorder="1">
      <alignment vertical="center"/>
    </xf>
    <xf numFmtId="0" fontId="0" fillId="0" borderId="16" xfId="0" applyBorder="1">
      <alignment vertical="center"/>
    </xf>
    <xf numFmtId="38" fontId="7" fillId="0" borderId="0" xfId="1" applyFont="1">
      <alignment vertical="center"/>
    </xf>
    <xf numFmtId="40" fontId="23" fillId="0" borderId="0" xfId="1" applyNumberFormat="1" applyFont="1" applyFill="1" applyBorder="1">
      <alignment vertical="center"/>
    </xf>
    <xf numFmtId="0" fontId="24" fillId="0" borderId="0" xfId="0" applyFont="1">
      <alignment vertical="center"/>
    </xf>
    <xf numFmtId="0" fontId="6" fillId="0" borderId="0" xfId="0" applyFont="1" applyAlignment="1">
      <alignment horizontal="center" vertical="center"/>
    </xf>
    <xf numFmtId="0" fontId="26" fillId="0" borderId="0" xfId="0" applyFont="1">
      <alignment vertical="center"/>
    </xf>
    <xf numFmtId="0" fontId="27" fillId="0" borderId="0" xfId="0" applyFont="1">
      <alignment vertical="center"/>
    </xf>
    <xf numFmtId="176" fontId="7" fillId="0" borderId="0" xfId="1" applyNumberFormat="1" applyFont="1">
      <alignment vertical="center"/>
    </xf>
    <xf numFmtId="0" fontId="0" fillId="8" borderId="0" xfId="0" applyFill="1">
      <alignment vertical="center"/>
    </xf>
    <xf numFmtId="0" fontId="28" fillId="0" borderId="0" xfId="0" applyFont="1">
      <alignment vertical="center"/>
    </xf>
    <xf numFmtId="0" fontId="30" fillId="8" borderId="0" xfId="0" applyFont="1" applyFill="1">
      <alignment vertical="center"/>
    </xf>
    <xf numFmtId="0" fontId="29" fillId="8" borderId="0" xfId="0" applyFont="1" applyFill="1">
      <alignment vertical="center"/>
    </xf>
    <xf numFmtId="0" fontId="7" fillId="0" borderId="0" xfId="1" applyNumberFormat="1" applyFont="1" applyFill="1">
      <alignment vertical="center"/>
    </xf>
    <xf numFmtId="0" fontId="7" fillId="4" borderId="0" xfId="0" applyFont="1" applyFill="1">
      <alignment vertical="center"/>
    </xf>
    <xf numFmtId="0" fontId="7" fillId="4" borderId="14" xfId="0" applyFont="1" applyFill="1" applyBorder="1">
      <alignment vertical="center"/>
    </xf>
    <xf numFmtId="0" fontId="7" fillId="0" borderId="14" xfId="0" applyFont="1" applyBorder="1">
      <alignment vertical="center"/>
    </xf>
    <xf numFmtId="0" fontId="7" fillId="7" borderId="0" xfId="0" applyFont="1" applyFill="1">
      <alignment vertical="center"/>
    </xf>
    <xf numFmtId="0" fontId="7" fillId="7" borderId="14" xfId="0" applyFont="1" applyFill="1" applyBorder="1">
      <alignment vertical="center"/>
    </xf>
    <xf numFmtId="0" fontId="7" fillId="0" borderId="16" xfId="0" applyFont="1" applyBorder="1">
      <alignment vertical="center"/>
    </xf>
    <xf numFmtId="0" fontId="7" fillId="0" borderId="17" xfId="0" applyFont="1" applyBorder="1">
      <alignment vertical="center"/>
    </xf>
    <xf numFmtId="0" fontId="34" fillId="0" borderId="0" xfId="0" applyFont="1" applyAlignment="1">
      <alignment horizontal="center" vertical="center"/>
    </xf>
    <xf numFmtId="9" fontId="23" fillId="3" borderId="0" xfId="2" applyFont="1" applyFill="1" applyBorder="1">
      <alignment vertical="center"/>
    </xf>
    <xf numFmtId="2" fontId="20" fillId="3" borderId="0" xfId="0" applyNumberFormat="1" applyFont="1" applyFill="1">
      <alignment vertical="center"/>
    </xf>
    <xf numFmtId="0" fontId="33" fillId="0" borderId="0" xfId="0" applyFont="1">
      <alignment vertical="center"/>
    </xf>
    <xf numFmtId="40" fontId="7" fillId="0" borderId="0" xfId="1" applyNumberFormat="1" applyFont="1" applyFill="1">
      <alignment vertical="center"/>
    </xf>
    <xf numFmtId="0" fontId="5" fillId="10" borderId="0" xfId="0" applyFont="1" applyFill="1" applyAlignment="1">
      <alignment horizontal="centerContinuous" vertical="center"/>
    </xf>
    <xf numFmtId="38" fontId="7" fillId="0" borderId="0" xfId="0" applyNumberFormat="1" applyFont="1">
      <alignment vertical="center"/>
    </xf>
    <xf numFmtId="0" fontId="5" fillId="11" borderId="0" xfId="0" applyFont="1" applyFill="1" applyAlignment="1">
      <alignment horizontal="centerContinuous" vertical="center"/>
    </xf>
    <xf numFmtId="0" fontId="35" fillId="13" borderId="0" xfId="0" applyFont="1" applyFill="1" applyAlignment="1">
      <alignment horizontal="centerContinuous" vertical="center"/>
    </xf>
    <xf numFmtId="0" fontId="35" fillId="9" borderId="0" xfId="0" applyFont="1" applyFill="1" applyAlignment="1">
      <alignment horizontal="centerContinuous" vertical="center"/>
    </xf>
    <xf numFmtId="0" fontId="36" fillId="0" borderId="0" xfId="0" applyFont="1">
      <alignment vertical="center"/>
    </xf>
    <xf numFmtId="176" fontId="36" fillId="0" borderId="0" xfId="1" applyNumberFormat="1" applyFont="1" applyFill="1">
      <alignment vertical="center"/>
    </xf>
    <xf numFmtId="0" fontId="35" fillId="12" borderId="0" xfId="0" applyFont="1" applyFill="1" applyAlignment="1">
      <alignment horizontal="centerContinuous" vertical="center"/>
    </xf>
    <xf numFmtId="0" fontId="37" fillId="0" borderId="0" xfId="0" applyFont="1">
      <alignment vertical="center"/>
    </xf>
    <xf numFmtId="0" fontId="38" fillId="0" borderId="0" xfId="0" applyFont="1" applyAlignment="1">
      <alignment horizontal="center" vertical="center"/>
    </xf>
    <xf numFmtId="0" fontId="39" fillId="0" borderId="0" xfId="0" applyFont="1">
      <alignment vertical="center"/>
    </xf>
    <xf numFmtId="0" fontId="0" fillId="14" borderId="0" xfId="0" applyFill="1">
      <alignment vertical="center"/>
    </xf>
    <xf numFmtId="0" fontId="40" fillId="0" borderId="0" xfId="0" applyFont="1">
      <alignment vertical="center"/>
    </xf>
    <xf numFmtId="0" fontId="28" fillId="2" borderId="0" xfId="0" applyFont="1" applyFill="1">
      <alignment vertical="center"/>
    </xf>
    <xf numFmtId="0" fontId="37" fillId="2" borderId="0" xfId="0" applyFont="1" applyFill="1">
      <alignment vertical="center"/>
    </xf>
    <xf numFmtId="180" fontId="7" fillId="2" borderId="0" xfId="1" applyNumberFormat="1" applyFont="1" applyFill="1">
      <alignment vertical="center"/>
    </xf>
    <xf numFmtId="38" fontId="7" fillId="2" borderId="0" xfId="1" applyFont="1" applyFill="1">
      <alignment vertical="center"/>
    </xf>
    <xf numFmtId="0" fontId="6" fillId="4" borderId="0" xfId="0" applyFont="1" applyFill="1">
      <alignment vertical="center"/>
    </xf>
  </cellXfs>
  <cellStyles count="3">
    <cellStyle name="Comma [0]" xfId="1" builtinId="6"/>
    <cellStyle name="Normal" xfId="0" builtinId="0" customBuiltin="1"/>
    <cellStyle name="Percent" xfId="2" builtinId="5"/>
  </cellStyles>
  <dxfs count="0"/>
  <tableStyles count="0" defaultTableStyle="TableStyleMedium9" defaultPivotStyle="PivotStyleLight16"/>
  <colors>
    <mruColors>
      <color rgb="FF0000FF"/>
      <color rgb="FFFFFF99"/>
      <color rgb="FF33CC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力行ノッチ曲線</a:t>
            </a: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(</a:t>
            </a: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空車</a:t>
            </a: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)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16"/>
          <c:order val="5"/>
          <c:tx>
            <c:strRef>
              <c:f>加速度入力!$D$52</c:f>
              <c:strCache>
                <c:ptCount val="1"/>
                <c:pt idx="0">
                  <c:v>1N</c:v>
                </c:pt>
              </c:strCache>
            </c:strRef>
          </c:tx>
          <c:spPr>
            <a:ln w="28575" cap="rnd">
              <a:solidFill>
                <a:schemeClr val="tx2"/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加速度入力!$D$56:$D$206</c:f>
              <c:numCache>
                <c:formatCode>#,##0.00_);[Red]\(#,##0.00\)</c:formatCode>
                <c:ptCount val="151"/>
                <c:pt idx="0">
                  <c:v>0.75239480679460591</c:v>
                </c:pt>
                <c:pt idx="1">
                  <c:v>0.75213952282157681</c:v>
                </c:pt>
                <c:pt idx="2">
                  <c:v>0.75186965119294602</c:v>
                </c:pt>
                <c:pt idx="3">
                  <c:v>0.75159248573651449</c:v>
                </c:pt>
                <c:pt idx="4">
                  <c:v>0.75130073262448138</c:v>
                </c:pt>
                <c:pt idx="5">
                  <c:v>0.75100168568464731</c:v>
                </c:pt>
                <c:pt idx="6">
                  <c:v>0.75068805108921166</c:v>
                </c:pt>
                <c:pt idx="7">
                  <c:v>0.75035982883817431</c:v>
                </c:pt>
                <c:pt idx="8">
                  <c:v>0.57936446581710799</c:v>
                </c:pt>
                <c:pt idx="9">
                  <c:v>0.4253267375996076</c:v>
                </c:pt>
                <c:pt idx="10">
                  <c:v>0.32102187547732308</c:v>
                </c:pt>
                <c:pt idx="11">
                  <c:v>0.24752263870344252</c:v>
                </c:pt>
                <c:pt idx="12">
                  <c:v>0.19400256000943913</c:v>
                </c:pt>
                <c:pt idx="13">
                  <c:v>0.15395402678648559</c:v>
                </c:pt>
                <c:pt idx="14">
                  <c:v>0.12327291330537561</c:v>
                </c:pt>
                <c:pt idx="15">
                  <c:v>9.9287324074347191E-2</c:v>
                </c:pt>
                <c:pt idx="16">
                  <c:v>8.020694450783207E-2</c:v>
                </c:pt>
                <c:pt idx="17">
                  <c:v>6.4782172267720983E-2</c:v>
                </c:pt>
                <c:pt idx="18">
                  <c:v>5.214141332422411E-2</c:v>
                </c:pt>
                <c:pt idx="19">
                  <c:v>4.1635351925384416E-2</c:v>
                </c:pt>
                <c:pt idx="20">
                  <c:v>3.281901581950205E-2</c:v>
                </c:pt>
                <c:pt idx="21">
                  <c:v>2.5321492173723665E-2</c:v>
                </c:pt>
                <c:pt idx="22">
                  <c:v>1.8899861372386886E-2</c:v>
                </c:pt>
                <c:pt idx="23">
                  <c:v>1.3328663130348842E-2</c:v>
                </c:pt>
                <c:pt idx="24">
                  <c:v>8.464078428385105E-3</c:v>
                </c:pt>
                <c:pt idx="25">
                  <c:v>4.17419471947994E-3</c:v>
                </c:pt>
                <c:pt idx="26">
                  <c:v>3.6727718526359955E-4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1B-490C-919A-DCC7D898C732}"/>
            </c:ext>
          </c:extLst>
        </c:ser>
        <c:ser>
          <c:idx val="17"/>
          <c:order val="6"/>
          <c:tx>
            <c:strRef>
              <c:f>加速度入力!$M$52</c:f>
              <c:strCache>
                <c:ptCount val="1"/>
                <c:pt idx="0">
                  <c:v>2N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加速度入力!$M$56:$M$206</c:f>
              <c:numCache>
                <c:formatCode>#,##0.00_);[Red]\(#,##0.00\)</c:formatCode>
                <c:ptCount val="151"/>
                <c:pt idx="0">
                  <c:v>1.6599220370850623</c:v>
                </c:pt>
                <c:pt idx="1">
                  <c:v>1.6596667531120333</c:v>
                </c:pt>
                <c:pt idx="2">
                  <c:v>1.6593968814834024</c:v>
                </c:pt>
                <c:pt idx="3">
                  <c:v>1.6591197160269711</c:v>
                </c:pt>
                <c:pt idx="4">
                  <c:v>1.6588279629149378</c:v>
                </c:pt>
                <c:pt idx="5">
                  <c:v>1.6585289159751038</c:v>
                </c:pt>
                <c:pt idx="6">
                  <c:v>1.658215281379668</c:v>
                </c:pt>
                <c:pt idx="7">
                  <c:v>1.6578870591286308</c:v>
                </c:pt>
                <c:pt idx="8">
                  <c:v>1.6575515430497927</c:v>
                </c:pt>
                <c:pt idx="9">
                  <c:v>1.6572014393153527</c:v>
                </c:pt>
                <c:pt idx="10">
                  <c:v>1.6568367479253112</c:v>
                </c:pt>
                <c:pt idx="11">
                  <c:v>1.6564647627074689</c:v>
                </c:pt>
                <c:pt idx="12">
                  <c:v>1.6560781898340249</c:v>
                </c:pt>
                <c:pt idx="13">
                  <c:v>1.6556843231327802</c:v>
                </c:pt>
                <c:pt idx="14">
                  <c:v>1.6552758687759335</c:v>
                </c:pt>
                <c:pt idx="15">
                  <c:v>1.6548528267634854</c:v>
                </c:pt>
                <c:pt idx="16">
                  <c:v>1.6544224909232366</c:v>
                </c:pt>
                <c:pt idx="17">
                  <c:v>1.653977567427386</c:v>
                </c:pt>
                <c:pt idx="18">
                  <c:v>1.6535253501037346</c:v>
                </c:pt>
                <c:pt idx="19">
                  <c:v>1.6530512512966804</c:v>
                </c:pt>
                <c:pt idx="20">
                  <c:v>1.6525771524896267</c:v>
                </c:pt>
                <c:pt idx="21">
                  <c:v>1.6520811721991702</c:v>
                </c:pt>
                <c:pt idx="22">
                  <c:v>1.6515851919087137</c:v>
                </c:pt>
                <c:pt idx="23">
                  <c:v>1.6510673301348548</c:v>
                </c:pt>
                <c:pt idx="24">
                  <c:v>1.650542174533195</c:v>
                </c:pt>
                <c:pt idx="25">
                  <c:v>1.6500024312759336</c:v>
                </c:pt>
                <c:pt idx="26">
                  <c:v>1.6494553941908714</c:v>
                </c:pt>
                <c:pt idx="27">
                  <c:v>1.6488937694502075</c:v>
                </c:pt>
                <c:pt idx="28">
                  <c:v>1.6483175570539419</c:v>
                </c:pt>
                <c:pt idx="29">
                  <c:v>1.6477340508298757</c:v>
                </c:pt>
                <c:pt idx="30">
                  <c:v>1.6090195385185309</c:v>
                </c:pt>
                <c:pt idx="31">
                  <c:v>1.5254805467334467</c:v>
                </c:pt>
                <c:pt idx="32">
                  <c:v>1.4485522910718274</c:v>
                </c:pt>
                <c:pt idx="33">
                  <c:v>1.377522436020721</c:v>
                </c:pt>
                <c:pt idx="34">
                  <c:v>1.311781060743334</c:v>
                </c:pt>
                <c:pt idx="35">
                  <c:v>1.2507837414124199</c:v>
                </c:pt>
                <c:pt idx="36">
                  <c:v>1.1940611219925943</c:v>
                </c:pt>
                <c:pt idx="37">
                  <c:v>1.1412087751925812</c:v>
                </c:pt>
                <c:pt idx="38">
                  <c:v>1.0918569238159348</c:v>
                </c:pt>
                <c:pt idx="39">
                  <c:v>1.0456926248369232</c:v>
                </c:pt>
                <c:pt idx="40">
                  <c:v>1.0024247443531573</c:v>
                </c:pt>
                <c:pt idx="41">
                  <c:v>0.96180092133235207</c:v>
                </c:pt>
                <c:pt idx="42">
                  <c:v>0.92360341486756925</c:v>
                </c:pt>
                <c:pt idx="43">
                  <c:v>0.88762370102482169</c:v>
                </c:pt>
                <c:pt idx="44">
                  <c:v>0.85368864958077939</c:v>
                </c:pt>
                <c:pt idx="45">
                  <c:v>0.82162878570459441</c:v>
                </c:pt>
                <c:pt idx="46">
                  <c:v>0.79129797269178104</c:v>
                </c:pt>
                <c:pt idx="47">
                  <c:v>0.76257151909799015</c:v>
                </c:pt>
                <c:pt idx="48">
                  <c:v>0.7353226622679746</c:v>
                </c:pt>
                <c:pt idx="49">
                  <c:v>0.70945032688756426</c:v>
                </c:pt>
                <c:pt idx="50">
                  <c:v>0.68484142442703388</c:v>
                </c:pt>
                <c:pt idx="51">
                  <c:v>0.66142813030105674</c:v>
                </c:pt>
                <c:pt idx="52">
                  <c:v>0.63910671336205815</c:v>
                </c:pt>
                <c:pt idx="53">
                  <c:v>0.61781694545858246</c:v>
                </c:pt>
                <c:pt idx="54">
                  <c:v>0.5974903217735823</c:v>
                </c:pt>
                <c:pt idx="55">
                  <c:v>0.57805671780173173</c:v>
                </c:pt>
                <c:pt idx="56">
                  <c:v>0.55945841458980761</c:v>
                </c:pt>
                <c:pt idx="57">
                  <c:v>0.54164960090958858</c:v>
                </c:pt>
                <c:pt idx="58">
                  <c:v>0.52456675630976868</c:v>
                </c:pt>
                <c:pt idx="59">
                  <c:v>0.50818660910889868</c:v>
                </c:pt>
                <c:pt idx="60">
                  <c:v>0.49245284833458841</c:v>
                </c:pt>
                <c:pt idx="61">
                  <c:v>0.47732686828359361</c:v>
                </c:pt>
                <c:pt idx="62">
                  <c:v>0.46277290161127677</c:v>
                </c:pt>
                <c:pt idx="63">
                  <c:v>0.4487650629346504</c:v>
                </c:pt>
                <c:pt idx="64">
                  <c:v>0.43526524273200845</c:v>
                </c:pt>
                <c:pt idx="65">
                  <c:v>0.42225208067226766</c:v>
                </c:pt>
                <c:pt idx="66">
                  <c:v>0.40969160836902579</c:v>
                </c:pt>
                <c:pt idx="67">
                  <c:v>0.39756626054612959</c:v>
                </c:pt>
                <c:pt idx="68">
                  <c:v>0.38583825756778223</c:v>
                </c:pt>
                <c:pt idx="69">
                  <c:v>0.37450782181490888</c:v>
                </c:pt>
                <c:pt idx="70">
                  <c:v>0.36353282389939001</c:v>
                </c:pt>
                <c:pt idx="71">
                  <c:v>0.35290890432001226</c:v>
                </c:pt>
                <c:pt idx="72">
                  <c:v>0.34261831627066164</c:v>
                </c:pt>
                <c:pt idx="73">
                  <c:v>0.33262983425617099</c:v>
                </c:pt>
                <c:pt idx="74">
                  <c:v>0.32294972759627116</c:v>
                </c:pt>
                <c:pt idx="75">
                  <c:v>0.31354145230785718</c:v>
                </c:pt>
                <c:pt idx="76">
                  <c:v>0.30440581375445397</c:v>
                </c:pt>
                <c:pt idx="77">
                  <c:v>0.29552255248018067</c:v>
                </c:pt>
                <c:pt idx="78">
                  <c:v>0.28688675514540996</c:v>
                </c:pt>
                <c:pt idx="79">
                  <c:v>0.27847962584201896</c:v>
                </c:pt>
                <c:pt idx="80">
                  <c:v>0.27029761240490391</c:v>
                </c:pt>
                <c:pt idx="81">
                  <c:v>0.26231589223932927</c:v>
                </c:pt>
                <c:pt idx="82">
                  <c:v>0.25454668151042253</c:v>
                </c:pt>
                <c:pt idx="83">
                  <c:v>0.24695896487751864</c:v>
                </c:pt>
                <c:pt idx="84">
                  <c:v>0.23955869241886804</c:v>
                </c:pt>
                <c:pt idx="85">
                  <c:v>0.23233769036995541</c:v>
                </c:pt>
                <c:pt idx="86">
                  <c:v>0.22528092495986224</c:v>
                </c:pt>
                <c:pt idx="87">
                  <c:v>0.21838106233609617</c:v>
                </c:pt>
                <c:pt idx="88">
                  <c:v>0.21163114907261404</c:v>
                </c:pt>
                <c:pt idx="89">
                  <c:v>0.20503188222461108</c:v>
                </c:pt>
                <c:pt idx="90">
                  <c:v>0.19856970580451555</c:v>
                </c:pt>
                <c:pt idx="91">
                  <c:v>0.19224596564115864</c:v>
                </c:pt>
                <c:pt idx="92">
                  <c:v>0.18604771507464193</c:v>
                </c:pt>
                <c:pt idx="93">
                  <c:v>0.17997687261324724</c:v>
                </c:pt>
                <c:pt idx="94">
                  <c:v>0.17402103019988507</c:v>
                </c:pt>
                <c:pt idx="95">
                  <c:v>0.16817531940710556</c:v>
                </c:pt>
                <c:pt idx="96">
                  <c:v>0.16244239719339915</c:v>
                </c:pt>
                <c:pt idx="97">
                  <c:v>0.15681055113939796</c:v>
                </c:pt>
                <c:pt idx="98">
                  <c:v>0.15127556853990098</c:v>
                </c:pt>
                <c:pt idx="99">
                  <c:v>0.14584072483364696</c:v>
                </c:pt>
                <c:pt idx="100">
                  <c:v>0.14049489130877671</c:v>
                </c:pt>
                <c:pt idx="101">
                  <c:v>0.1352417003051879</c:v>
                </c:pt>
                <c:pt idx="102">
                  <c:v>0.13007036044473044</c:v>
                </c:pt>
                <c:pt idx="103">
                  <c:v>0.12497752925853828</c:v>
                </c:pt>
                <c:pt idx="104">
                  <c:v>0.11996730488969917</c:v>
                </c:pt>
                <c:pt idx="105">
                  <c:v>0.11502933683103587</c:v>
                </c:pt>
                <c:pt idx="106">
                  <c:v>0.11016070011123448</c:v>
                </c:pt>
                <c:pt idx="107">
                  <c:v>0.10536588844509003</c:v>
                </c:pt>
                <c:pt idx="108">
                  <c:v>0.10063492631654625</c:v>
                </c:pt>
                <c:pt idx="109">
                  <c:v>9.5972538243672925E-2</c:v>
                </c:pt>
                <c:pt idx="110">
                  <c:v>9.1368967781948043E-2</c:v>
                </c:pt>
                <c:pt idx="111">
                  <c:v>8.6829147486092689E-2</c:v>
                </c:pt>
                <c:pt idx="112">
                  <c:v>8.2336224735151148E-2</c:v>
                </c:pt>
                <c:pt idx="113">
                  <c:v>7.7909907611465198E-2</c:v>
                </c:pt>
                <c:pt idx="114">
                  <c:v>7.3526228324518494E-2</c:v>
                </c:pt>
                <c:pt idx="115">
                  <c:v>6.9197771101528041E-2</c:v>
                </c:pt>
                <c:pt idx="116">
                  <c:v>6.4915317588323473E-2</c:v>
                </c:pt>
                <c:pt idx="117">
                  <c:v>6.0684312234724674E-2</c:v>
                </c:pt>
                <c:pt idx="118">
                  <c:v>5.6495683438506118E-2</c:v>
                </c:pt>
                <c:pt idx="119">
                  <c:v>5.2355015507294538E-2</c:v>
                </c:pt>
                <c:pt idx="120">
                  <c:v>4.8253370181264819E-2</c:v>
                </c:pt>
                <c:pt idx="121">
                  <c:v>4.4189165122200745E-2</c:v>
                </c:pt>
                <c:pt idx="122">
                  <c:v>4.0168171080262806E-2</c:v>
                </c:pt>
                <c:pt idx="123">
                  <c:v>3.6181627728560144E-2</c:v>
                </c:pt>
                <c:pt idx="124">
                  <c:v>3.2228122606512248E-2</c:v>
                </c:pt>
                <c:pt idx="125">
                  <c:v>2.8313588713203493E-2</c:v>
                </c:pt>
                <c:pt idx="126">
                  <c:v>2.4429420742723768E-2</c:v>
                </c:pt>
                <c:pt idx="127">
                  <c:v>2.0581648232037102E-2</c:v>
                </c:pt>
                <c:pt idx="128">
                  <c:v>1.6761758197398766E-2</c:v>
                </c:pt>
                <c:pt idx="129">
                  <c:v>1.2968574669828424E-2</c:v>
                </c:pt>
                <c:pt idx="130">
                  <c:v>9.2082568455537517E-3</c:v>
                </c:pt>
                <c:pt idx="131">
                  <c:v>5.4724158457468697E-3</c:v>
                </c:pt>
                <c:pt idx="132">
                  <c:v>1.7672883582482786E-3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1B-490C-919A-DCC7D898C732}"/>
            </c:ext>
          </c:extLst>
        </c:ser>
        <c:ser>
          <c:idx val="18"/>
          <c:order val="7"/>
          <c:tx>
            <c:strRef>
              <c:f>加速度入力!$V$52</c:f>
              <c:strCache>
                <c:ptCount val="1"/>
                <c:pt idx="0">
                  <c:v>3N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加速度入力!$V$56:$V$206</c:f>
              <c:numCache>
                <c:formatCode>#,##0.00_);[Red]\(#,##0.00\)</c:formatCode>
                <c:ptCount val="151"/>
                <c:pt idx="0">
                  <c:v>2.5159840184128632</c:v>
                </c:pt>
                <c:pt idx="1">
                  <c:v>2.515728734439834</c:v>
                </c:pt>
                <c:pt idx="2">
                  <c:v>2.5154588628112036</c:v>
                </c:pt>
                <c:pt idx="3">
                  <c:v>2.5151816973547718</c:v>
                </c:pt>
                <c:pt idx="4">
                  <c:v>2.5148899442427388</c:v>
                </c:pt>
                <c:pt idx="5">
                  <c:v>2.514590897302905</c:v>
                </c:pt>
                <c:pt idx="6">
                  <c:v>2.514277262707469</c:v>
                </c:pt>
                <c:pt idx="7">
                  <c:v>2.5139490404564317</c:v>
                </c:pt>
                <c:pt idx="8">
                  <c:v>2.5136135243775932</c:v>
                </c:pt>
                <c:pt idx="9">
                  <c:v>2.5132634206431534</c:v>
                </c:pt>
                <c:pt idx="10">
                  <c:v>2.512898729253112</c:v>
                </c:pt>
                <c:pt idx="11">
                  <c:v>2.5125267440352701</c:v>
                </c:pt>
                <c:pt idx="12">
                  <c:v>2.5121401711618261</c:v>
                </c:pt>
                <c:pt idx="13">
                  <c:v>2.5117463044605808</c:v>
                </c:pt>
                <c:pt idx="14">
                  <c:v>2.5113378501037347</c:v>
                </c:pt>
                <c:pt idx="15">
                  <c:v>2.5109148080912864</c:v>
                </c:pt>
                <c:pt idx="16">
                  <c:v>2.5104844722510373</c:v>
                </c:pt>
                <c:pt idx="17">
                  <c:v>2.5100395487551865</c:v>
                </c:pt>
                <c:pt idx="18">
                  <c:v>2.5095873314315353</c:v>
                </c:pt>
                <c:pt idx="19">
                  <c:v>2.5091132326244816</c:v>
                </c:pt>
                <c:pt idx="20">
                  <c:v>2.5086391338174274</c:v>
                </c:pt>
                <c:pt idx="21">
                  <c:v>2.5081431535269707</c:v>
                </c:pt>
                <c:pt idx="22">
                  <c:v>2.5076471732365144</c:v>
                </c:pt>
                <c:pt idx="23">
                  <c:v>2.5071293114626556</c:v>
                </c:pt>
                <c:pt idx="24">
                  <c:v>2.5066041558609959</c:v>
                </c:pt>
                <c:pt idx="25">
                  <c:v>2.5060644126037346</c:v>
                </c:pt>
                <c:pt idx="26">
                  <c:v>2.5055173755186724</c:v>
                </c:pt>
                <c:pt idx="27">
                  <c:v>2.504955750778008</c:v>
                </c:pt>
                <c:pt idx="28">
                  <c:v>2.5043795383817429</c:v>
                </c:pt>
                <c:pt idx="29">
                  <c:v>2.5037960321576764</c:v>
                </c:pt>
                <c:pt idx="30">
                  <c:v>2.5031979382780083</c:v>
                </c:pt>
                <c:pt idx="31">
                  <c:v>2.5025925505705393</c:v>
                </c:pt>
                <c:pt idx="32">
                  <c:v>2.5019725752074691</c:v>
                </c:pt>
                <c:pt idx="33">
                  <c:v>2.5013380121887967</c:v>
                </c:pt>
                <c:pt idx="34">
                  <c:v>2.5006961553423235</c:v>
                </c:pt>
                <c:pt idx="35">
                  <c:v>2.500039710840249</c:v>
                </c:pt>
                <c:pt idx="36">
                  <c:v>2.4289021978734437</c:v>
                </c:pt>
                <c:pt idx="37">
                  <c:v>2.361566390041494</c:v>
                </c:pt>
                <c:pt idx="38">
                  <c:v>2.2977242830721774</c:v>
                </c:pt>
                <c:pt idx="39">
                  <c:v>2.237113302445739</c:v>
                </c:pt>
                <c:pt idx="40">
                  <c:v>2.1794832728215767</c:v>
                </c:pt>
                <c:pt idx="41">
                  <c:v>2.1246150084442363</c:v>
                </c:pt>
                <c:pt idx="42">
                  <c:v>2.0723174922199172</c:v>
                </c:pt>
                <c:pt idx="43">
                  <c:v>2.022403566926807</c:v>
                </c:pt>
                <c:pt idx="44">
                  <c:v>1.9747170142163333</c:v>
                </c:pt>
                <c:pt idx="45">
                  <c:v>1.9291015625000003</c:v>
                </c:pt>
                <c:pt idx="46">
                  <c:v>1.8854211886049974</c:v>
                </c:pt>
                <c:pt idx="47">
                  <c:v>1.843558739626556</c:v>
                </c:pt>
                <c:pt idx="48">
                  <c:v>1.8033928455653527</c:v>
                </c:pt>
                <c:pt idx="49">
                  <c:v>1.7648260364181978</c:v>
                </c:pt>
                <c:pt idx="50">
                  <c:v>1.7277473418049791</c:v>
                </c:pt>
                <c:pt idx="51">
                  <c:v>1.6920898199139616</c:v>
                </c:pt>
                <c:pt idx="52">
                  <c:v>1.6577495985277688</c:v>
                </c:pt>
                <c:pt idx="53">
                  <c:v>1.6246654625479526</c:v>
                </c:pt>
                <c:pt idx="54">
                  <c:v>1.592767224239281</c:v>
                </c:pt>
                <c:pt idx="55">
                  <c:v>1.5619825066012827</c:v>
                </c:pt>
                <c:pt idx="56">
                  <c:v>1.5322508752593362</c:v>
                </c:pt>
                <c:pt idx="57">
                  <c:v>1.503523430675366</c:v>
                </c:pt>
                <c:pt idx="58">
                  <c:v>1.4757332672324368</c:v>
                </c:pt>
                <c:pt idx="59">
                  <c:v>1.4488534954330474</c:v>
                </c:pt>
                <c:pt idx="60">
                  <c:v>1.4211781752463695</c:v>
                </c:pt>
                <c:pt idx="61">
                  <c:v>1.3721486923233308</c:v>
                </c:pt>
                <c:pt idx="62">
                  <c:v>1.3254116215090825</c:v>
                </c:pt>
                <c:pt idx="63">
                  <c:v>1.2808289493183167</c:v>
                </c:pt>
                <c:pt idx="64">
                  <c:v>1.2382593373342174</c:v>
                </c:pt>
                <c:pt idx="65">
                  <c:v>1.1975862659668175</c:v>
                </c:pt>
                <c:pt idx="66">
                  <c:v>1.1586879361561679</c:v>
                </c:pt>
                <c:pt idx="67">
                  <c:v>1.1214656174001638</c:v>
                </c:pt>
                <c:pt idx="68">
                  <c:v>1.0858064358594077</c:v>
                </c:pt>
                <c:pt idx="69">
                  <c:v>1.0516410570225665</c:v>
                </c:pt>
                <c:pt idx="70">
                  <c:v>1.0188628519561349</c:v>
                </c:pt>
                <c:pt idx="71">
                  <c:v>0.98740758665997952</c:v>
                </c:pt>
                <c:pt idx="72">
                  <c:v>0.95720187491895736</c:v>
                </c:pt>
                <c:pt idx="73">
                  <c:v>0.92816273464344856</c:v>
                </c:pt>
                <c:pt idx="74">
                  <c:v>0.90024824268535808</c:v>
                </c:pt>
                <c:pt idx="75">
                  <c:v>0.87337693801867233</c:v>
                </c:pt>
                <c:pt idx="76">
                  <c:v>0.84750772250013651</c:v>
                </c:pt>
                <c:pt idx="77">
                  <c:v>0.82258120882618413</c:v>
                </c:pt>
                <c:pt idx="78">
                  <c:v>0.79855591512650692</c:v>
                </c:pt>
                <c:pt idx="79">
                  <c:v>0.7753788392785611</c:v>
                </c:pt>
                <c:pt idx="80">
                  <c:v>0.75301440561381605</c:v>
                </c:pt>
                <c:pt idx="81">
                  <c:v>0.73140778680651608</c:v>
                </c:pt>
                <c:pt idx="82">
                  <c:v>0.71054306325301575</c:v>
                </c:pt>
                <c:pt idx="83">
                  <c:v>0.69036281575365344</c:v>
                </c:pt>
                <c:pt idx="84">
                  <c:v>0.67084819691945763</c:v>
                </c:pt>
                <c:pt idx="85">
                  <c:v>0.65196772683383819</c:v>
                </c:pt>
                <c:pt idx="86">
                  <c:v>0.63368445127552953</c:v>
                </c:pt>
                <c:pt idx="87">
                  <c:v>0.61597040461673769</c:v>
                </c:pt>
                <c:pt idx="88">
                  <c:v>0.59879920110483065</c:v>
                </c:pt>
                <c:pt idx="89">
                  <c:v>0.5821532227847046</c:v>
                </c:pt>
                <c:pt idx="90">
                  <c:v>0.56600164030082989</c:v>
                </c:pt>
                <c:pt idx="91">
                  <c:v>0.55032949796871655</c:v>
                </c:pt>
                <c:pt idx="92">
                  <c:v>0.53510845505237226</c:v>
                </c:pt>
                <c:pt idx="93">
                  <c:v>0.52032588390837065</c:v>
                </c:pt>
                <c:pt idx="94">
                  <c:v>0.50595562322315446</c:v>
                </c:pt>
                <c:pt idx="95">
                  <c:v>0.49197979328183017</c:v>
                </c:pt>
                <c:pt idx="96">
                  <c:v>0.47838873455633257</c:v>
                </c:pt>
                <c:pt idx="97">
                  <c:v>0.46515906921892458</c:v>
                </c:pt>
                <c:pt idx="98">
                  <c:v>0.45227552967319112</c:v>
                </c:pt>
                <c:pt idx="99">
                  <c:v>0.43973090932666914</c:v>
                </c:pt>
                <c:pt idx="100">
                  <c:v>0.42750413530860992</c:v>
                </c:pt>
                <c:pt idx="101">
                  <c:v>0.41558940114067705</c:v>
                </c:pt>
                <c:pt idx="102">
                  <c:v>0.40396695169708108</c:v>
                </c:pt>
                <c:pt idx="103">
                  <c:v>0.39262492764610818</c:v>
                </c:pt>
                <c:pt idx="104">
                  <c:v>0.38155933088936561</c:v>
                </c:pt>
                <c:pt idx="105">
                  <c:v>0.37075211081061049</c:v>
                </c:pt>
                <c:pt idx="106">
                  <c:v>0.36019301561214401</c:v>
                </c:pt>
                <c:pt idx="107">
                  <c:v>0.34987956413074361</c:v>
                </c:pt>
                <c:pt idx="108">
                  <c:v>0.33979513798841637</c:v>
                </c:pt>
                <c:pt idx="109">
                  <c:v>0.32993813222314672</c:v>
                </c:pt>
                <c:pt idx="110">
                  <c:v>0.32029275686061859</c:v>
                </c:pt>
                <c:pt idx="111">
                  <c:v>0.31085819055955971</c:v>
                </c:pt>
                <c:pt idx="112">
                  <c:v>0.3016120911549024</c:v>
                </c:pt>
                <c:pt idx="113">
                  <c:v>0.29256892721537092</c:v>
                </c:pt>
                <c:pt idx="114">
                  <c:v>0.28369972803832716</c:v>
                </c:pt>
                <c:pt idx="115">
                  <c:v>0.275012298940987</c:v>
                </c:pt>
                <c:pt idx="116">
                  <c:v>0.26649285483368879</c:v>
                </c:pt>
                <c:pt idx="117">
                  <c:v>0.25814247449605932</c:v>
                </c:pt>
                <c:pt idx="118">
                  <c:v>0.24994791128090427</c:v>
                </c:pt>
                <c:pt idx="119">
                  <c:v>0.24191075525966418</c:v>
                </c:pt>
                <c:pt idx="120">
                  <c:v>0.23401824551024381</c:v>
                </c:pt>
                <c:pt idx="121">
                  <c:v>0.22626513991387159</c:v>
                </c:pt>
                <c:pt idx="122">
                  <c:v>0.21865370413633065</c:v>
                </c:pt>
                <c:pt idx="123">
                  <c:v>0.21117181975030302</c:v>
                </c:pt>
                <c:pt idx="124">
                  <c:v>0.20381485590890966</c:v>
                </c:pt>
                <c:pt idx="125">
                  <c:v>0.19658566008298758</c:v>
                </c:pt>
                <c:pt idx="126">
                  <c:v>0.18947266782750449</c:v>
                </c:pt>
                <c:pt idx="127">
                  <c:v>0.18247906982296072</c:v>
                </c:pt>
                <c:pt idx="128">
                  <c:v>0.17559362874486142</c:v>
                </c:pt>
                <c:pt idx="129">
                  <c:v>0.16881255335044287</c:v>
                </c:pt>
                <c:pt idx="130">
                  <c:v>0.16213949147873755</c:v>
                </c:pt>
                <c:pt idx="131">
                  <c:v>0.15556364193984129</c:v>
                </c:pt>
                <c:pt idx="132">
                  <c:v>0.14908892354889672</c:v>
                </c:pt>
                <c:pt idx="133">
                  <c:v>0.14270479386679874</c:v>
                </c:pt>
                <c:pt idx="134">
                  <c:v>0.1364081250450617</c:v>
                </c:pt>
                <c:pt idx="135">
                  <c:v>0.13020319847856157</c:v>
                </c:pt>
                <c:pt idx="136">
                  <c:v>0.12407981824908426</c:v>
                </c:pt>
                <c:pt idx="137">
                  <c:v>0.11803518779393445</c:v>
                </c:pt>
                <c:pt idx="138">
                  <c:v>0.11207390533447979</c:v>
                </c:pt>
                <c:pt idx="139">
                  <c:v>0.10618607805067627</c:v>
                </c:pt>
                <c:pt idx="140">
                  <c:v>0.10037649326652337</c:v>
                </c:pt>
                <c:pt idx="141">
                  <c:v>9.4635439217206477E-2</c:v>
                </c:pt>
                <c:pt idx="142">
                  <c:v>8.896058280348032E-2</c:v>
                </c:pt>
                <c:pt idx="143">
                  <c:v>8.335696604454837E-2</c:v>
                </c:pt>
                <c:pt idx="144">
                  <c:v>7.7815121219365901E-2</c:v>
                </c:pt>
                <c:pt idx="145">
                  <c:v>7.2340242964930176E-2</c:v>
                </c:pt>
                <c:pt idx="146">
                  <c:v>6.6923009905675429E-2</c:v>
                </c:pt>
                <c:pt idx="147">
                  <c:v>6.1561463222663086E-2</c:v>
                </c:pt>
                <c:pt idx="148">
                  <c:v>5.626100387673371E-2</c:v>
                </c:pt>
                <c:pt idx="149">
                  <c:v>5.1012508478273107E-2</c:v>
                </c:pt>
                <c:pt idx="150">
                  <c:v>4.5814208246887977E-2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1B-490C-919A-DCC7D898C732}"/>
            </c:ext>
          </c:extLst>
        </c:ser>
        <c:ser>
          <c:idx val="19"/>
          <c:order val="8"/>
          <c:tx>
            <c:strRef>
              <c:f>加速度入力!$AE$52</c:f>
              <c:strCache>
                <c:ptCount val="1"/>
                <c:pt idx="0">
                  <c:v>4N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加速度入力!$AE$56:$AE$206</c:f>
              <c:numCache>
                <c:formatCode>#,##0.00_);[Red]\(#,##0.00\)</c:formatCode>
                <c:ptCount val="151"/>
                <c:pt idx="0">
                  <c:v>3.327232721732365</c:v>
                </c:pt>
                <c:pt idx="1">
                  <c:v>3.3269774377593362</c:v>
                </c:pt>
                <c:pt idx="2">
                  <c:v>3.3267075661307053</c:v>
                </c:pt>
                <c:pt idx="3">
                  <c:v>3.326430400674274</c:v>
                </c:pt>
                <c:pt idx="4">
                  <c:v>3.3261386475622405</c:v>
                </c:pt>
                <c:pt idx="5">
                  <c:v>3.3258396006224067</c:v>
                </c:pt>
                <c:pt idx="6">
                  <c:v>3.3255259660269707</c:v>
                </c:pt>
                <c:pt idx="7">
                  <c:v>3.3251977437759335</c:v>
                </c:pt>
                <c:pt idx="8">
                  <c:v>3.3248622276970954</c:v>
                </c:pt>
                <c:pt idx="9">
                  <c:v>3.3245121239626556</c:v>
                </c:pt>
                <c:pt idx="10">
                  <c:v>3.3241474325726141</c:v>
                </c:pt>
                <c:pt idx="11">
                  <c:v>3.3237754473547718</c:v>
                </c:pt>
                <c:pt idx="12">
                  <c:v>3.3233888744813278</c:v>
                </c:pt>
                <c:pt idx="13">
                  <c:v>3.3229950077800829</c:v>
                </c:pt>
                <c:pt idx="14">
                  <c:v>3.3225865534232364</c:v>
                </c:pt>
                <c:pt idx="15">
                  <c:v>3.3221635114107886</c:v>
                </c:pt>
                <c:pt idx="16">
                  <c:v>3.3217331755705395</c:v>
                </c:pt>
                <c:pt idx="17">
                  <c:v>3.3212882520746891</c:v>
                </c:pt>
                <c:pt idx="18">
                  <c:v>3.3208360347510375</c:v>
                </c:pt>
                <c:pt idx="19">
                  <c:v>3.3203619359439833</c:v>
                </c:pt>
                <c:pt idx="20">
                  <c:v>3.3198878371369296</c:v>
                </c:pt>
                <c:pt idx="21">
                  <c:v>3.3193918568464733</c:v>
                </c:pt>
                <c:pt idx="22">
                  <c:v>3.3188958765560166</c:v>
                </c:pt>
                <c:pt idx="23">
                  <c:v>3.3183780147821578</c:v>
                </c:pt>
                <c:pt idx="24">
                  <c:v>3.3178528591804981</c:v>
                </c:pt>
                <c:pt idx="25">
                  <c:v>3.3173131159232363</c:v>
                </c:pt>
                <c:pt idx="26">
                  <c:v>3.3167660788381741</c:v>
                </c:pt>
                <c:pt idx="27">
                  <c:v>3.3162044540975106</c:v>
                </c:pt>
                <c:pt idx="28">
                  <c:v>3.315628241701245</c:v>
                </c:pt>
                <c:pt idx="29">
                  <c:v>3.3150447354771786</c:v>
                </c:pt>
                <c:pt idx="30">
                  <c:v>3.3144466415975105</c:v>
                </c:pt>
                <c:pt idx="31">
                  <c:v>3.3138412538900415</c:v>
                </c:pt>
                <c:pt idx="32">
                  <c:v>3.3132212785269708</c:v>
                </c:pt>
                <c:pt idx="33">
                  <c:v>3.3125867155082989</c:v>
                </c:pt>
                <c:pt idx="34">
                  <c:v>3.3119448586618261</c:v>
                </c:pt>
                <c:pt idx="35">
                  <c:v>3.3112884141597512</c:v>
                </c:pt>
                <c:pt idx="36">
                  <c:v>3.3106173820020746</c:v>
                </c:pt>
                <c:pt idx="37">
                  <c:v>3.3099390560165975</c:v>
                </c:pt>
                <c:pt idx="38">
                  <c:v>3.3092461423755188</c:v>
                </c:pt>
                <c:pt idx="39">
                  <c:v>3.3085459349066393</c:v>
                </c:pt>
                <c:pt idx="40">
                  <c:v>3.307831139782158</c:v>
                </c:pt>
                <c:pt idx="41">
                  <c:v>3.3071017570020746</c:v>
                </c:pt>
                <c:pt idx="42">
                  <c:v>3.3063650803941909</c:v>
                </c:pt>
                <c:pt idx="43">
                  <c:v>3.3056138161307054</c:v>
                </c:pt>
                <c:pt idx="44">
                  <c:v>3.304855258039419</c:v>
                </c:pt>
                <c:pt idx="45">
                  <c:v>3.304082112292531</c:v>
                </c:pt>
                <c:pt idx="46">
                  <c:v>3.3032943788900417</c:v>
                </c:pt>
                <c:pt idx="47">
                  <c:v>3.3024993516597512</c:v>
                </c:pt>
                <c:pt idx="48">
                  <c:v>3.3016897367738589</c:v>
                </c:pt>
                <c:pt idx="49">
                  <c:v>3.3008728280601662</c:v>
                </c:pt>
                <c:pt idx="50">
                  <c:v>3.3000340378630706</c:v>
                </c:pt>
                <c:pt idx="51">
                  <c:v>3.2712416696972548</c:v>
                </c:pt>
                <c:pt idx="52">
                  <c:v>3.2184639955683285</c:v>
                </c:pt>
                <c:pt idx="53">
                  <c:v>3.1674568507620662</c:v>
                </c:pt>
                <c:pt idx="54">
                  <c:v>3.1181275044691419</c:v>
                </c:pt>
                <c:pt idx="55">
                  <c:v>3.0703823697484798</c:v>
                </c:pt>
                <c:pt idx="56">
                  <c:v>3.024141037091816</c:v>
                </c:pt>
                <c:pt idx="57">
                  <c:v>2.9793357769226199</c:v>
                </c:pt>
                <c:pt idx="58">
                  <c:v>2.9358819167166414</c:v>
                </c:pt>
                <c:pt idx="59">
                  <c:v>2.8937357882146379</c:v>
                </c:pt>
                <c:pt idx="60">
                  <c:v>2.8528214248719475</c:v>
                </c:pt>
                <c:pt idx="61">
                  <c:v>2.8130812891407526</c:v>
                </c:pt>
                <c:pt idx="62">
                  <c:v>2.7744613862373058</c:v>
                </c:pt>
                <c:pt idx="63">
                  <c:v>2.7369182869778745</c:v>
                </c:pt>
                <c:pt idx="64">
                  <c:v>2.7003969999483965</c:v>
                </c:pt>
                <c:pt idx="65">
                  <c:v>2.6648599225272016</c:v>
                </c:pt>
                <c:pt idx="66">
                  <c:v>2.6302574610638514</c:v>
                </c:pt>
                <c:pt idx="67">
                  <c:v>2.5965570194452239</c:v>
                </c:pt>
                <c:pt idx="68">
                  <c:v>2.5637063591941844</c:v>
                </c:pt>
                <c:pt idx="69">
                  <c:v>2.531691793732429</c:v>
                </c:pt>
                <c:pt idx="70">
                  <c:v>2.5004578129144566</c:v>
                </c:pt>
                <c:pt idx="71">
                  <c:v>2.4699871835236316</c:v>
                </c:pt>
                <c:pt idx="72">
                  <c:v>2.4402497715051954</c:v>
                </c:pt>
                <c:pt idx="73">
                  <c:v>2.4112024306373327</c:v>
                </c:pt>
                <c:pt idx="74">
                  <c:v>2.3828399567514791</c:v>
                </c:pt>
                <c:pt idx="75">
                  <c:v>2.3551147610107299</c:v>
                </c:pt>
                <c:pt idx="76">
                  <c:v>2.3186952031270245</c:v>
                </c:pt>
                <c:pt idx="77">
                  <c:v>2.2615496413026719</c:v>
                </c:pt>
                <c:pt idx="78">
                  <c:v>2.2064046295120767</c:v>
                </c:pt>
                <c:pt idx="79">
                  <c:v>2.1531564980879954</c:v>
                </c:pt>
                <c:pt idx="80">
                  <c:v>2.1017219319915541</c:v>
                </c:pt>
                <c:pt idx="81">
                  <c:v>2.0520010899921735</c:v>
                </c:pt>
                <c:pt idx="82">
                  <c:v>2.0039355776356316</c:v>
                </c:pt>
                <c:pt idx="83">
                  <c:v>1.9574278683240536</c:v>
                </c:pt>
                <c:pt idx="84">
                  <c:v>1.9124212165936945</c:v>
                </c:pt>
                <c:pt idx="85">
                  <c:v>1.8688483079189391</c:v>
                </c:pt>
                <c:pt idx="86">
                  <c:v>1.8266382822667999</c:v>
                </c:pt>
                <c:pt idx="87">
                  <c:v>1.7857310725404565</c:v>
                </c:pt>
                <c:pt idx="88">
                  <c:v>1.7460698807398116</c:v>
                </c:pt>
                <c:pt idx="89">
                  <c:v>1.7076082593005568</c:v>
                </c:pt>
                <c:pt idx="90">
                  <c:v>1.6702880331310048</c:v>
                </c:pt>
                <c:pt idx="91">
                  <c:v>1.6340682930844315</c:v>
                </c:pt>
                <c:pt idx="92">
                  <c:v>1.5988960522123246</c:v>
                </c:pt>
                <c:pt idx="93">
                  <c:v>1.5647352649224864</c:v>
                </c:pt>
                <c:pt idx="94">
                  <c:v>1.5315375067809434</c:v>
                </c:pt>
                <c:pt idx="95">
                  <c:v>1.4992637214522686</c:v>
                </c:pt>
                <c:pt idx="96">
                  <c:v>1.4678840956622297</c:v>
                </c:pt>
                <c:pt idx="97">
                  <c:v>1.4373560614204741</c:v>
                </c:pt>
                <c:pt idx="98">
                  <c:v>1.4076460692594288</c:v>
                </c:pt>
                <c:pt idx="99">
                  <c:v>1.3787294874067091</c:v>
                </c:pt>
                <c:pt idx="100">
                  <c:v>1.350568626314008</c:v>
                </c:pt>
                <c:pt idx="101">
                  <c:v>1.3231418262936379</c:v>
                </c:pt>
                <c:pt idx="102">
                  <c:v>1.2964142003641357</c:v>
                </c:pt>
                <c:pt idx="103">
                  <c:v>1.2703594392814681</c:v>
                </c:pt>
                <c:pt idx="104">
                  <c:v>1.244959740074483</c:v>
                </c:pt>
                <c:pt idx="105">
                  <c:v>1.2201838577149953</c:v>
                </c:pt>
                <c:pt idx="106">
                  <c:v>1.1960089240337015</c:v>
                </c:pt>
                <c:pt idx="107">
                  <c:v>1.1724203891205267</c:v>
                </c:pt>
                <c:pt idx="108">
                  <c:v>1.1493900849234884</c:v>
                </c:pt>
                <c:pt idx="109">
                  <c:v>1.1269053490612164</c:v>
                </c:pt>
                <c:pt idx="110">
                  <c:v>1.1049398011902078</c:v>
                </c:pt>
                <c:pt idx="111">
                  <c:v>1.0834824729488788</c:v>
                </c:pt>
                <c:pt idx="112">
                  <c:v>1.0625012962004743</c:v>
                </c:pt>
                <c:pt idx="113">
                  <c:v>1.0420014135971125</c:v>
                </c:pt>
                <c:pt idx="114">
                  <c:v>1.0219449088005761</c:v>
                </c:pt>
                <c:pt idx="115">
                  <c:v>1.0023310031382275</c:v>
                </c:pt>
                <c:pt idx="116">
                  <c:v>0.98313767160504284</c:v>
                </c:pt>
                <c:pt idx="117">
                  <c:v>0.96435808056335592</c:v>
                </c:pt>
                <c:pt idx="118">
                  <c:v>0.94597138280096993</c:v>
                </c:pt>
                <c:pt idx="119">
                  <c:v>0.92797186490192285</c:v>
                </c:pt>
                <c:pt idx="120">
                  <c:v>0.91033974557545283</c:v>
                </c:pt>
                <c:pt idx="121">
                  <c:v>0.89306303225846939</c:v>
                </c:pt>
                <c:pt idx="122">
                  <c:v>0.87613749761915216</c:v>
                </c:pt>
                <c:pt idx="123">
                  <c:v>0.85954477587403189</c:v>
                </c:pt>
                <c:pt idx="124">
                  <c:v>0.8432742232873367</c:v>
                </c:pt>
                <c:pt idx="125">
                  <c:v>0.8273228983266897</c:v>
                </c:pt>
                <c:pt idx="126">
                  <c:v>0.81167366140471398</c:v>
                </c:pt>
                <c:pt idx="127">
                  <c:v>0.79632433241900458</c:v>
                </c:pt>
                <c:pt idx="128">
                  <c:v>0.78125849861238983</c:v>
                </c:pt>
                <c:pt idx="129">
                  <c:v>0.76646738011358528</c:v>
                </c:pt>
                <c:pt idx="130">
                  <c:v>0.75194981482718037</c:v>
                </c:pt>
                <c:pt idx="131">
                  <c:v>0.73769036262345034</c:v>
                </c:pt>
                <c:pt idx="132">
                  <c:v>0.72368846705979617</c:v>
                </c:pt>
                <c:pt idx="133">
                  <c:v>0.70992926717364768</c:v>
                </c:pt>
                <c:pt idx="134">
                  <c:v>0.69640546672351211</c:v>
                </c:pt>
                <c:pt idx="135">
                  <c:v>0.68311732256245639</c:v>
                </c:pt>
                <c:pt idx="136">
                  <c:v>0.67005075210876808</c:v>
                </c:pt>
                <c:pt idx="137">
                  <c:v>0.65719920433098056</c:v>
                </c:pt>
                <c:pt idx="138">
                  <c:v>0.64456364976616176</c:v>
                </c:pt>
                <c:pt idx="139">
                  <c:v>0.63213068954251628</c:v>
                </c:pt>
                <c:pt idx="140">
                  <c:v>0.61990172165717072</c:v>
                </c:pt>
                <c:pt idx="141">
                  <c:v>0.60786375706668894</c:v>
                </c:pt>
                <c:pt idx="142">
                  <c:v>0.59601129298346389</c:v>
                </c:pt>
                <c:pt idx="143">
                  <c:v>0.58434630507756546</c:v>
                </c:pt>
                <c:pt idx="144">
                  <c:v>0.5728563585630283</c:v>
                </c:pt>
                <c:pt idx="145">
                  <c:v>0.56154377642680398</c:v>
                </c:pt>
                <c:pt idx="146">
                  <c:v>0.55039645736481391</c:v>
                </c:pt>
                <c:pt idx="147">
                  <c:v>0.53940975082464138</c:v>
                </c:pt>
                <c:pt idx="148">
                  <c:v>0.52858645086043909</c:v>
                </c:pt>
                <c:pt idx="149">
                  <c:v>0.51791490878458735</c:v>
                </c:pt>
                <c:pt idx="150">
                  <c:v>0.50739090905176898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1B-490C-919A-DCC7D898C732}"/>
            </c:ext>
          </c:extLst>
        </c:ser>
        <c:ser>
          <c:idx val="20"/>
          <c:order val="9"/>
          <c:tx>
            <c:strRef>
              <c:f>加速度入力!$AN$52</c:f>
              <c:strCache>
                <c:ptCount val="1"/>
                <c:pt idx="0">
                  <c:v>5N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加速度入力!$AN$56:$AN$206</c:f>
              <c:numCache>
                <c:formatCode>#,##0.00_);[Red]\(#,##0.00\)</c:formatCode>
                <c:ptCount val="151"/>
                <c:pt idx="0">
                  <c:v>2.5180262901970951</c:v>
                </c:pt>
                <c:pt idx="1">
                  <c:v>2.5177710062240664</c:v>
                </c:pt>
                <c:pt idx="2">
                  <c:v>2.5175011345954359</c:v>
                </c:pt>
                <c:pt idx="3">
                  <c:v>2.5172239691390041</c:v>
                </c:pt>
                <c:pt idx="4">
                  <c:v>2.5169322160269707</c:v>
                </c:pt>
                <c:pt idx="5">
                  <c:v>2.5166331690871369</c:v>
                </c:pt>
                <c:pt idx="6">
                  <c:v>2.5163195344917013</c:v>
                </c:pt>
                <c:pt idx="7">
                  <c:v>2.5159913122406641</c:v>
                </c:pt>
                <c:pt idx="8">
                  <c:v>2.515655796161826</c:v>
                </c:pt>
                <c:pt idx="9">
                  <c:v>2.5153056924273862</c:v>
                </c:pt>
                <c:pt idx="10">
                  <c:v>2.5149410010373447</c:v>
                </c:pt>
                <c:pt idx="11">
                  <c:v>2.514569015819502</c:v>
                </c:pt>
                <c:pt idx="12">
                  <c:v>2.514182442946058</c:v>
                </c:pt>
                <c:pt idx="13">
                  <c:v>2.5137885762448136</c:v>
                </c:pt>
                <c:pt idx="14">
                  <c:v>2.513380121887967</c:v>
                </c:pt>
                <c:pt idx="15">
                  <c:v>2.5129570798755188</c:v>
                </c:pt>
                <c:pt idx="16">
                  <c:v>2.5125267440352701</c:v>
                </c:pt>
                <c:pt idx="17">
                  <c:v>2.5120818205394193</c:v>
                </c:pt>
                <c:pt idx="18">
                  <c:v>2.5116296032157677</c:v>
                </c:pt>
                <c:pt idx="19">
                  <c:v>2.5111555044087139</c:v>
                </c:pt>
                <c:pt idx="20">
                  <c:v>2.5106814056016598</c:v>
                </c:pt>
                <c:pt idx="21">
                  <c:v>2.5101854253112035</c:v>
                </c:pt>
                <c:pt idx="22">
                  <c:v>2.5096894450207468</c:v>
                </c:pt>
                <c:pt idx="23">
                  <c:v>2.5091715832468879</c:v>
                </c:pt>
                <c:pt idx="24">
                  <c:v>2.5086464276452283</c:v>
                </c:pt>
                <c:pt idx="25">
                  <c:v>2.5081066843879669</c:v>
                </c:pt>
                <c:pt idx="26">
                  <c:v>2.5075596473029047</c:v>
                </c:pt>
                <c:pt idx="27">
                  <c:v>2.5069980225622408</c:v>
                </c:pt>
                <c:pt idx="28">
                  <c:v>2.5064218101659752</c:v>
                </c:pt>
                <c:pt idx="29">
                  <c:v>2.5058383039419088</c:v>
                </c:pt>
                <c:pt idx="30">
                  <c:v>2.5052402100622406</c:v>
                </c:pt>
                <c:pt idx="31">
                  <c:v>2.5046348223547716</c:v>
                </c:pt>
                <c:pt idx="32">
                  <c:v>2.5040148469917014</c:v>
                </c:pt>
                <c:pt idx="33">
                  <c:v>2.503380283973029</c:v>
                </c:pt>
                <c:pt idx="34">
                  <c:v>2.5027384271265563</c:v>
                </c:pt>
                <c:pt idx="35">
                  <c:v>2.5020819826244813</c:v>
                </c:pt>
                <c:pt idx="36">
                  <c:v>2.5014109504668047</c:v>
                </c:pt>
                <c:pt idx="37">
                  <c:v>2.5007326244813277</c:v>
                </c:pt>
                <c:pt idx="38">
                  <c:v>2.500039710840249</c:v>
                </c:pt>
                <c:pt idx="39">
                  <c:v>2.4342411551428351</c:v>
                </c:pt>
                <c:pt idx="40">
                  <c:v>2.3716829292012451</c:v>
                </c:pt>
                <c:pt idx="41">
                  <c:v>2.3121268683268399</c:v>
                </c:pt>
                <c:pt idx="42">
                  <c:v>2.2553647840100775</c:v>
                </c:pt>
                <c:pt idx="43">
                  <c:v>2.2011939449544058</c:v>
                </c:pt>
                <c:pt idx="44">
                  <c:v>2.1494439745614868</c:v>
                </c:pt>
                <c:pt idx="45">
                  <c:v>2.0999457015041503</c:v>
                </c:pt>
                <c:pt idx="46">
                  <c:v>2.0525513245873177</c:v>
                </c:pt>
                <c:pt idx="47">
                  <c:v>2.0154643177623841</c:v>
                </c:pt>
                <c:pt idx="48">
                  <c:v>1.979735204205985</c:v>
                </c:pt>
                <c:pt idx="49">
                  <c:v>1.9452923701302687</c:v>
                </c:pt>
                <c:pt idx="50">
                  <c:v>1.9120483471772445</c:v>
                </c:pt>
                <c:pt idx="51">
                  <c:v>1.8799575933520045</c:v>
                </c:pt>
                <c:pt idx="52">
                  <c:v>1.8489357550158683</c:v>
                </c:pt>
                <c:pt idx="53">
                  <c:v>1.8189394486661461</c:v>
                </c:pt>
                <c:pt idx="54">
                  <c:v>1.7899148023675913</c:v>
                </c:pt>
                <c:pt idx="55">
                  <c:v>1.7618043903346998</c:v>
                </c:pt>
                <c:pt idx="56">
                  <c:v>1.7345614986882982</c:v>
                </c:pt>
                <c:pt idx="57">
                  <c:v>1.7081498364324426</c:v>
                </c:pt>
                <c:pt idx="58">
                  <c:v>1.6825141001285773</c:v>
                </c:pt>
                <c:pt idx="59">
                  <c:v>1.6576380901572081</c:v>
                </c:pt>
                <c:pt idx="60">
                  <c:v>1.6334715608159553</c:v>
                </c:pt>
                <c:pt idx="61">
                  <c:v>1.6099810856840515</c:v>
                </c:pt>
                <c:pt idx="62">
                  <c:v>1.587135296508434</c:v>
                </c:pt>
                <c:pt idx="63">
                  <c:v>1.5649120195989035</c:v>
                </c:pt>
                <c:pt idx="64">
                  <c:v>1.5432762512295437</c:v>
                </c:pt>
                <c:pt idx="65">
                  <c:v>1.5222092026495997</c:v>
                </c:pt>
                <c:pt idx="66">
                  <c:v>1.5016790059622775</c:v>
                </c:pt>
                <c:pt idx="67">
                  <c:v>1.4816697809464294</c:v>
                </c:pt>
                <c:pt idx="68">
                  <c:v>1.4621450667132252</c:v>
                </c:pt>
                <c:pt idx="69">
                  <c:v>1.4431060814915255</c:v>
                </c:pt>
                <c:pt idx="70">
                  <c:v>1.4245114072369898</c:v>
                </c:pt>
                <c:pt idx="71">
                  <c:v>1.4063571452792516</c:v>
                </c:pt>
                <c:pt idx="72">
                  <c:v>1.3886257892484348</c:v>
                </c:pt>
                <c:pt idx="73">
                  <c:v>1.3623991173163736</c:v>
                </c:pt>
                <c:pt idx="74">
                  <c:v>1.3264054535103336</c:v>
                </c:pt>
                <c:pt idx="75">
                  <c:v>1.2916906042138101</c:v>
                </c:pt>
                <c:pt idx="76">
                  <c:v>1.2582042730148368</c:v>
                </c:pt>
                <c:pt idx="77">
                  <c:v>1.2258783150296984</c:v>
                </c:pt>
                <c:pt idx="78">
                  <c:v>1.194662907127314</c:v>
                </c:pt>
                <c:pt idx="79">
                  <c:v>1.1644970993429138</c:v>
                </c:pt>
                <c:pt idx="80">
                  <c:v>1.1353377400629017</c:v>
                </c:pt>
                <c:pt idx="81">
                  <c:v>1.1071227776871602</c:v>
                </c:pt>
                <c:pt idx="82">
                  <c:v>1.0798294009967568</c:v>
                </c:pt>
                <c:pt idx="83">
                  <c:v>1.053393613963332</c:v>
                </c:pt>
                <c:pt idx="84">
                  <c:v>1.0277902903510792</c:v>
                </c:pt>
                <c:pt idx="85">
                  <c:v>1.0029819535742976</c:v>
                </c:pt>
                <c:pt idx="86">
                  <c:v>0.9789259200536502</c:v>
                </c:pt>
                <c:pt idx="87">
                  <c:v>0.95558874812582262</c:v>
                </c:pt>
                <c:pt idx="88">
                  <c:v>0.93293881615939389</c:v>
                </c:pt>
                <c:pt idx="89">
                  <c:v>0.91095349808198567</c:v>
                </c:pt>
                <c:pt idx="90">
                  <c:v>0.88959717250901582</c:v>
                </c:pt>
                <c:pt idx="91">
                  <c:v>0.86885029681821258</c:v>
                </c:pt>
                <c:pt idx="92">
                  <c:v>0.84868013806386422</c:v>
                </c:pt>
                <c:pt idx="93">
                  <c:v>0.82906986135158334</c:v>
                </c:pt>
                <c:pt idx="94">
                  <c:v>0.80998927386300112</c:v>
                </c:pt>
                <c:pt idx="95">
                  <c:v>0.79141663143386254</c:v>
                </c:pt>
                <c:pt idx="96">
                  <c:v>0.77333856894092046</c:v>
                </c:pt>
                <c:pt idx="97">
                  <c:v>0.7557281540732419</c:v>
                </c:pt>
                <c:pt idx="98">
                  <c:v>0.73856670855173012</c:v>
                </c:pt>
                <c:pt idx="99">
                  <c:v>0.72184375199452666</c:v>
                </c:pt>
                <c:pt idx="100">
                  <c:v>0.70553506810703659</c:v>
                </c:pt>
                <c:pt idx="101">
                  <c:v>0.68963183118127547</c:v>
                </c:pt>
                <c:pt idx="102">
                  <c:v>0.67411138521941283</c:v>
                </c:pt>
                <c:pt idx="103">
                  <c:v>0.65895908285329541</c:v>
                </c:pt>
                <c:pt idx="104">
                  <c:v>0.64416824555738494</c:v>
                </c:pt>
                <c:pt idx="105">
                  <c:v>0.6297182449493306</c:v>
                </c:pt>
                <c:pt idx="106">
                  <c:v>0.61559634943964392</c:v>
                </c:pt>
                <c:pt idx="107">
                  <c:v>0.60179769160701924</c:v>
                </c:pt>
                <c:pt idx="108">
                  <c:v>0.5883033561401152</c:v>
                </c:pt>
                <c:pt idx="109">
                  <c:v>0.57510952647746039</c:v>
                </c:pt>
                <c:pt idx="110">
                  <c:v>0.56219828259378901</c:v>
                </c:pt>
                <c:pt idx="111">
                  <c:v>0.54956675105360697</c:v>
                </c:pt>
                <c:pt idx="112">
                  <c:v>0.53719061214505703</c:v>
                </c:pt>
                <c:pt idx="113">
                  <c:v>0.52508242820029838</c:v>
                </c:pt>
                <c:pt idx="114">
                  <c:v>0.51321139051546283</c:v>
                </c:pt>
                <c:pt idx="115">
                  <c:v>0.50158353172014736</c:v>
                </c:pt>
                <c:pt idx="116">
                  <c:v>0.49018335657354783</c:v>
                </c:pt>
                <c:pt idx="117">
                  <c:v>0.47901029360001923</c:v>
                </c:pt>
                <c:pt idx="118">
                  <c:v>0.46804950328132866</c:v>
                </c:pt>
                <c:pt idx="119">
                  <c:v>0.45730103781234355</c:v>
                </c:pt>
                <c:pt idx="120">
                  <c:v>0.44675065111429546</c:v>
                </c:pt>
                <c:pt idx="121">
                  <c:v>0.43639166646601152</c:v>
                </c:pt>
                <c:pt idx="122">
                  <c:v>0.42622496342256311</c:v>
                </c:pt>
                <c:pt idx="123">
                  <c:v>0.41623708397254072</c:v>
                </c:pt>
                <c:pt idx="124">
                  <c:v>0.40642210233882226</c:v>
                </c:pt>
                <c:pt idx="125">
                  <c:v>0.396781613930489</c:v>
                </c:pt>
                <c:pt idx="126">
                  <c:v>0.38730284340666155</c:v>
                </c:pt>
                <c:pt idx="127">
                  <c:v>0.37798781009377563</c:v>
                </c:pt>
                <c:pt idx="128">
                  <c:v>0.36882414330528435</c:v>
                </c:pt>
                <c:pt idx="129">
                  <c:v>0.35980695494912146</c:v>
                </c:pt>
                <c:pt idx="130">
                  <c:v>0.35093883111537394</c:v>
                </c:pt>
                <c:pt idx="131">
                  <c:v>0.34220794261660809</c:v>
                </c:pt>
                <c:pt idx="132">
                  <c:v>0.33361721273312822</c:v>
                </c:pt>
                <c:pt idx="133">
                  <c:v>0.32515513472213337</c:v>
                </c:pt>
                <c:pt idx="134">
                  <c:v>0.31681764648533028</c:v>
                </c:pt>
                <c:pt idx="135">
                  <c:v>0.30860812409600463</c:v>
                </c:pt>
                <c:pt idx="136">
                  <c:v>0.30051549416591961</c:v>
                </c:pt>
                <c:pt idx="137">
                  <c:v>0.29253610948386882</c:v>
                </c:pt>
                <c:pt idx="138">
                  <c:v>0.28467374345847302</c:v>
                </c:pt>
                <c:pt idx="139">
                  <c:v>0.27691770334910593</c:v>
                </c:pt>
                <c:pt idx="140">
                  <c:v>0.26927200054784561</c:v>
                </c:pt>
                <c:pt idx="141">
                  <c:v>0.2617261704812775</c:v>
                </c:pt>
                <c:pt idx="142">
                  <c:v>0.2542771495358726</c:v>
                </c:pt>
                <c:pt idx="143">
                  <c:v>0.24692927071645743</c:v>
                </c:pt>
                <c:pt idx="144">
                  <c:v>0.23967237802607105</c:v>
                </c:pt>
                <c:pt idx="145">
                  <c:v>0.23251099783420751</c:v>
                </c:pt>
                <c:pt idx="146">
                  <c:v>0.22543515980609966</c:v>
                </c:pt>
                <c:pt idx="147">
                  <c:v>0.2184422748003311</c:v>
                </c:pt>
                <c:pt idx="148">
                  <c:v>0.21153713144762668</c:v>
                </c:pt>
                <c:pt idx="149">
                  <c:v>0.20471001140221201</c:v>
                </c:pt>
                <c:pt idx="150">
                  <c:v>0.19795856770785594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61B-490C-919A-DCC7D898C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04128"/>
        <c:axId val="308310016"/>
      </c:lineChart>
      <c:lineChart>
        <c:grouping val="standard"/>
        <c:varyColors val="0"/>
        <c:ser>
          <c:idx val="11"/>
          <c:order val="0"/>
          <c:tx>
            <c:strRef>
              <c:f>加速度入力!$D$52</c:f>
              <c:strCache>
                <c:ptCount val="1"/>
                <c:pt idx="0">
                  <c:v>1N</c:v>
                </c:pt>
              </c:strCache>
            </c:strRef>
          </c:tx>
          <c:spPr>
            <a:ln w="28575" cap="rnd">
              <a:solidFill>
                <a:schemeClr val="tx2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加速度入力!$F$56:$F$206</c:f>
              <c:numCache>
                <c:formatCode>General</c:formatCode>
                <c:ptCount val="151"/>
                <c:pt idx="0">
                  <c:v>27.431627372052905</c:v>
                </c:pt>
                <c:pt idx="1">
                  <c:v>27.431627372052905</c:v>
                </c:pt>
                <c:pt idx="2">
                  <c:v>27.431627372052905</c:v>
                </c:pt>
                <c:pt idx="3">
                  <c:v>27.431627372052905</c:v>
                </c:pt>
                <c:pt idx="4">
                  <c:v>27.431627372052905</c:v>
                </c:pt>
                <c:pt idx="5">
                  <c:v>27.431627372052905</c:v>
                </c:pt>
                <c:pt idx="6">
                  <c:v>27.431627372052905</c:v>
                </c:pt>
                <c:pt idx="7">
                  <c:v>27.431627372052905</c:v>
                </c:pt>
                <c:pt idx="8">
                  <c:v>27.31311098332375</c:v>
                </c:pt>
                <c:pt idx="9">
                  <c:v>24.278320874065557</c:v>
                </c:pt>
                <c:pt idx="10">
                  <c:v>21.850488786659</c:v>
                </c:pt>
                <c:pt idx="11">
                  <c:v>19.864080715144546</c:v>
                </c:pt>
                <c:pt idx="12">
                  <c:v>18.208740655549168</c:v>
                </c:pt>
                <c:pt idx="13">
                  <c:v>16.808068297430001</c:v>
                </c:pt>
                <c:pt idx="14">
                  <c:v>15.607491990470715</c:v>
                </c:pt>
                <c:pt idx="15">
                  <c:v>14.566992524439334</c:v>
                </c:pt>
                <c:pt idx="16">
                  <c:v>13.656555491661875</c:v>
                </c:pt>
                <c:pt idx="17">
                  <c:v>12.853228698034705</c:v>
                </c:pt>
                <c:pt idx="18">
                  <c:v>12.139160437032778</c:v>
                </c:pt>
                <c:pt idx="19">
                  <c:v>11.500257256136315</c:v>
                </c:pt>
                <c:pt idx="20">
                  <c:v>10.9252443933295</c:v>
                </c:pt>
                <c:pt idx="21">
                  <c:v>10.404994660313809</c:v>
                </c:pt>
                <c:pt idx="22">
                  <c:v>9.9320403575722729</c:v>
                </c:pt>
                <c:pt idx="23">
                  <c:v>9.5002125159386956</c:v>
                </c:pt>
                <c:pt idx="24">
                  <c:v>9.1043703277745838</c:v>
                </c:pt>
                <c:pt idx="25">
                  <c:v>8.7401955146636006</c:v>
                </c:pt>
                <c:pt idx="26">
                  <c:v>8.4040341487150005</c:v>
                </c:pt>
                <c:pt idx="27">
                  <c:v>8.0927736246885189</c:v>
                </c:pt>
                <c:pt idx="28">
                  <c:v>7.8037459952353574</c:v>
                </c:pt>
                <c:pt idx="29">
                  <c:v>7.5346513057444824</c:v>
                </c:pt>
                <c:pt idx="30">
                  <c:v>7.2834962622196668</c:v>
                </c:pt>
                <c:pt idx="31">
                  <c:v>7.0485447698899995</c:v>
                </c:pt>
                <c:pt idx="32">
                  <c:v>6.8282777458309374</c:v>
                </c:pt>
                <c:pt idx="33">
                  <c:v>6.6213602383815147</c:v>
                </c:pt>
                <c:pt idx="34">
                  <c:v>6.4266143490173526</c:v>
                </c:pt>
                <c:pt idx="35">
                  <c:v>6.2429967961882857</c:v>
                </c:pt>
                <c:pt idx="36">
                  <c:v>6.0695802185163892</c:v>
                </c:pt>
                <c:pt idx="37">
                  <c:v>5.9055375099078375</c:v>
                </c:pt>
                <c:pt idx="38">
                  <c:v>5.7501286280681576</c:v>
                </c:pt>
                <c:pt idx="39">
                  <c:v>5.6026894324766667</c:v>
                </c:pt>
                <c:pt idx="40">
                  <c:v>5.4626221966647499</c:v>
                </c:pt>
                <c:pt idx="41">
                  <c:v>5.3293875089412195</c:v>
                </c:pt>
                <c:pt idx="42">
                  <c:v>5.2024973301569046</c:v>
                </c:pt>
                <c:pt idx="43">
                  <c:v>5.0815090201532556</c:v>
                </c:pt>
                <c:pt idx="44">
                  <c:v>4.9660201787861364</c:v>
                </c:pt>
                <c:pt idx="45">
                  <c:v>4.8556641748131106</c:v>
                </c:pt>
                <c:pt idx="46">
                  <c:v>4.7501062579693478</c:v>
                </c:pt>
                <c:pt idx="47">
                  <c:v>4.6490401673742552</c:v>
                </c:pt>
                <c:pt idx="48">
                  <c:v>4.5521851638872919</c:v>
                </c:pt>
                <c:pt idx="49">
                  <c:v>4.459283425848775</c:v>
                </c:pt>
                <c:pt idx="50">
                  <c:v>4.3700977573318003</c:v>
                </c:pt>
                <c:pt idx="51">
                  <c:v>4.2844095660115684</c:v>
                </c:pt>
                <c:pt idx="52">
                  <c:v>4.2020170743575003</c:v>
                </c:pt>
                <c:pt idx="53">
                  <c:v>4.122733733331887</c:v>
                </c:pt>
                <c:pt idx="54">
                  <c:v>4.0463868123442595</c:v>
                </c:pt>
                <c:pt idx="55">
                  <c:v>3.9728161430289091</c:v>
                </c:pt>
                <c:pt idx="56">
                  <c:v>3.9018729976176787</c:v>
                </c:pt>
                <c:pt idx="57">
                  <c:v>3.8334190853787717</c:v>
                </c:pt>
                <c:pt idx="58">
                  <c:v>3.7673256528722412</c:v>
                </c:pt>
                <c:pt idx="59">
                  <c:v>3.7034726757049152</c:v>
                </c:pt>
                <c:pt idx="60">
                  <c:v>3.6417481311098334</c:v>
                </c:pt>
                <c:pt idx="61">
                  <c:v>3.5820473420752457</c:v>
                </c:pt>
                <c:pt idx="62">
                  <c:v>3.5242723849449997</c:v>
                </c:pt>
                <c:pt idx="63">
                  <c:v>3.4683315534379364</c:v>
                </c:pt>
                <c:pt idx="64">
                  <c:v>3.4141388729154687</c:v>
                </c:pt>
                <c:pt idx="65">
                  <c:v>3.3616136594859998</c:v>
                </c:pt>
                <c:pt idx="66">
                  <c:v>3.3106801191907573</c:v>
                </c:pt>
                <c:pt idx="67">
                  <c:v>3.2612669830834329</c:v>
                </c:pt>
                <c:pt idx="68">
                  <c:v>3.2133071745086763</c:v>
                </c:pt>
                <c:pt idx="69">
                  <c:v>3.1667375053128985</c:v>
                </c:pt>
                <c:pt idx="70">
                  <c:v>3.1214983980941429</c:v>
                </c:pt>
                <c:pt idx="71">
                  <c:v>3.0775336319238029</c:v>
                </c:pt>
                <c:pt idx="72">
                  <c:v>3.0347901092581946</c:v>
                </c:pt>
                <c:pt idx="73">
                  <c:v>2.9932176420080823</c:v>
                </c:pt>
                <c:pt idx="74">
                  <c:v>2.9527687549539188</c:v>
                </c:pt>
                <c:pt idx="75">
                  <c:v>2.9133985048878666</c:v>
                </c:pt>
                <c:pt idx="76">
                  <c:v>2.8750643140340788</c:v>
                </c:pt>
                <c:pt idx="77">
                  <c:v>2.837725816449221</c:v>
                </c:pt>
                <c:pt idx="78">
                  <c:v>2.8013447162383334</c:v>
                </c:pt>
                <c:pt idx="79">
                  <c:v>2.765884656539114</c:v>
                </c:pt>
                <c:pt idx="80">
                  <c:v>2.731311098332375</c:v>
                </c:pt>
                <c:pt idx="81">
                  <c:v>2.6975912082295062</c:v>
                </c:pt>
                <c:pt idx="82">
                  <c:v>2.6646937544706097</c:v>
                </c:pt>
                <c:pt idx="83">
                  <c:v>2.6325890104408431</c:v>
                </c:pt>
                <c:pt idx="84">
                  <c:v>2.6012486650784523</c:v>
                </c:pt>
                <c:pt idx="85">
                  <c:v>2.5706457396069413</c:v>
                </c:pt>
                <c:pt idx="86">
                  <c:v>2.5407545100766278</c:v>
                </c:pt>
                <c:pt idx="87">
                  <c:v>2.5115504352481608</c:v>
                </c:pt>
                <c:pt idx="88">
                  <c:v>2.4830100893930682</c:v>
                </c:pt>
                <c:pt idx="89">
                  <c:v>2.4551110996246068</c:v>
                </c:pt>
                <c:pt idx="90">
                  <c:v>2.4278320874065553</c:v>
                </c:pt>
                <c:pt idx="91">
                  <c:v>2.4011526139185713</c:v>
                </c:pt>
                <c:pt idx="92">
                  <c:v>2.3750531289846739</c:v>
                </c:pt>
                <c:pt idx="93">
                  <c:v>2.3495149232966668</c:v>
                </c:pt>
                <c:pt idx="94">
                  <c:v>2.3245200836871276</c:v>
                </c:pt>
                <c:pt idx="95">
                  <c:v>2.300051451227263</c:v>
                </c:pt>
                <c:pt idx="96">
                  <c:v>2.2760925819436459</c:v>
                </c:pt>
                <c:pt idx="97">
                  <c:v>2.2526277099648455</c:v>
                </c:pt>
                <c:pt idx="98">
                  <c:v>2.2296417129243875</c:v>
                </c:pt>
                <c:pt idx="99">
                  <c:v>2.207120079460505</c:v>
                </c:pt>
                <c:pt idx="100">
                  <c:v>2.1850488786659001</c:v>
                </c:pt>
                <c:pt idx="101">
                  <c:v>2.1634147313523764</c:v>
                </c:pt>
                <c:pt idx="102">
                  <c:v>2.1422047830057842</c:v>
                </c:pt>
                <c:pt idx="103">
                  <c:v>2.1214066783164078</c:v>
                </c:pt>
                <c:pt idx="104">
                  <c:v>2.1010085371787501</c:v>
                </c:pt>
                <c:pt idx="105">
                  <c:v>2.0809989320627618</c:v>
                </c:pt>
                <c:pt idx="106">
                  <c:v>2.0613668666659435</c:v>
                </c:pt>
                <c:pt idx="107">
                  <c:v>2.0421017557625234</c:v>
                </c:pt>
                <c:pt idx="108">
                  <c:v>2.0231934061721297</c:v>
                </c:pt>
                <c:pt idx="109">
                  <c:v>2.004631998776055</c:v>
                </c:pt>
                <c:pt idx="110">
                  <c:v>1.9864080715144545</c:v>
                </c:pt>
                <c:pt idx="111">
                  <c:v>1.9685125033026125</c:v>
                </c:pt>
                <c:pt idx="112">
                  <c:v>1.9509364988088393</c:v>
                </c:pt>
                <c:pt idx="113">
                  <c:v>1.9336715740406194</c:v>
                </c:pt>
                <c:pt idx="114">
                  <c:v>1.9167095426893859</c:v>
                </c:pt>
                <c:pt idx="115">
                  <c:v>1.900042503187739</c:v>
                </c:pt>
                <c:pt idx="116">
                  <c:v>1.8836628264361206</c:v>
                </c:pt>
                <c:pt idx="117">
                  <c:v>1.8675631441588889</c:v>
                </c:pt>
                <c:pt idx="118">
                  <c:v>1.8517363378524576</c:v>
                </c:pt>
                <c:pt idx="119">
                  <c:v>1.8361755282906722</c:v>
                </c:pt>
                <c:pt idx="120">
                  <c:v>1.8208740655549167</c:v>
                </c:pt>
                <c:pt idx="121">
                  <c:v>1.805825519558595</c:v>
                </c:pt>
                <c:pt idx="122">
                  <c:v>1.7910236710376228</c:v>
                </c:pt>
                <c:pt idx="123">
                  <c:v>1.7764625029804064</c:v>
                </c:pt>
                <c:pt idx="124">
                  <c:v>1.7621361924724999</c:v>
                </c:pt>
                <c:pt idx="125">
                  <c:v>1.74803910293272</c:v>
                </c:pt>
                <c:pt idx="126">
                  <c:v>1.7341657767189682</c:v>
                </c:pt>
                <c:pt idx="127">
                  <c:v>1.7205109280833859</c:v>
                </c:pt>
                <c:pt idx="128">
                  <c:v>1.7070694364577343</c:v>
                </c:pt>
                <c:pt idx="129">
                  <c:v>1.6938363400510852</c:v>
                </c:pt>
                <c:pt idx="130">
                  <c:v>1.6808068297429999</c:v>
                </c:pt>
                <c:pt idx="131">
                  <c:v>1.6679762432564122</c:v>
                </c:pt>
                <c:pt idx="132">
                  <c:v>1.6553400595953787</c:v>
                </c:pt>
                <c:pt idx="133">
                  <c:v>1.6428938937337594</c:v>
                </c:pt>
                <c:pt idx="134">
                  <c:v>1.6306334915417164</c:v>
                </c:pt>
                <c:pt idx="135">
                  <c:v>1.6185547249377037</c:v>
                </c:pt>
                <c:pt idx="136">
                  <c:v>1.6066535872543382</c:v>
                </c:pt>
                <c:pt idx="137">
                  <c:v>1.5949261888072261</c:v>
                </c:pt>
                <c:pt idx="138">
                  <c:v>1.5833687526564493</c:v>
                </c:pt>
                <c:pt idx="139">
                  <c:v>1.5719776105510073</c:v>
                </c:pt>
                <c:pt idx="140">
                  <c:v>1.5607491990470714</c:v>
                </c:pt>
                <c:pt idx="141">
                  <c:v>1.5496800557914183</c:v>
                </c:pt>
                <c:pt idx="142">
                  <c:v>1.5387668159619015</c:v>
                </c:pt>
                <c:pt idx="143">
                  <c:v>1.5280062088572728</c:v>
                </c:pt>
                <c:pt idx="144">
                  <c:v>1.5173950546290973</c:v>
                </c:pt>
                <c:pt idx="145">
                  <c:v>1.5069302611488966</c:v>
                </c:pt>
                <c:pt idx="146">
                  <c:v>1.4966088210040411</c:v>
                </c:pt>
                <c:pt idx="147">
                  <c:v>1.4864278086162586</c:v>
                </c:pt>
                <c:pt idx="148">
                  <c:v>1.4763843774769594</c:v>
                </c:pt>
                <c:pt idx="149">
                  <c:v>1.4664757574938927</c:v>
                </c:pt>
                <c:pt idx="150">
                  <c:v>1.4566992524439333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61B-490C-919A-DCC7D898C732}"/>
            </c:ext>
          </c:extLst>
        </c:ser>
        <c:ser>
          <c:idx val="12"/>
          <c:order val="1"/>
          <c:tx>
            <c:strRef>
              <c:f>加速度入力!$M$52</c:f>
              <c:strCache>
                <c:ptCount val="1"/>
                <c:pt idx="0">
                  <c:v>2N</c:v>
                </c:pt>
              </c:strCache>
            </c:strRef>
          </c:tx>
          <c:spPr>
            <a:ln w="28575" cap="rnd">
              <a:solidFill>
                <a:schemeClr val="accent3">
                  <a:lumMod val="40000"/>
                  <a:lumOff val="6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加速度入力!$O$56:$O$206</c:f>
              <c:numCache>
                <c:formatCode>General</c:formatCode>
                <c:ptCount val="151"/>
                <c:pt idx="0">
                  <c:v>59.628752156411728</c:v>
                </c:pt>
                <c:pt idx="1">
                  <c:v>59.628752156411728</c:v>
                </c:pt>
                <c:pt idx="2">
                  <c:v>59.628752156411728</c:v>
                </c:pt>
                <c:pt idx="3">
                  <c:v>59.628752156411728</c:v>
                </c:pt>
                <c:pt idx="4">
                  <c:v>59.628752156411728</c:v>
                </c:pt>
                <c:pt idx="5">
                  <c:v>59.628752156411728</c:v>
                </c:pt>
                <c:pt idx="6">
                  <c:v>59.628752156411728</c:v>
                </c:pt>
                <c:pt idx="7">
                  <c:v>59.628752156411728</c:v>
                </c:pt>
                <c:pt idx="8">
                  <c:v>59.628752156411728</c:v>
                </c:pt>
                <c:pt idx="9">
                  <c:v>59.628752156411728</c:v>
                </c:pt>
                <c:pt idx="10">
                  <c:v>59.628752156411728</c:v>
                </c:pt>
                <c:pt idx="11">
                  <c:v>59.628752156411728</c:v>
                </c:pt>
                <c:pt idx="12">
                  <c:v>59.628752156411728</c:v>
                </c:pt>
                <c:pt idx="13">
                  <c:v>59.628752156411728</c:v>
                </c:pt>
                <c:pt idx="14">
                  <c:v>59.628752156411728</c:v>
                </c:pt>
                <c:pt idx="15">
                  <c:v>59.628752156411728</c:v>
                </c:pt>
                <c:pt idx="16">
                  <c:v>59.628752156411728</c:v>
                </c:pt>
                <c:pt idx="17">
                  <c:v>59.628752156411728</c:v>
                </c:pt>
                <c:pt idx="18">
                  <c:v>59.628752156411728</c:v>
                </c:pt>
                <c:pt idx="19">
                  <c:v>59.628752156411728</c:v>
                </c:pt>
                <c:pt idx="20">
                  <c:v>59.628752156411728</c:v>
                </c:pt>
                <c:pt idx="21">
                  <c:v>59.628752156411728</c:v>
                </c:pt>
                <c:pt idx="22">
                  <c:v>59.628752156411728</c:v>
                </c:pt>
                <c:pt idx="23">
                  <c:v>59.628752156411728</c:v>
                </c:pt>
                <c:pt idx="24">
                  <c:v>59.628752156411728</c:v>
                </c:pt>
                <c:pt idx="25">
                  <c:v>59.628752156411728</c:v>
                </c:pt>
                <c:pt idx="26">
                  <c:v>59.628752156411728</c:v>
                </c:pt>
                <c:pt idx="27">
                  <c:v>59.628752156411728</c:v>
                </c:pt>
                <c:pt idx="28">
                  <c:v>59.628752156411728</c:v>
                </c:pt>
                <c:pt idx="29">
                  <c:v>58.963875394102828</c:v>
                </c:pt>
                <c:pt idx="30">
                  <c:v>56.998412880966065</c:v>
                </c:pt>
                <c:pt idx="31">
                  <c:v>55.159754400934901</c:v>
                </c:pt>
                <c:pt idx="32">
                  <c:v>53.436012075905687</c:v>
                </c:pt>
                <c:pt idx="33">
                  <c:v>51.816738982696421</c:v>
                </c:pt>
                <c:pt idx="34">
                  <c:v>50.292717247911234</c:v>
                </c:pt>
                <c:pt idx="35">
                  <c:v>48.855782469399486</c:v>
                </c:pt>
                <c:pt idx="36">
                  <c:v>47.498677400805057</c:v>
                </c:pt>
                <c:pt idx="37">
                  <c:v>46.214929362945462</c:v>
                </c:pt>
                <c:pt idx="38">
                  <c:v>44.998747011288998</c:v>
                </c:pt>
                <c:pt idx="39">
                  <c:v>43.844932985358511</c:v>
                </c:pt>
                <c:pt idx="40">
                  <c:v>42.748809660724547</c:v>
                </c:pt>
                <c:pt idx="41">
                  <c:v>41.706155766560535</c:v>
                </c:pt>
                <c:pt idx="42">
                  <c:v>40.713152057832907</c:v>
                </c:pt>
                <c:pt idx="43">
                  <c:v>39.766334568115859</c:v>
                </c:pt>
                <c:pt idx="44">
                  <c:v>38.862554237022316</c:v>
                </c:pt>
                <c:pt idx="45">
                  <c:v>37.998941920644043</c:v>
                </c:pt>
                <c:pt idx="46">
                  <c:v>37.172877965847434</c:v>
                </c:pt>
                <c:pt idx="47">
                  <c:v>36.381965668701746</c:v>
                </c:pt>
                <c:pt idx="48">
                  <c:v>35.624008050603791</c:v>
                </c:pt>
                <c:pt idx="49">
                  <c:v>34.896987478142492</c:v>
                </c:pt>
                <c:pt idx="50">
                  <c:v>34.199047728579643</c:v>
                </c:pt>
                <c:pt idx="51">
                  <c:v>33.528478165274159</c:v>
                </c:pt>
                <c:pt idx="52">
                  <c:v>32.883699739018887</c:v>
                </c:pt>
                <c:pt idx="53">
                  <c:v>32.263252574131734</c:v>
                </c:pt>
                <c:pt idx="54">
                  <c:v>31.665784933870036</c:v>
                </c:pt>
                <c:pt idx="55">
                  <c:v>31.090043389617854</c:v>
                </c:pt>
                <c:pt idx="56">
                  <c:v>30.534864043374679</c:v>
                </c:pt>
                <c:pt idx="57">
                  <c:v>29.999164674192667</c:v>
                </c:pt>
                <c:pt idx="58">
                  <c:v>29.481937697051414</c:v>
                </c:pt>
                <c:pt idx="59">
                  <c:v>28.982243837779354</c:v>
                </c:pt>
                <c:pt idx="60">
                  <c:v>28.499206440483032</c:v>
                </c:pt>
                <c:pt idx="61">
                  <c:v>28.032006334901343</c:v>
                </c:pt>
                <c:pt idx="62">
                  <c:v>27.57987720046745</c:v>
                </c:pt>
                <c:pt idx="63">
                  <c:v>27.142101371888604</c:v>
                </c:pt>
                <c:pt idx="64">
                  <c:v>26.718006037952843</c:v>
                </c:pt>
                <c:pt idx="65">
                  <c:v>26.306959791215107</c:v>
                </c:pt>
                <c:pt idx="66">
                  <c:v>25.908369491348211</c:v>
                </c:pt>
                <c:pt idx="67">
                  <c:v>25.521677409387792</c:v>
                </c:pt>
                <c:pt idx="68">
                  <c:v>25.146358623955617</c:v>
                </c:pt>
                <c:pt idx="69">
                  <c:v>24.78191864389829</c:v>
                </c:pt>
                <c:pt idx="70">
                  <c:v>24.427891234699743</c:v>
                </c:pt>
                <c:pt idx="71">
                  <c:v>24.083836428577211</c:v>
                </c:pt>
                <c:pt idx="72">
                  <c:v>23.749338700402529</c:v>
                </c:pt>
                <c:pt idx="73">
                  <c:v>23.424005293547697</c:v>
                </c:pt>
                <c:pt idx="74">
                  <c:v>23.107464681472731</c:v>
                </c:pt>
                <c:pt idx="75">
                  <c:v>22.799365152386425</c:v>
                </c:pt>
                <c:pt idx="76">
                  <c:v>22.499373505644499</c:v>
                </c:pt>
                <c:pt idx="77">
                  <c:v>22.207173849727038</c:v>
                </c:pt>
                <c:pt idx="78">
                  <c:v>21.922466492679256</c:v>
                </c:pt>
                <c:pt idx="79">
                  <c:v>21.644966916822558</c:v>
                </c:pt>
                <c:pt idx="80">
                  <c:v>21.374404830362273</c:v>
                </c:pt>
                <c:pt idx="81">
                  <c:v>21.110523289246689</c:v>
                </c:pt>
                <c:pt idx="82">
                  <c:v>20.853077883280267</c:v>
                </c:pt>
                <c:pt idx="83">
                  <c:v>20.601835981072071</c:v>
                </c:pt>
                <c:pt idx="84">
                  <c:v>20.356576028916454</c:v>
                </c:pt>
                <c:pt idx="85">
                  <c:v>20.117086899164494</c:v>
                </c:pt>
                <c:pt idx="86">
                  <c:v>19.883167284057929</c:v>
                </c:pt>
                <c:pt idx="87">
                  <c:v>19.654625131367609</c:v>
                </c:pt>
                <c:pt idx="88">
                  <c:v>19.431277118511158</c:v>
                </c:pt>
                <c:pt idx="89">
                  <c:v>19.212948162123393</c:v>
                </c:pt>
                <c:pt idx="90">
                  <c:v>18.999470960322022</c:v>
                </c:pt>
                <c:pt idx="91">
                  <c:v>18.790685565153648</c:v>
                </c:pt>
                <c:pt idx="92">
                  <c:v>18.586438982923717</c:v>
                </c:pt>
                <c:pt idx="93">
                  <c:v>18.386584800311635</c:v>
                </c:pt>
                <c:pt idx="94">
                  <c:v>18.190982834350873</c:v>
                </c:pt>
                <c:pt idx="95">
                  <c:v>17.9994988045156</c:v>
                </c:pt>
                <c:pt idx="96">
                  <c:v>17.812004025301896</c:v>
                </c:pt>
                <c:pt idx="97">
                  <c:v>17.628375117824557</c:v>
                </c:pt>
                <c:pt idx="98">
                  <c:v>17.448493739071246</c:v>
                </c:pt>
                <c:pt idx="99">
                  <c:v>17.272246327565476</c:v>
                </c:pt>
                <c:pt idx="100">
                  <c:v>17.099523864289822</c:v>
                </c:pt>
                <c:pt idx="101">
                  <c:v>16.930221647811702</c:v>
                </c:pt>
                <c:pt idx="102">
                  <c:v>16.764239082637079</c:v>
                </c:pt>
                <c:pt idx="103">
                  <c:v>16.60147947989303</c:v>
                </c:pt>
                <c:pt idx="104">
                  <c:v>16.441849869509443</c:v>
                </c:pt>
                <c:pt idx="105">
                  <c:v>16.285260823133161</c:v>
                </c:pt>
                <c:pt idx="106">
                  <c:v>16.131626287065867</c:v>
                </c:pt>
                <c:pt idx="107">
                  <c:v>15.980863424569925</c:v>
                </c:pt>
                <c:pt idx="108">
                  <c:v>15.832892466935018</c:v>
                </c:pt>
                <c:pt idx="109">
                  <c:v>15.687636572742955</c:v>
                </c:pt>
                <c:pt idx="110">
                  <c:v>15.545021694808927</c:v>
                </c:pt>
                <c:pt idx="111">
                  <c:v>15.404976454315152</c:v>
                </c:pt>
                <c:pt idx="112">
                  <c:v>15.267432021687339</c:v>
                </c:pt>
                <c:pt idx="113">
                  <c:v>15.1323220037963</c:v>
                </c:pt>
                <c:pt idx="114">
                  <c:v>14.999582337096333</c:v>
                </c:pt>
                <c:pt idx="115">
                  <c:v>14.869151186338973</c:v>
                </c:pt>
                <c:pt idx="116">
                  <c:v>14.740968848525707</c:v>
                </c:pt>
                <c:pt idx="117">
                  <c:v>14.61497766178617</c:v>
                </c:pt>
                <c:pt idx="118">
                  <c:v>14.491121918889677</c:v>
                </c:pt>
                <c:pt idx="119">
                  <c:v>14.369347785117496</c:v>
                </c:pt>
                <c:pt idx="120">
                  <c:v>14.249603220241516</c:v>
                </c:pt>
                <c:pt idx="121">
                  <c:v>14.131837904371752</c:v>
                </c:pt>
                <c:pt idx="122">
                  <c:v>14.016003167450672</c:v>
                </c:pt>
                <c:pt idx="123">
                  <c:v>13.902051922186846</c:v>
                </c:pt>
                <c:pt idx="124">
                  <c:v>13.789938600233725</c:v>
                </c:pt>
                <c:pt idx="125">
                  <c:v>13.679619091431857</c:v>
                </c:pt>
                <c:pt idx="126">
                  <c:v>13.571050685944302</c:v>
                </c:pt>
                <c:pt idx="127">
                  <c:v>13.464192019125843</c:v>
                </c:pt>
                <c:pt idx="128">
                  <c:v>13.359003018976422</c:v>
                </c:pt>
                <c:pt idx="129">
                  <c:v>13.25544485603862</c:v>
                </c:pt>
                <c:pt idx="130">
                  <c:v>13.153479895607553</c:v>
                </c:pt>
                <c:pt idx="131">
                  <c:v>13.053071652129633</c:v>
                </c:pt>
                <c:pt idx="132">
                  <c:v>12.954184745674105</c:v>
                </c:pt>
                <c:pt idx="133">
                  <c:v>12.856784860368286</c:v>
                </c:pt>
                <c:pt idx="134">
                  <c:v>12.760838704693896</c:v>
                </c:pt>
                <c:pt idx="135">
                  <c:v>12.666313973548014</c:v>
                </c:pt>
                <c:pt idx="136">
                  <c:v>12.573179311977809</c:v>
                </c:pt>
                <c:pt idx="137">
                  <c:v>12.481404280503519</c:v>
                </c:pt>
                <c:pt idx="138">
                  <c:v>12.390959321949145</c:v>
                </c:pt>
                <c:pt idx="139">
                  <c:v>12.301815729704906</c:v>
                </c:pt>
                <c:pt idx="140">
                  <c:v>12.213945617349871</c:v>
                </c:pt>
                <c:pt idx="141">
                  <c:v>12.127321889567249</c:v>
                </c:pt>
                <c:pt idx="142">
                  <c:v>12.041918214288605</c:v>
                </c:pt>
                <c:pt idx="143">
                  <c:v>11.957708996006867</c:v>
                </c:pt>
                <c:pt idx="144">
                  <c:v>11.874669350201264</c:v>
                </c:pt>
                <c:pt idx="145">
                  <c:v>11.792775078820565</c:v>
                </c:pt>
                <c:pt idx="146">
                  <c:v>11.712002646773849</c:v>
                </c:pt>
                <c:pt idx="147">
                  <c:v>11.632329159380831</c:v>
                </c:pt>
                <c:pt idx="148">
                  <c:v>11.553732340736365</c:v>
                </c:pt>
                <c:pt idx="149">
                  <c:v>11.476190512946188</c:v>
                </c:pt>
                <c:pt idx="150">
                  <c:v>11.399682576193213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61B-490C-919A-DCC7D898C732}"/>
            </c:ext>
          </c:extLst>
        </c:ser>
        <c:ser>
          <c:idx val="13"/>
          <c:order val="2"/>
          <c:tx>
            <c:strRef>
              <c:f>加速度入力!$V$52</c:f>
              <c:strCache>
                <c:ptCount val="1"/>
                <c:pt idx="0">
                  <c:v>3N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加速度入力!$X$56:$X$206</c:f>
              <c:numCache>
                <c:formatCode>General</c:formatCode>
                <c:ptCount val="15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  <c:pt idx="21">
                  <c:v>90</c:v>
                </c:pt>
                <c:pt idx="22">
                  <c:v>90</c:v>
                </c:pt>
                <c:pt idx="23">
                  <c:v>90</c:v>
                </c:pt>
                <c:pt idx="24">
                  <c:v>90</c:v>
                </c:pt>
                <c:pt idx="25">
                  <c:v>90</c:v>
                </c:pt>
                <c:pt idx="26">
                  <c:v>90</c:v>
                </c:pt>
                <c:pt idx="27">
                  <c:v>90</c:v>
                </c:pt>
                <c:pt idx="28">
                  <c:v>90</c:v>
                </c:pt>
                <c:pt idx="29">
                  <c:v>90</c:v>
                </c:pt>
                <c:pt idx="30">
                  <c:v>90</c:v>
                </c:pt>
                <c:pt idx="31">
                  <c:v>90</c:v>
                </c:pt>
                <c:pt idx="32">
                  <c:v>90</c:v>
                </c:pt>
                <c:pt idx="33">
                  <c:v>90</c:v>
                </c:pt>
                <c:pt idx="34">
                  <c:v>90</c:v>
                </c:pt>
                <c:pt idx="35">
                  <c:v>90</c:v>
                </c:pt>
                <c:pt idx="36">
                  <c:v>90</c:v>
                </c:pt>
                <c:pt idx="37">
                  <c:v>90</c:v>
                </c:pt>
                <c:pt idx="38">
                  <c:v>90</c:v>
                </c:pt>
                <c:pt idx="39">
                  <c:v>90</c:v>
                </c:pt>
                <c:pt idx="40">
                  <c:v>90</c:v>
                </c:pt>
                <c:pt idx="41">
                  <c:v>90</c:v>
                </c:pt>
                <c:pt idx="42">
                  <c:v>90</c:v>
                </c:pt>
                <c:pt idx="43">
                  <c:v>90</c:v>
                </c:pt>
                <c:pt idx="44">
                  <c:v>90</c:v>
                </c:pt>
                <c:pt idx="45">
                  <c:v>90</c:v>
                </c:pt>
                <c:pt idx="46">
                  <c:v>90</c:v>
                </c:pt>
                <c:pt idx="47">
                  <c:v>90</c:v>
                </c:pt>
                <c:pt idx="48">
                  <c:v>90</c:v>
                </c:pt>
                <c:pt idx="49">
                  <c:v>90</c:v>
                </c:pt>
                <c:pt idx="50">
                  <c:v>90</c:v>
                </c:pt>
                <c:pt idx="51">
                  <c:v>90</c:v>
                </c:pt>
                <c:pt idx="52">
                  <c:v>90</c:v>
                </c:pt>
                <c:pt idx="53">
                  <c:v>90</c:v>
                </c:pt>
                <c:pt idx="54">
                  <c:v>90</c:v>
                </c:pt>
                <c:pt idx="55">
                  <c:v>90</c:v>
                </c:pt>
                <c:pt idx="56">
                  <c:v>90</c:v>
                </c:pt>
                <c:pt idx="57">
                  <c:v>90</c:v>
                </c:pt>
                <c:pt idx="58">
                  <c:v>90</c:v>
                </c:pt>
                <c:pt idx="59">
                  <c:v>90</c:v>
                </c:pt>
                <c:pt idx="60">
                  <c:v>90</c:v>
                </c:pt>
                <c:pt idx="61">
                  <c:v>89.319326162576942</c:v>
                </c:pt>
                <c:pt idx="62">
                  <c:v>87.878691869632164</c:v>
                </c:pt>
                <c:pt idx="63">
                  <c:v>86.483791998685618</c:v>
                </c:pt>
                <c:pt idx="64">
                  <c:v>85.132482748706153</c:v>
                </c:pt>
                <c:pt idx="65">
                  <c:v>83.822752244879908</c:v>
                </c:pt>
                <c:pt idx="66">
                  <c:v>82.552710544199911</c:v>
                </c:pt>
                <c:pt idx="67">
                  <c:v>81.320580536077514</c:v>
                </c:pt>
                <c:pt idx="68">
                  <c:v>80.124689645841087</c:v>
                </c:pt>
                <c:pt idx="69">
                  <c:v>78.96346225966947</c:v>
                </c:pt>
                <c:pt idx="70">
                  <c:v>77.83541279881706</c:v>
                </c:pt>
                <c:pt idx="71">
                  <c:v>76.7391393791154</c:v>
                </c:pt>
                <c:pt idx="72">
                  <c:v>75.67331799884991</c:v>
                </c:pt>
                <c:pt idx="73">
                  <c:v>74.636697204345126</c:v>
                </c:pt>
                <c:pt idx="74">
                  <c:v>73.628093188070181</c:v>
                </c:pt>
                <c:pt idx="75">
                  <c:v>72.64638527889592</c:v>
                </c:pt>
                <c:pt idx="76">
                  <c:v>71.690511788384129</c:v>
                </c:pt>
                <c:pt idx="77">
                  <c:v>70.759466180742777</c:v>
                </c:pt>
                <c:pt idx="78">
                  <c:v>69.852293537399916</c:v>
                </c:pt>
                <c:pt idx="79">
                  <c:v>68.968087290091063</c:v>
                </c:pt>
                <c:pt idx="80">
                  <c:v>68.105986198964928</c:v>
                </c:pt>
                <c:pt idx="81">
                  <c:v>67.265171554533254</c:v>
                </c:pt>
                <c:pt idx="82">
                  <c:v>66.444864584356026</c:v>
                </c:pt>
                <c:pt idx="83">
                  <c:v>65.644324047195099</c:v>
                </c:pt>
                <c:pt idx="84">
                  <c:v>64.862843999014217</c:v>
                </c:pt>
                <c:pt idx="85">
                  <c:v>64.09975171667287</c:v>
                </c:pt>
                <c:pt idx="86">
                  <c:v>63.354405766478997</c:v>
                </c:pt>
                <c:pt idx="87">
                  <c:v>62.626194205944756</c:v>
                </c:pt>
                <c:pt idx="88">
                  <c:v>61.91453290814993</c:v>
                </c:pt>
                <c:pt idx="89">
                  <c:v>61.21886399906959</c:v>
                </c:pt>
                <c:pt idx="90">
                  <c:v>60.538654399079931</c:v>
                </c:pt>
                <c:pt idx="91">
                  <c:v>59.873394460628504</c:v>
                </c:pt>
                <c:pt idx="92">
                  <c:v>59.222596694752106</c:v>
                </c:pt>
                <c:pt idx="93">
                  <c:v>58.585794579754769</c:v>
                </c:pt>
                <c:pt idx="94">
                  <c:v>57.962541445927592</c:v>
                </c:pt>
                <c:pt idx="95">
                  <c:v>57.352409430707304</c:v>
                </c:pt>
                <c:pt idx="96">
                  <c:v>56.754988499137433</c:v>
                </c:pt>
                <c:pt idx="97">
                  <c:v>56.169885524919522</c:v>
                </c:pt>
                <c:pt idx="98">
                  <c:v>55.596723427726467</c:v>
                </c:pt>
                <c:pt idx="99">
                  <c:v>55.035140362799936</c:v>
                </c:pt>
                <c:pt idx="100">
                  <c:v>54.484788959171937</c:v>
                </c:pt>
                <c:pt idx="101">
                  <c:v>53.945335603140535</c:v>
                </c:pt>
                <c:pt idx="102">
                  <c:v>53.416459763894053</c:v>
                </c:pt>
                <c:pt idx="103">
                  <c:v>52.897853358419354</c:v>
                </c:pt>
                <c:pt idx="104">
                  <c:v>52.389220153049941</c:v>
                </c:pt>
                <c:pt idx="105">
                  <c:v>51.890275199211366</c:v>
                </c:pt>
                <c:pt idx="106">
                  <c:v>51.400744301105604</c:v>
                </c:pt>
                <c:pt idx="107">
                  <c:v>50.920363513244801</c:v>
                </c:pt>
                <c:pt idx="108">
                  <c:v>50.44887866589994</c:v>
                </c:pt>
                <c:pt idx="109">
                  <c:v>49.986044916671503</c:v>
                </c:pt>
                <c:pt idx="110">
                  <c:v>49.531626326519941</c:v>
                </c:pt>
                <c:pt idx="111">
                  <c:v>49.085395458713457</c:v>
                </c:pt>
                <c:pt idx="112">
                  <c:v>48.647132999260656</c:v>
                </c:pt>
                <c:pt idx="113">
                  <c:v>48.216627397497291</c:v>
                </c:pt>
                <c:pt idx="114">
                  <c:v>47.793674525589417</c:v>
                </c:pt>
                <c:pt idx="115">
                  <c:v>47.378077355801686</c:v>
                </c:pt>
                <c:pt idx="116">
                  <c:v>46.969645654458567</c:v>
                </c:pt>
                <c:pt idx="117">
                  <c:v>46.568195691599946</c:v>
                </c:pt>
                <c:pt idx="118">
                  <c:v>46.17354996539995</c:v>
                </c:pt>
                <c:pt idx="119">
                  <c:v>45.785536940480618</c:v>
                </c:pt>
                <c:pt idx="120">
                  <c:v>45.403990799309945</c:v>
                </c:pt>
                <c:pt idx="121">
                  <c:v>45.028751205927222</c:v>
                </c:pt>
                <c:pt idx="122">
                  <c:v>44.659663081288471</c:v>
                </c:pt>
                <c:pt idx="123">
                  <c:v>44.296576389570681</c:v>
                </c:pt>
                <c:pt idx="124">
                  <c:v>43.939345934816082</c:v>
                </c:pt>
                <c:pt idx="125">
                  <c:v>43.587831167337548</c:v>
                </c:pt>
                <c:pt idx="126">
                  <c:v>43.241895999342809</c:v>
                </c:pt>
                <c:pt idx="127">
                  <c:v>42.901408629269241</c:v>
                </c:pt>
                <c:pt idx="128">
                  <c:v>42.566241374353076</c:v>
                </c:pt>
                <c:pt idx="129">
                  <c:v>42.236270510985996</c:v>
                </c:pt>
                <c:pt idx="130">
                  <c:v>41.911376122439954</c:v>
                </c:pt>
                <c:pt idx="131">
                  <c:v>41.591441953566367</c:v>
                </c:pt>
                <c:pt idx="132">
                  <c:v>41.276355272099956</c:v>
                </c:pt>
                <c:pt idx="133">
                  <c:v>40.966006736219505</c:v>
                </c:pt>
                <c:pt idx="134">
                  <c:v>40.660290268038757</c:v>
                </c:pt>
                <c:pt idx="135">
                  <c:v>40.359102932719956</c:v>
                </c:pt>
                <c:pt idx="136">
                  <c:v>40.062344822920544</c:v>
                </c:pt>
                <c:pt idx="137">
                  <c:v>39.769918948300685</c:v>
                </c:pt>
                <c:pt idx="138">
                  <c:v>39.481731129834735</c:v>
                </c:pt>
                <c:pt idx="139">
                  <c:v>39.19768989868485</c:v>
                </c:pt>
                <c:pt idx="140">
                  <c:v>38.91770639940853</c:v>
                </c:pt>
                <c:pt idx="141">
                  <c:v>38.641694297285063</c:v>
                </c:pt>
                <c:pt idx="142">
                  <c:v>38.3695696895577</c:v>
                </c:pt>
                <c:pt idx="143">
                  <c:v>38.101251020399957</c:v>
                </c:pt>
                <c:pt idx="144">
                  <c:v>37.836658999424955</c:v>
                </c:pt>
                <c:pt idx="145">
                  <c:v>37.575716523566854</c:v>
                </c:pt>
                <c:pt idx="146">
                  <c:v>37.318348602172563</c:v>
                </c:pt>
                <c:pt idx="147">
                  <c:v>37.06448228515098</c:v>
                </c:pt>
                <c:pt idx="148">
                  <c:v>36.814046594035091</c:v>
                </c:pt>
                <c:pt idx="149">
                  <c:v>36.566972455820093</c:v>
                </c:pt>
                <c:pt idx="150">
                  <c:v>36.32319263944796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61B-490C-919A-DCC7D898C732}"/>
            </c:ext>
          </c:extLst>
        </c:ser>
        <c:ser>
          <c:idx val="14"/>
          <c:order val="3"/>
          <c:tx>
            <c:strRef>
              <c:f>加速度入力!$AE$52</c:f>
              <c:strCache>
                <c:ptCount val="1"/>
                <c:pt idx="0">
                  <c:v>4N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加速度入力!$AG$56:$AG$206</c:f>
              <c:numCache>
                <c:formatCode>General</c:formatCode>
                <c:ptCount val="151"/>
                <c:pt idx="0">
                  <c:v>118.7813686026452</c:v>
                </c:pt>
                <c:pt idx="1">
                  <c:v>118.7813686026452</c:v>
                </c:pt>
                <c:pt idx="2">
                  <c:v>118.7813686026452</c:v>
                </c:pt>
                <c:pt idx="3">
                  <c:v>118.7813686026452</c:v>
                </c:pt>
                <c:pt idx="4">
                  <c:v>118.7813686026452</c:v>
                </c:pt>
                <c:pt idx="5">
                  <c:v>118.7813686026452</c:v>
                </c:pt>
                <c:pt idx="6">
                  <c:v>118.7813686026452</c:v>
                </c:pt>
                <c:pt idx="7">
                  <c:v>118.7813686026452</c:v>
                </c:pt>
                <c:pt idx="8">
                  <c:v>118.7813686026452</c:v>
                </c:pt>
                <c:pt idx="9">
                  <c:v>118.7813686026452</c:v>
                </c:pt>
                <c:pt idx="10">
                  <c:v>118.7813686026452</c:v>
                </c:pt>
                <c:pt idx="11">
                  <c:v>118.7813686026452</c:v>
                </c:pt>
                <c:pt idx="12">
                  <c:v>118.7813686026452</c:v>
                </c:pt>
                <c:pt idx="13">
                  <c:v>118.7813686026452</c:v>
                </c:pt>
                <c:pt idx="14">
                  <c:v>118.7813686026452</c:v>
                </c:pt>
                <c:pt idx="15">
                  <c:v>118.7813686026452</c:v>
                </c:pt>
                <c:pt idx="16">
                  <c:v>118.7813686026452</c:v>
                </c:pt>
                <c:pt idx="17">
                  <c:v>118.7813686026452</c:v>
                </c:pt>
                <c:pt idx="18">
                  <c:v>118.7813686026452</c:v>
                </c:pt>
                <c:pt idx="19">
                  <c:v>118.7813686026452</c:v>
                </c:pt>
                <c:pt idx="20">
                  <c:v>118.7813686026452</c:v>
                </c:pt>
                <c:pt idx="21">
                  <c:v>118.7813686026452</c:v>
                </c:pt>
                <c:pt idx="22">
                  <c:v>118.7813686026452</c:v>
                </c:pt>
                <c:pt idx="23">
                  <c:v>118.7813686026452</c:v>
                </c:pt>
                <c:pt idx="24">
                  <c:v>118.7813686026452</c:v>
                </c:pt>
                <c:pt idx="25">
                  <c:v>118.7813686026452</c:v>
                </c:pt>
                <c:pt idx="26">
                  <c:v>118.7813686026452</c:v>
                </c:pt>
                <c:pt idx="27">
                  <c:v>118.7813686026452</c:v>
                </c:pt>
                <c:pt idx="28">
                  <c:v>118.7813686026452</c:v>
                </c:pt>
                <c:pt idx="29">
                  <c:v>118.7813686026452</c:v>
                </c:pt>
                <c:pt idx="30">
                  <c:v>118.7813686026452</c:v>
                </c:pt>
                <c:pt idx="31">
                  <c:v>118.7813686026452</c:v>
                </c:pt>
                <c:pt idx="32">
                  <c:v>118.7813686026452</c:v>
                </c:pt>
                <c:pt idx="33">
                  <c:v>118.7813686026452</c:v>
                </c:pt>
                <c:pt idx="34">
                  <c:v>118.7813686026452</c:v>
                </c:pt>
                <c:pt idx="35">
                  <c:v>118.7813686026452</c:v>
                </c:pt>
                <c:pt idx="36">
                  <c:v>118.7813686026452</c:v>
                </c:pt>
                <c:pt idx="37">
                  <c:v>118.7813686026452</c:v>
                </c:pt>
                <c:pt idx="38">
                  <c:v>118.7813686026452</c:v>
                </c:pt>
                <c:pt idx="39">
                  <c:v>118.7813686026452</c:v>
                </c:pt>
                <c:pt idx="40">
                  <c:v>118.7813686026452</c:v>
                </c:pt>
                <c:pt idx="41">
                  <c:v>118.7813686026452</c:v>
                </c:pt>
                <c:pt idx="42">
                  <c:v>118.7813686026452</c:v>
                </c:pt>
                <c:pt idx="43">
                  <c:v>118.7813686026452</c:v>
                </c:pt>
                <c:pt idx="44">
                  <c:v>118.7813686026452</c:v>
                </c:pt>
                <c:pt idx="45">
                  <c:v>118.7813686026452</c:v>
                </c:pt>
                <c:pt idx="46">
                  <c:v>118.7813686026452</c:v>
                </c:pt>
                <c:pt idx="47">
                  <c:v>118.7813686026452</c:v>
                </c:pt>
                <c:pt idx="48">
                  <c:v>118.7813686026452</c:v>
                </c:pt>
                <c:pt idx="49">
                  <c:v>118.7813686026452</c:v>
                </c:pt>
                <c:pt idx="50">
                  <c:v>118.7813686026452</c:v>
                </c:pt>
                <c:pt idx="51">
                  <c:v>118.7813686026452</c:v>
                </c:pt>
                <c:pt idx="52">
                  <c:v>118.7813686026452</c:v>
                </c:pt>
                <c:pt idx="53">
                  <c:v>118.7813686026452</c:v>
                </c:pt>
                <c:pt idx="54">
                  <c:v>118.7813686026452</c:v>
                </c:pt>
                <c:pt idx="55">
                  <c:v>118.7813686026452</c:v>
                </c:pt>
                <c:pt idx="56">
                  <c:v>118.7813686026452</c:v>
                </c:pt>
                <c:pt idx="57">
                  <c:v>118.7813686026452</c:v>
                </c:pt>
                <c:pt idx="58">
                  <c:v>118.7813686026452</c:v>
                </c:pt>
                <c:pt idx="59">
                  <c:v>118.7813686026452</c:v>
                </c:pt>
                <c:pt idx="60">
                  <c:v>118.7813686026452</c:v>
                </c:pt>
                <c:pt idx="61">
                  <c:v>118.7813686026452</c:v>
                </c:pt>
                <c:pt idx="62">
                  <c:v>118.7813686026452</c:v>
                </c:pt>
                <c:pt idx="63">
                  <c:v>118.7813686026452</c:v>
                </c:pt>
                <c:pt idx="64">
                  <c:v>118.7813686026452</c:v>
                </c:pt>
                <c:pt idx="65">
                  <c:v>118.7813686026452</c:v>
                </c:pt>
                <c:pt idx="66">
                  <c:v>118.7813686026452</c:v>
                </c:pt>
                <c:pt idx="67">
                  <c:v>118.7813686026452</c:v>
                </c:pt>
                <c:pt idx="68">
                  <c:v>118.7813686026452</c:v>
                </c:pt>
                <c:pt idx="69">
                  <c:v>118.7813686026452</c:v>
                </c:pt>
                <c:pt idx="70">
                  <c:v>118.7813686026452</c:v>
                </c:pt>
                <c:pt idx="71">
                  <c:v>118.7813686026452</c:v>
                </c:pt>
                <c:pt idx="72">
                  <c:v>118.7813686026452</c:v>
                </c:pt>
                <c:pt idx="73">
                  <c:v>118.7813686026452</c:v>
                </c:pt>
                <c:pt idx="74">
                  <c:v>118.7813686026452</c:v>
                </c:pt>
                <c:pt idx="75">
                  <c:v>118.7813686026452</c:v>
                </c:pt>
                <c:pt idx="76">
                  <c:v>118.7813686026452</c:v>
                </c:pt>
                <c:pt idx="77">
                  <c:v>117.96336153782963</c:v>
                </c:pt>
                <c:pt idx="78">
                  <c:v>116.45101074888309</c:v>
                </c:pt>
                <c:pt idx="79">
                  <c:v>114.97694732168205</c:v>
                </c:pt>
                <c:pt idx="80">
                  <c:v>113.53973548016101</c:v>
                </c:pt>
                <c:pt idx="81">
                  <c:v>112.13801035077631</c:v>
                </c:pt>
                <c:pt idx="82">
                  <c:v>110.77047363918147</c:v>
                </c:pt>
                <c:pt idx="83">
                  <c:v>109.4358896194323</c:v>
                </c:pt>
                <c:pt idx="84">
                  <c:v>108.13308140967716</c:v>
                </c:pt>
                <c:pt idx="85">
                  <c:v>106.86092751073978</c:v>
                </c:pt>
                <c:pt idx="86">
                  <c:v>105.61835858619629</c:v>
                </c:pt>
                <c:pt idx="87">
                  <c:v>104.40435446451588</c:v>
                </c:pt>
                <c:pt idx="88">
                  <c:v>103.21794134560092</c:v>
                </c:pt>
                <c:pt idx="89">
                  <c:v>102.05818919565036</c:v>
                </c:pt>
                <c:pt idx="90">
                  <c:v>100.92420931569868</c:v>
                </c:pt>
                <c:pt idx="91">
                  <c:v>99.815152070471228</c:v>
                </c:pt>
                <c:pt idx="92">
                  <c:v>98.730204765357399</c:v>
                </c:pt>
                <c:pt idx="93">
                  <c:v>97.668589660353561</c:v>
                </c:pt>
                <c:pt idx="94">
                  <c:v>96.629562110775339</c:v>
                </c:pt>
                <c:pt idx="95">
                  <c:v>95.612408825398745</c:v>
                </c:pt>
                <c:pt idx="96">
                  <c:v>94.616446233467514</c:v>
                </c:pt>
                <c:pt idx="97">
                  <c:v>93.641018952710112</c:v>
                </c:pt>
                <c:pt idx="98">
                  <c:v>92.68549835115185</c:v>
                </c:pt>
                <c:pt idx="99">
                  <c:v>91.749281196089711</c:v>
                </c:pt>
                <c:pt idx="100">
                  <c:v>90.831788384128814</c:v>
                </c:pt>
                <c:pt idx="101">
                  <c:v>89.932463746662194</c:v>
                </c:pt>
                <c:pt idx="102">
                  <c:v>89.050772925616485</c:v>
                </c:pt>
                <c:pt idx="103">
                  <c:v>88.186202314688174</c:v>
                </c:pt>
                <c:pt idx="104">
                  <c:v>87.338258061662316</c:v>
                </c:pt>
                <c:pt idx="105">
                  <c:v>86.50646512774172</c:v>
                </c:pt>
                <c:pt idx="106">
                  <c:v>85.690366400121519</c:v>
                </c:pt>
                <c:pt idx="107">
                  <c:v>84.889521854325992</c:v>
                </c:pt>
                <c:pt idx="108">
                  <c:v>84.103507763082234</c:v>
                </c:pt>
                <c:pt idx="109">
                  <c:v>83.331915948742036</c:v>
                </c:pt>
                <c:pt idx="110">
                  <c:v>82.574353076480733</c:v>
                </c:pt>
                <c:pt idx="111">
                  <c:v>81.830439985701631</c:v>
                </c:pt>
                <c:pt idx="112">
                  <c:v>81.099811057257867</c:v>
                </c:pt>
                <c:pt idx="113">
                  <c:v>80.38211361427328</c:v>
                </c:pt>
                <c:pt idx="114">
                  <c:v>79.677007354498954</c:v>
                </c:pt>
                <c:pt idx="115">
                  <c:v>78.984163812285928</c:v>
                </c:pt>
                <c:pt idx="116">
                  <c:v>78.303265848386914</c:v>
                </c:pt>
                <c:pt idx="117">
                  <c:v>77.634007165922057</c:v>
                </c:pt>
                <c:pt idx="118">
                  <c:v>76.976091850956621</c:v>
                </c:pt>
                <c:pt idx="119">
                  <c:v>76.329233936242701</c:v>
                </c:pt>
                <c:pt idx="120">
                  <c:v>75.693156986774014</c:v>
                </c:pt>
                <c:pt idx="121">
                  <c:v>75.067593705891582</c:v>
                </c:pt>
                <c:pt idx="122">
                  <c:v>74.452285560761325</c:v>
                </c:pt>
                <c:pt idx="123">
                  <c:v>73.846982426120988</c:v>
                </c:pt>
                <c:pt idx="124">
                  <c:v>73.251442245265167</c:v>
                </c:pt>
                <c:pt idx="125">
                  <c:v>72.665430707303045</c:v>
                </c:pt>
                <c:pt idx="126">
                  <c:v>72.088720939784778</c:v>
                </c:pt>
                <c:pt idx="127">
                  <c:v>71.521093215849461</c:v>
                </c:pt>
                <c:pt idx="128">
                  <c:v>70.962334675100635</c:v>
                </c:pt>
                <c:pt idx="129">
                  <c:v>70.412239057464191</c:v>
                </c:pt>
                <c:pt idx="130">
                  <c:v>69.870606449329856</c:v>
                </c:pt>
                <c:pt idx="131">
                  <c:v>69.337243041319709</c:v>
                </c:pt>
                <c:pt idx="132">
                  <c:v>68.81196089706728</c:v>
                </c:pt>
                <c:pt idx="133">
                  <c:v>68.294577732427683</c:v>
                </c:pt>
                <c:pt idx="134">
                  <c:v>67.784916704573746</c:v>
                </c:pt>
                <c:pt idx="135">
                  <c:v>67.282806210465793</c:v>
                </c:pt>
                <c:pt idx="136">
                  <c:v>66.788079694212357</c:v>
                </c:pt>
                <c:pt idx="137">
                  <c:v>66.300575462867741</c:v>
                </c:pt>
                <c:pt idx="138">
                  <c:v>65.820136510238271</c:v>
                </c:pt>
                <c:pt idx="139">
                  <c:v>65.346610348294107</c:v>
                </c:pt>
                <c:pt idx="140">
                  <c:v>64.879848845806293</c:v>
                </c:pt>
                <c:pt idx="141">
                  <c:v>64.419708073850217</c:v>
                </c:pt>
                <c:pt idx="142">
                  <c:v>63.966048157837193</c:v>
                </c:pt>
                <c:pt idx="143">
                  <c:v>63.518733135754417</c:v>
                </c:pt>
                <c:pt idx="144">
                  <c:v>63.077630822311676</c:v>
                </c:pt>
                <c:pt idx="145">
                  <c:v>62.642612678709526</c:v>
                </c:pt>
                <c:pt idx="146">
                  <c:v>62.213553687759457</c:v>
                </c:pt>
                <c:pt idx="147">
                  <c:v>61.790332234101236</c:v>
                </c:pt>
                <c:pt idx="148">
                  <c:v>61.372829989276227</c:v>
                </c:pt>
                <c:pt idx="149">
                  <c:v>60.960931801428735</c:v>
                </c:pt>
                <c:pt idx="150">
                  <c:v>60.554525589419207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61B-490C-919A-DCC7D898C732}"/>
            </c:ext>
          </c:extLst>
        </c:ser>
        <c:ser>
          <c:idx val="15"/>
          <c:order val="4"/>
          <c:tx>
            <c:strRef>
              <c:f>加速度入力!$AN$52</c:f>
              <c:strCache>
                <c:ptCount val="1"/>
                <c:pt idx="0">
                  <c:v>5N</c:v>
                </c:pt>
              </c:strCache>
            </c:strRef>
          </c:tx>
          <c:spPr>
            <a:ln w="28575" cap="rnd">
              <a:solidFill>
                <a:schemeClr val="accent6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加速度入力!$AP$56:$AP$206</c:f>
              <c:numCache>
                <c:formatCode>General</c:formatCode>
                <c:ptCount val="151"/>
                <c:pt idx="0">
                  <c:v>90.072455434157561</c:v>
                </c:pt>
                <c:pt idx="1">
                  <c:v>90.072455434157561</c:v>
                </c:pt>
                <c:pt idx="2">
                  <c:v>90.072455434157561</c:v>
                </c:pt>
                <c:pt idx="3">
                  <c:v>90.072455434157561</c:v>
                </c:pt>
                <c:pt idx="4">
                  <c:v>90.072455434157561</c:v>
                </c:pt>
                <c:pt idx="5">
                  <c:v>90.072455434157561</c:v>
                </c:pt>
                <c:pt idx="6">
                  <c:v>90.072455434157561</c:v>
                </c:pt>
                <c:pt idx="7">
                  <c:v>90.072455434157561</c:v>
                </c:pt>
                <c:pt idx="8">
                  <c:v>90.072455434157561</c:v>
                </c:pt>
                <c:pt idx="9">
                  <c:v>90.072455434157561</c:v>
                </c:pt>
                <c:pt idx="10">
                  <c:v>90.072455434157561</c:v>
                </c:pt>
                <c:pt idx="11">
                  <c:v>90.072455434157561</c:v>
                </c:pt>
                <c:pt idx="12">
                  <c:v>90.072455434157561</c:v>
                </c:pt>
                <c:pt idx="13">
                  <c:v>90.072455434157561</c:v>
                </c:pt>
                <c:pt idx="14">
                  <c:v>90.072455434157561</c:v>
                </c:pt>
                <c:pt idx="15">
                  <c:v>90.072455434157561</c:v>
                </c:pt>
                <c:pt idx="16">
                  <c:v>90.072455434157561</c:v>
                </c:pt>
                <c:pt idx="17">
                  <c:v>90.072455434157561</c:v>
                </c:pt>
                <c:pt idx="18">
                  <c:v>90.072455434157561</c:v>
                </c:pt>
                <c:pt idx="19">
                  <c:v>90.072455434157561</c:v>
                </c:pt>
                <c:pt idx="20">
                  <c:v>90.072455434157561</c:v>
                </c:pt>
                <c:pt idx="21">
                  <c:v>90.072455434157561</c:v>
                </c:pt>
                <c:pt idx="22">
                  <c:v>90.072455434157561</c:v>
                </c:pt>
                <c:pt idx="23">
                  <c:v>90.072455434157561</c:v>
                </c:pt>
                <c:pt idx="24">
                  <c:v>90.072455434157561</c:v>
                </c:pt>
                <c:pt idx="25">
                  <c:v>90.072455434157561</c:v>
                </c:pt>
                <c:pt idx="26">
                  <c:v>90.072455434157561</c:v>
                </c:pt>
                <c:pt idx="27">
                  <c:v>90.072455434157561</c:v>
                </c:pt>
                <c:pt idx="28">
                  <c:v>90.072455434157561</c:v>
                </c:pt>
                <c:pt idx="29">
                  <c:v>90.072455434157561</c:v>
                </c:pt>
                <c:pt idx="30">
                  <c:v>90.072455434157561</c:v>
                </c:pt>
                <c:pt idx="31">
                  <c:v>90.072455434157561</c:v>
                </c:pt>
                <c:pt idx="32">
                  <c:v>90.072455434157561</c:v>
                </c:pt>
                <c:pt idx="33">
                  <c:v>90.072455434157561</c:v>
                </c:pt>
                <c:pt idx="34">
                  <c:v>90.072455434157561</c:v>
                </c:pt>
                <c:pt idx="35">
                  <c:v>90.072455434157561</c:v>
                </c:pt>
                <c:pt idx="36">
                  <c:v>90.072455434157561</c:v>
                </c:pt>
                <c:pt idx="37">
                  <c:v>90.072455434157561</c:v>
                </c:pt>
                <c:pt idx="38">
                  <c:v>90.072455434157561</c:v>
                </c:pt>
                <c:pt idx="39">
                  <c:v>90.072455434157561</c:v>
                </c:pt>
                <c:pt idx="40">
                  <c:v>90.072455434157561</c:v>
                </c:pt>
                <c:pt idx="41">
                  <c:v>90.072455434157561</c:v>
                </c:pt>
                <c:pt idx="42">
                  <c:v>90.072455434157561</c:v>
                </c:pt>
                <c:pt idx="43">
                  <c:v>90.072455434157561</c:v>
                </c:pt>
                <c:pt idx="44">
                  <c:v>90.072455434157561</c:v>
                </c:pt>
                <c:pt idx="45">
                  <c:v>90.072455434157561</c:v>
                </c:pt>
                <c:pt idx="46">
                  <c:v>90.072455434157561</c:v>
                </c:pt>
                <c:pt idx="47">
                  <c:v>90.072455434157561</c:v>
                </c:pt>
                <c:pt idx="48">
                  <c:v>90.072455434157561</c:v>
                </c:pt>
                <c:pt idx="49">
                  <c:v>90.072455434157561</c:v>
                </c:pt>
                <c:pt idx="50">
                  <c:v>90.072455434157561</c:v>
                </c:pt>
                <c:pt idx="51">
                  <c:v>90.072455434157561</c:v>
                </c:pt>
                <c:pt idx="52">
                  <c:v>90.072455434157561</c:v>
                </c:pt>
                <c:pt idx="53">
                  <c:v>90.072455434157561</c:v>
                </c:pt>
                <c:pt idx="54">
                  <c:v>90.072455434157561</c:v>
                </c:pt>
                <c:pt idx="55">
                  <c:v>90.072455434157561</c:v>
                </c:pt>
                <c:pt idx="56">
                  <c:v>90.072455434157561</c:v>
                </c:pt>
                <c:pt idx="57">
                  <c:v>90.072455434157561</c:v>
                </c:pt>
                <c:pt idx="58">
                  <c:v>90.072455434157561</c:v>
                </c:pt>
                <c:pt idx="59">
                  <c:v>90.072455434157561</c:v>
                </c:pt>
                <c:pt idx="60">
                  <c:v>90.072455434157561</c:v>
                </c:pt>
                <c:pt idx="61">
                  <c:v>90.072455434157561</c:v>
                </c:pt>
                <c:pt idx="62">
                  <c:v>90.072455434157561</c:v>
                </c:pt>
                <c:pt idx="63">
                  <c:v>90.072455434157561</c:v>
                </c:pt>
                <c:pt idx="64">
                  <c:v>90.072455434157561</c:v>
                </c:pt>
                <c:pt idx="65">
                  <c:v>90.072455434157561</c:v>
                </c:pt>
                <c:pt idx="66">
                  <c:v>90.072455434157561</c:v>
                </c:pt>
                <c:pt idx="67">
                  <c:v>90.072455434157561</c:v>
                </c:pt>
                <c:pt idx="68">
                  <c:v>90.072455434157561</c:v>
                </c:pt>
                <c:pt idx="69">
                  <c:v>90.072455434157561</c:v>
                </c:pt>
                <c:pt idx="70">
                  <c:v>90.072455434157561</c:v>
                </c:pt>
                <c:pt idx="71">
                  <c:v>90.072455434157561</c:v>
                </c:pt>
                <c:pt idx="72">
                  <c:v>90.072455434157561</c:v>
                </c:pt>
                <c:pt idx="73">
                  <c:v>90.072455434157561</c:v>
                </c:pt>
                <c:pt idx="74">
                  <c:v>89.199521315449999</c:v>
                </c:pt>
                <c:pt idx="75">
                  <c:v>88.01019436457733</c:v>
                </c:pt>
                <c:pt idx="76">
                  <c:v>86.852165491359202</c:v>
                </c:pt>
                <c:pt idx="77">
                  <c:v>85.724215290172722</c:v>
                </c:pt>
                <c:pt idx="78">
                  <c:v>84.625186889016661</c:v>
                </c:pt>
                <c:pt idx="79">
                  <c:v>83.553981991687337</c:v>
                </c:pt>
                <c:pt idx="80">
                  <c:v>82.509557216791251</c:v>
                </c:pt>
                <c:pt idx="81">
                  <c:v>81.490920707941967</c:v>
                </c:pt>
                <c:pt idx="82">
                  <c:v>80.49712899199146</c:v>
                </c:pt>
                <c:pt idx="83">
                  <c:v>79.527284064377099</c:v>
                </c:pt>
                <c:pt idx="84">
                  <c:v>78.580530682658335</c:v>
                </c:pt>
                <c:pt idx="85">
                  <c:v>77.656053851097639</c:v>
                </c:pt>
                <c:pt idx="86">
                  <c:v>76.753076480736041</c:v>
                </c:pt>
                <c:pt idx="87">
                  <c:v>75.87085721084253</c:v>
                </c:pt>
                <c:pt idx="88">
                  <c:v>75.008688378901127</c:v>
                </c:pt>
                <c:pt idx="89">
                  <c:v>74.165894127452802</c:v>
                </c:pt>
                <c:pt idx="90">
                  <c:v>73.341828637147771</c:v>
                </c:pt>
                <c:pt idx="91">
                  <c:v>72.535874476299995</c:v>
                </c:pt>
                <c:pt idx="92">
                  <c:v>71.747441058079346</c:v>
                </c:pt>
                <c:pt idx="93">
                  <c:v>70.975963197239778</c:v>
                </c:pt>
                <c:pt idx="94">
                  <c:v>70.220899758971271</c:v>
                </c:pt>
                <c:pt idx="95">
                  <c:v>69.48173239308737</c:v>
                </c:pt>
                <c:pt idx="96">
                  <c:v>68.757964347326038</c:v>
                </c:pt>
                <c:pt idx="97">
                  <c:v>68.049119354054639</c:v>
                </c:pt>
                <c:pt idx="98">
                  <c:v>67.354740585135715</c:v>
                </c:pt>
                <c:pt idx="99">
                  <c:v>66.674389670134346</c:v>
                </c:pt>
                <c:pt idx="100">
                  <c:v>66.007645773432998</c:v>
                </c:pt>
                <c:pt idx="101">
                  <c:v>65.354104726171286</c:v>
                </c:pt>
                <c:pt idx="102">
                  <c:v>64.713378209248035</c:v>
                </c:pt>
                <c:pt idx="103">
                  <c:v>64.08509298391553</c:v>
                </c:pt>
                <c:pt idx="104">
                  <c:v>63.468890166762499</c:v>
                </c:pt>
                <c:pt idx="105">
                  <c:v>62.864424546126664</c:v>
                </c:pt>
                <c:pt idx="106">
                  <c:v>62.271363937200938</c:v>
                </c:pt>
                <c:pt idx="107">
                  <c:v>61.689388573301862</c:v>
                </c:pt>
                <c:pt idx="108">
                  <c:v>61.118190530956475</c:v>
                </c:pt>
                <c:pt idx="109">
                  <c:v>60.557473186635775</c:v>
                </c:pt>
                <c:pt idx="110">
                  <c:v>60.006950703120907</c:v>
                </c:pt>
                <c:pt idx="111">
                  <c:v>59.466347543633333</c:v>
                </c:pt>
                <c:pt idx="112">
                  <c:v>58.935398011993748</c:v>
                </c:pt>
                <c:pt idx="113">
                  <c:v>58.413845817197341</c:v>
                </c:pt>
                <c:pt idx="114">
                  <c:v>57.901443660906139</c:v>
                </c:pt>
                <c:pt idx="115">
                  <c:v>57.397952846463475</c:v>
                </c:pt>
                <c:pt idx="116">
                  <c:v>56.90314290813189</c:v>
                </c:pt>
                <c:pt idx="117">
                  <c:v>56.416791259344443</c:v>
                </c:pt>
                <c:pt idx="118">
                  <c:v>55.938682858841524</c:v>
                </c:pt>
                <c:pt idx="119">
                  <c:v>55.468609893641172</c:v>
                </c:pt>
                <c:pt idx="120">
                  <c:v>55.006371477860831</c:v>
                </c:pt>
                <c:pt idx="121">
                  <c:v>54.551773366473547</c:v>
                </c:pt>
                <c:pt idx="122">
                  <c:v>54.1046276831418</c:v>
                </c:pt>
                <c:pt idx="123">
                  <c:v>53.66475266132764</c:v>
                </c:pt>
                <c:pt idx="124">
                  <c:v>53.231972397929837</c:v>
                </c:pt>
                <c:pt idx="125">
                  <c:v>52.806116618746394</c:v>
                </c:pt>
                <c:pt idx="126">
                  <c:v>52.387020455105549</c:v>
                </c:pt>
                <c:pt idx="127">
                  <c:v>51.974524231049607</c:v>
                </c:pt>
                <c:pt idx="128">
                  <c:v>51.568473260494528</c:v>
                </c:pt>
                <c:pt idx="129">
                  <c:v>51.168717653824025</c:v>
                </c:pt>
                <c:pt idx="130">
                  <c:v>50.775112133409998</c:v>
                </c:pt>
                <c:pt idx="131">
                  <c:v>50.387515857582443</c:v>
                </c:pt>
                <c:pt idx="132">
                  <c:v>50.005792252600756</c:v>
                </c:pt>
                <c:pt idx="133">
                  <c:v>49.629808852205258</c:v>
                </c:pt>
                <c:pt idx="134">
                  <c:v>49.259437144352979</c:v>
                </c:pt>
                <c:pt idx="135">
                  <c:v>48.89455242476518</c:v>
                </c:pt>
                <c:pt idx="136">
                  <c:v>48.535033656936029</c:v>
                </c:pt>
                <c:pt idx="137">
                  <c:v>48.180763338272257</c:v>
                </c:pt>
                <c:pt idx="138">
                  <c:v>47.831627372052893</c:v>
                </c:pt>
                <c:pt idx="139">
                  <c:v>47.487514944915823</c:v>
                </c:pt>
                <c:pt idx="140">
                  <c:v>47.148318409594999</c:v>
                </c:pt>
                <c:pt idx="141">
                  <c:v>46.813933172647516</c:v>
                </c:pt>
                <c:pt idx="142">
                  <c:v>46.484257586924642</c:v>
                </c:pt>
                <c:pt idx="143">
                  <c:v>46.15919284855454</c:v>
                </c:pt>
                <c:pt idx="144">
                  <c:v>45.838642898217358</c:v>
                </c:pt>
                <c:pt idx="145">
                  <c:v>45.522514326505515</c:v>
                </c:pt>
                <c:pt idx="146">
                  <c:v>45.210716283173284</c:v>
                </c:pt>
                <c:pt idx="147">
                  <c:v>44.903160390090477</c:v>
                </c:pt>
                <c:pt idx="148">
                  <c:v>44.599760657725</c:v>
                </c:pt>
                <c:pt idx="149">
                  <c:v>44.300433404988588</c:v>
                </c:pt>
                <c:pt idx="150">
                  <c:v>44.005097182288665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761B-490C-919A-DCC7D898C7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8313088"/>
        <c:axId val="308311552"/>
      </c:lineChart>
      <c:catAx>
        <c:axId val="308304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8310016"/>
        <c:crossesAt val="0"/>
        <c:auto val="1"/>
        <c:lblAlgn val="ctr"/>
        <c:lblOffset val="125"/>
        <c:tickLblSkip val="50"/>
        <c:tickMarkSkip val="10"/>
        <c:noMultiLvlLbl val="0"/>
      </c:catAx>
      <c:valAx>
        <c:axId val="308310016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8304128"/>
        <c:crosses val="autoZero"/>
        <c:crossBetween val="between"/>
      </c:valAx>
      <c:valAx>
        <c:axId val="308311552"/>
        <c:scaling>
          <c:orientation val="minMax"/>
          <c:min val="0"/>
        </c:scaling>
        <c:delete val="0"/>
        <c:axPos val="r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#,##0_);[Red]\(#,##0\)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8313088"/>
        <c:crosses val="max"/>
        <c:crossBetween val="between"/>
        <c:majorUnit val="100"/>
        <c:minorUnit val="50"/>
      </c:valAx>
      <c:catAx>
        <c:axId val="30831308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08311552"/>
        <c:crossesAt val="0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ja-JP"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力行ノッチ曲線</a:t>
            </a: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(</a:t>
            </a:r>
            <a:r>
              <a:rPr lang="ja-JP" altLang="en-US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積車</a:t>
            </a:r>
            <a:r>
              <a:rPr lang="en-US" altLang="ja-JP">
                <a:latin typeface="Meiryo UI" panose="020B0604030504040204" pitchFamily="50" charset="-128"/>
                <a:ea typeface="Meiryo UI" panose="020B0604030504040204" pitchFamily="50" charset="-128"/>
                <a:cs typeface="Meiryo UI" panose="020B0604030504040204" pitchFamily="50" charset="-128"/>
              </a:rPr>
              <a:t>)</a:t>
            </a:r>
            <a:endParaRPr lang="ja-JP" altLang="en-US">
              <a:latin typeface="Meiryo UI" panose="020B0604030504040204" pitchFamily="50" charset="-128"/>
              <a:ea typeface="Meiryo UI" panose="020B0604030504040204" pitchFamily="50" charset="-128"/>
              <a:cs typeface="Meiryo UI" panose="020B0604030504040204" pitchFamily="50" charset="-128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33"/>
          <c:order val="5"/>
          <c:tx>
            <c:strRef>
              <c:f>加速度入力!$D$52</c:f>
              <c:strCache>
                <c:ptCount val="1"/>
                <c:pt idx="0">
                  <c:v>1N</c:v>
                </c:pt>
              </c:strCache>
            </c:strRef>
          </c:tx>
          <c:spPr>
            <a:ln w="28575" cap="rnd">
              <a:solidFill>
                <a:schemeClr val="accent4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加速度入力!$E$56:$E$206</c:f>
              <c:numCache>
                <c:formatCode>#,##0.00_);[Red]\(#,##0.00\)</c:formatCode>
                <c:ptCount val="151"/>
                <c:pt idx="0">
                  <c:v>0.76012341094420055</c:v>
                </c:pt>
                <c:pt idx="1">
                  <c:v>0.75996317002324765</c:v>
                </c:pt>
                <c:pt idx="2">
                  <c:v>0.75979377247824031</c:v>
                </c:pt>
                <c:pt idx="3">
                  <c:v>0.75961979662120571</c:v>
                </c:pt>
                <c:pt idx="4">
                  <c:v>0.75943666414011668</c:v>
                </c:pt>
                <c:pt idx="5">
                  <c:v>0.75924895334700038</c:v>
                </c:pt>
                <c:pt idx="6">
                  <c:v>0.75905208592982976</c:v>
                </c:pt>
                <c:pt idx="7">
                  <c:v>0.51909817628368626</c:v>
                </c:pt>
                <c:pt idx="8">
                  <c:v>0.36748554821178164</c:v>
                </c:pt>
                <c:pt idx="9">
                  <c:v>0.26982212978189291</c:v>
                </c:pt>
                <c:pt idx="10">
                  <c:v>0.2036912872404594</c:v>
                </c:pt>
                <c:pt idx="11">
                  <c:v>0.15709240104972924</c:v>
                </c:pt>
                <c:pt idx="12">
                  <c:v>0.12316113528308131</c:v>
                </c:pt>
                <c:pt idx="13">
                  <c:v>9.777137571102204E-2</c:v>
                </c:pt>
                <c:pt idx="14">
                  <c:v>7.8321000504420576E-2</c:v>
                </c:pt>
                <c:pt idx="15">
                  <c:v>6.3115928729513535E-2</c:v>
                </c:pt>
                <c:pt idx="16">
                  <c:v>5.1020988229475345E-2</c:v>
                </c:pt>
                <c:pt idx="17">
                  <c:v>4.1243930977031974E-2</c:v>
                </c:pt>
                <c:pt idx="18">
                  <c:v>3.3232087754488313E-2</c:v>
                </c:pt>
                <c:pt idx="19">
                  <c:v>2.6573860760926934E-2</c:v>
                </c:pt>
                <c:pt idx="20">
                  <c:v>2.0986982332802571E-2</c:v>
                </c:pt>
                <c:pt idx="21">
                  <c:v>1.6236418700971585E-2</c:v>
                </c:pt>
                <c:pt idx="22">
                  <c:v>1.21680110741792E-2</c:v>
                </c:pt>
                <c:pt idx="23">
                  <c:v>8.63894799833991E-3</c:v>
                </c:pt>
                <c:pt idx="24">
                  <c:v>5.5579503849471235E-3</c:v>
                </c:pt>
                <c:pt idx="25">
                  <c:v>2.8414270276209339E-3</c:v>
                </c:pt>
                <c:pt idx="26">
                  <c:v>4.3116840035702537E-4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B80-42E4-BA20-A9E08837DBF1}"/>
            </c:ext>
          </c:extLst>
        </c:ser>
        <c:ser>
          <c:idx val="34"/>
          <c:order val="6"/>
          <c:tx>
            <c:strRef>
              <c:f>加速度入力!$M$52</c:f>
              <c:strCache>
                <c:ptCount val="1"/>
                <c:pt idx="0">
                  <c:v>2N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加速度入力!$N$56:$N$206</c:f>
              <c:numCache>
                <c:formatCode>#,##0.00_);[Red]\(#,##0.00\)</c:formatCode>
                <c:ptCount val="151"/>
                <c:pt idx="0">
                  <c:v>1.6676913607252046</c:v>
                </c:pt>
                <c:pt idx="1">
                  <c:v>1.6675311198042517</c:v>
                </c:pt>
                <c:pt idx="2">
                  <c:v>1.6673617222592445</c:v>
                </c:pt>
                <c:pt idx="3">
                  <c:v>1.6671877464022098</c:v>
                </c:pt>
                <c:pt idx="4">
                  <c:v>1.6670046139211208</c:v>
                </c:pt>
                <c:pt idx="5">
                  <c:v>1.6668169031280047</c:v>
                </c:pt>
                <c:pt idx="6">
                  <c:v>1.6666200357108338</c:v>
                </c:pt>
                <c:pt idx="7">
                  <c:v>1.6664140116696087</c:v>
                </c:pt>
                <c:pt idx="8">
                  <c:v>1.6662034093163562</c:v>
                </c:pt>
                <c:pt idx="9">
                  <c:v>1.6659836503390495</c:v>
                </c:pt>
                <c:pt idx="10">
                  <c:v>1.6657547347376882</c:v>
                </c:pt>
                <c:pt idx="11">
                  <c:v>1.6655212408242996</c:v>
                </c:pt>
                <c:pt idx="12">
                  <c:v>1.6652785902868568</c:v>
                </c:pt>
                <c:pt idx="13">
                  <c:v>1.6650313614373866</c:v>
                </c:pt>
                <c:pt idx="14">
                  <c:v>1.6647749759638619</c:v>
                </c:pt>
                <c:pt idx="15">
                  <c:v>1.6645094338662827</c:v>
                </c:pt>
                <c:pt idx="16">
                  <c:v>1.6642393134566766</c:v>
                </c:pt>
                <c:pt idx="17">
                  <c:v>1.6639600364230156</c:v>
                </c:pt>
                <c:pt idx="18">
                  <c:v>1.6636761810773277</c:v>
                </c:pt>
                <c:pt idx="19">
                  <c:v>1.6633785907955581</c:v>
                </c:pt>
                <c:pt idx="20">
                  <c:v>1.6630810005137884</c:v>
                </c:pt>
                <c:pt idx="21">
                  <c:v>1.6627696752959371</c:v>
                </c:pt>
                <c:pt idx="22">
                  <c:v>1.6624583500780858</c:v>
                </c:pt>
                <c:pt idx="23">
                  <c:v>1.5661711993713201</c:v>
                </c:pt>
                <c:pt idx="24">
                  <c:v>1.4627776183133887</c:v>
                </c:pt>
                <c:pt idx="25">
                  <c:v>1.3698861160753237</c:v>
                </c:pt>
                <c:pt idx="26">
                  <c:v>1.2860704121771132</c:v>
                </c:pt>
                <c:pt idx="27">
                  <c:v>1.2101351112161325</c:v>
                </c:pt>
                <c:pt idx="28">
                  <c:v>1.1410821122266797</c:v>
                </c:pt>
                <c:pt idx="29">
                  <c:v>1.0780739096620771</c:v>
                </c:pt>
                <c:pt idx="30">
                  <c:v>1.0203911281093332</c:v>
                </c:pt>
                <c:pt idx="31">
                  <c:v>0.96742814438204605</c:v>
                </c:pt>
                <c:pt idx="32">
                  <c:v>0.91865670526648691</c:v>
                </c:pt>
                <c:pt idx="33">
                  <c:v>0.87362516360255715</c:v>
                </c:pt>
                <c:pt idx="34">
                  <c:v>0.83194676069132956</c:v>
                </c:pt>
                <c:pt idx="35">
                  <c:v>0.79327635786060635</c:v>
                </c:pt>
                <c:pt idx="36">
                  <c:v>0.75731636595948548</c:v>
                </c:pt>
                <c:pt idx="37">
                  <c:v>0.72381031682568198</c:v>
                </c:pt>
                <c:pt idx="38">
                  <c:v>0.69252380423454207</c:v>
                </c:pt>
                <c:pt idx="39">
                  <c:v>0.66325836444441588</c:v>
                </c:pt>
                <c:pt idx="40">
                  <c:v>0.63582945399865087</c:v>
                </c:pt>
                <c:pt idx="41">
                  <c:v>0.61007706663407668</c:v>
                </c:pt>
                <c:pt idx="42">
                  <c:v>0.58586310028666144</c:v>
                </c:pt>
                <c:pt idx="43">
                  <c:v>0.56305538928654841</c:v>
                </c:pt>
                <c:pt idx="44">
                  <c:v>0.54154411639924926</c:v>
                </c:pt>
                <c:pt idx="45">
                  <c:v>0.52122187453596447</c:v>
                </c:pt>
                <c:pt idx="46">
                  <c:v>0.50199600760084195</c:v>
                </c:pt>
                <c:pt idx="47">
                  <c:v>0.4837874103435178</c:v>
                </c:pt>
                <c:pt idx="48">
                  <c:v>0.46651575678017909</c:v>
                </c:pt>
                <c:pt idx="49">
                  <c:v>0.45011691516372565</c:v>
                </c:pt>
                <c:pt idx="50">
                  <c:v>0.43451927565914239</c:v>
                </c:pt>
                <c:pt idx="51">
                  <c:v>0.41967969622467044</c:v>
                </c:pt>
                <c:pt idx="52">
                  <c:v>0.40553254619853957</c:v>
                </c:pt>
                <c:pt idx="53">
                  <c:v>0.39203954620565273</c:v>
                </c:pt>
                <c:pt idx="54">
                  <c:v>0.37915726164881547</c:v>
                </c:pt>
                <c:pt idx="55">
                  <c:v>0.36684127723391075</c:v>
                </c:pt>
                <c:pt idx="56">
                  <c:v>0.35505499700182497</c:v>
                </c:pt>
                <c:pt idx="57">
                  <c:v>0.3437693286875847</c:v>
                </c:pt>
                <c:pt idx="58">
                  <c:v>0.332944090458068</c:v>
                </c:pt>
                <c:pt idx="59">
                  <c:v>0.32256438846656516</c:v>
                </c:pt>
                <c:pt idx="60">
                  <c:v>0.3125946119572332</c:v>
                </c:pt>
                <c:pt idx="61">
                  <c:v>0.30301028348100922</c:v>
                </c:pt>
                <c:pt idx="62">
                  <c:v>0.29378872521355914</c:v>
                </c:pt>
                <c:pt idx="63">
                  <c:v>0.28491347861551836</c:v>
                </c:pt>
                <c:pt idx="64">
                  <c:v>0.2763604270809159</c:v>
                </c:pt>
                <c:pt idx="65">
                  <c:v>0.26811598112128388</c:v>
                </c:pt>
                <c:pt idx="66">
                  <c:v>0.26015864976416986</c:v>
                </c:pt>
                <c:pt idx="67">
                  <c:v>0.25247724972681979</c:v>
                </c:pt>
                <c:pt idx="68">
                  <c:v>0.24504791980875185</c:v>
                </c:pt>
                <c:pt idx="69">
                  <c:v>0.23787066227100018</c:v>
                </c:pt>
                <c:pt idx="70">
                  <c:v>0.23091890425420522</c:v>
                </c:pt>
                <c:pt idx="71">
                  <c:v>0.22418978918160257</c:v>
                </c:pt>
                <c:pt idx="72">
                  <c:v>0.21767206491928007</c:v>
                </c:pt>
                <c:pt idx="73">
                  <c:v>0.2113460258352321</c:v>
                </c:pt>
                <c:pt idx="74">
                  <c:v>0.20521550817418346</c:v>
                </c:pt>
                <c:pt idx="75">
                  <c:v>0.1992574804309076</c:v>
                </c:pt>
                <c:pt idx="76">
                  <c:v>0.19347236074462562</c:v>
                </c:pt>
                <c:pt idx="77">
                  <c:v>0.18784735011376902</c:v>
                </c:pt>
                <c:pt idx="78">
                  <c:v>0.18237928705303422</c:v>
                </c:pt>
                <c:pt idx="79">
                  <c:v>0.17705630050446425</c:v>
                </c:pt>
                <c:pt idx="80">
                  <c:v>0.17187609201793605</c:v>
                </c:pt>
                <c:pt idx="81">
                  <c:v>0.16682301563802027</c:v>
                </c:pt>
                <c:pt idx="82">
                  <c:v>0.16190467813019502</c:v>
                </c:pt>
                <c:pt idx="83">
                  <c:v>0.15710155335378714</c:v>
                </c:pt>
                <c:pt idx="84">
                  <c:v>0.15241732138814712</c:v>
                </c:pt>
                <c:pt idx="85">
                  <c:v>0.14784679976312778</c:v>
                </c:pt>
                <c:pt idx="86">
                  <c:v>0.1433805027554261</c:v>
                </c:pt>
                <c:pt idx="87">
                  <c:v>0.13901378043029855</c:v>
                </c:pt>
                <c:pt idx="88">
                  <c:v>0.13474222405749331</c:v>
                </c:pt>
                <c:pt idx="89">
                  <c:v>0.13056622935030573</c:v>
                </c:pt>
                <c:pt idx="90">
                  <c:v>0.1264772475549362</c:v>
                </c:pt>
                <c:pt idx="91">
                  <c:v>0.12247608573125043</c:v>
                </c:pt>
                <c:pt idx="92">
                  <c:v>0.11855458146181454</c:v>
                </c:pt>
                <c:pt idx="93">
                  <c:v>0.11471390490652615</c:v>
                </c:pt>
                <c:pt idx="94">
                  <c:v>0.1109462351421274</c:v>
                </c:pt>
                <c:pt idx="95">
                  <c:v>0.10724848540487857</c:v>
                </c:pt>
                <c:pt idx="96">
                  <c:v>0.10362229405952406</c:v>
                </c:pt>
                <c:pt idx="97">
                  <c:v>0.10006028124294643</c:v>
                </c:pt>
                <c:pt idx="98">
                  <c:v>9.6559775943654905E-2</c:v>
                </c:pt>
                <c:pt idx="99">
                  <c:v>9.3122808665831919E-2</c:v>
                </c:pt>
                <c:pt idx="100">
                  <c:v>8.9742369638590183E-2</c:v>
                </c:pt>
                <c:pt idx="101">
                  <c:v>8.6420715654696528E-2</c:v>
                </c:pt>
                <c:pt idx="102">
                  <c:v>8.315105082535855E-2</c:v>
                </c:pt>
                <c:pt idx="103">
                  <c:v>7.9931255901228668E-2</c:v>
                </c:pt>
                <c:pt idx="104">
                  <c:v>7.6763883011588777E-2</c:v>
                </c:pt>
                <c:pt idx="105">
                  <c:v>7.3642415796210225E-2</c:v>
                </c:pt>
                <c:pt idx="106">
                  <c:v>7.056499971469278E-2</c:v>
                </c:pt>
                <c:pt idx="107">
                  <c:v>6.753443770346601E-2</c:v>
                </c:pt>
                <c:pt idx="108">
                  <c:v>6.4544451160593222E-2</c:v>
                </c:pt>
                <c:pt idx="109">
                  <c:v>6.1597989360348604E-2</c:v>
                </c:pt>
                <c:pt idx="110">
                  <c:v>5.8688912600281015E-2</c:v>
                </c:pt>
                <c:pt idx="111">
                  <c:v>5.5820302057624713E-2</c:v>
                </c:pt>
                <c:pt idx="112">
                  <c:v>5.2981565036205776E-2</c:v>
                </c:pt>
                <c:pt idx="113">
                  <c:v>5.0185058455147598E-2</c:v>
                </c:pt>
                <c:pt idx="114">
                  <c:v>4.7415724582205838E-2</c:v>
                </c:pt>
                <c:pt idx="115">
                  <c:v>4.4681449793463397E-2</c:v>
                </c:pt>
                <c:pt idx="116">
                  <c:v>4.1976435555728255E-2</c:v>
                </c:pt>
                <c:pt idx="117">
                  <c:v>3.9304087606731056E-2</c:v>
                </c:pt>
                <c:pt idx="118">
                  <c:v>3.665870045946084E-2</c:v>
                </c:pt>
                <c:pt idx="119">
                  <c:v>3.4043768526689867E-2</c:v>
                </c:pt>
                <c:pt idx="120">
                  <c:v>3.1453670865439341E-2</c:v>
                </c:pt>
                <c:pt idx="121">
                  <c:v>2.8887404214537102E-2</c:v>
                </c:pt>
                <c:pt idx="122">
                  <c:v>2.6348581198243366E-2</c:v>
                </c:pt>
                <c:pt idx="123">
                  <c:v>2.3831693689665232E-2</c:v>
                </c:pt>
                <c:pt idx="124">
                  <c:v>2.1335846136358163E-2</c:v>
                </c:pt>
                <c:pt idx="125">
                  <c:v>1.8864754034423486E-2</c:v>
                </c:pt>
                <c:pt idx="126">
                  <c:v>1.6413007546025125E-2</c:v>
                </c:pt>
                <c:pt idx="127">
                  <c:v>1.3984383375863961E-2</c:v>
                </c:pt>
                <c:pt idx="128">
                  <c:v>1.1573530221784171E-2</c:v>
                </c:pt>
                <c:pt idx="129">
                  <c:v>9.17970247579529E-3</c:v>
                </c:pt>
                <c:pt idx="130">
                  <c:v>6.806759051384885E-3</c:v>
                </c:pt>
                <c:pt idx="131">
                  <c:v>4.4494273335216952E-3</c:v>
                </c:pt>
                <c:pt idx="132">
                  <c:v>2.1116153682526079E-3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B80-42E4-BA20-A9E08837DBF1}"/>
            </c:ext>
          </c:extLst>
        </c:ser>
        <c:ser>
          <c:idx val="35"/>
          <c:order val="7"/>
          <c:tx>
            <c:strRef>
              <c:f>加速度入力!$V$52</c:f>
              <c:strCache>
                <c:ptCount val="1"/>
                <c:pt idx="0">
                  <c:v>3N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加速度入力!$W$56:$W$206</c:f>
              <c:numCache>
                <c:formatCode>#,##0.00_);[Red]\(#,##0.00\)</c:formatCode>
                <c:ptCount val="151"/>
                <c:pt idx="0">
                  <c:v>2.5237258303277565</c:v>
                </c:pt>
                <c:pt idx="1">
                  <c:v>2.5235655894068034</c:v>
                </c:pt>
                <c:pt idx="2">
                  <c:v>2.5233961918617962</c:v>
                </c:pt>
                <c:pt idx="3">
                  <c:v>2.5232222160047617</c:v>
                </c:pt>
                <c:pt idx="4">
                  <c:v>2.5230390835236727</c:v>
                </c:pt>
                <c:pt idx="5">
                  <c:v>2.5228513727305564</c:v>
                </c:pt>
                <c:pt idx="6">
                  <c:v>2.5226545053133855</c:v>
                </c:pt>
                <c:pt idx="7">
                  <c:v>2.5224484812721606</c:v>
                </c:pt>
                <c:pt idx="8">
                  <c:v>2.5222378789189079</c:v>
                </c:pt>
                <c:pt idx="9">
                  <c:v>2.5220181199416012</c:v>
                </c:pt>
                <c:pt idx="10">
                  <c:v>2.5217892043402399</c:v>
                </c:pt>
                <c:pt idx="11">
                  <c:v>2.5215557104268513</c:v>
                </c:pt>
                <c:pt idx="12">
                  <c:v>2.5213130598894082</c:v>
                </c:pt>
                <c:pt idx="13">
                  <c:v>2.5210658310399383</c:v>
                </c:pt>
                <c:pt idx="14">
                  <c:v>2.5208094455664134</c:v>
                </c:pt>
                <c:pt idx="15">
                  <c:v>2.5205439034688344</c:v>
                </c:pt>
                <c:pt idx="16">
                  <c:v>2.5202737830592286</c:v>
                </c:pt>
                <c:pt idx="17">
                  <c:v>2.5199945060255673</c:v>
                </c:pt>
                <c:pt idx="18">
                  <c:v>2.5197106506798796</c:v>
                </c:pt>
                <c:pt idx="19">
                  <c:v>2.5194130603981097</c:v>
                </c:pt>
                <c:pt idx="20">
                  <c:v>2.5191154701163398</c:v>
                </c:pt>
                <c:pt idx="21">
                  <c:v>2.518804144898489</c:v>
                </c:pt>
                <c:pt idx="22">
                  <c:v>2.5184928196806373</c:v>
                </c:pt>
                <c:pt idx="23">
                  <c:v>2.5181677595267042</c:v>
                </c:pt>
                <c:pt idx="24">
                  <c:v>2.5178381210607439</c:v>
                </c:pt>
                <c:pt idx="25">
                  <c:v>2.5174993259707295</c:v>
                </c:pt>
                <c:pt idx="26">
                  <c:v>2.5171559525686877</c:v>
                </c:pt>
                <c:pt idx="27">
                  <c:v>2.516803422542591</c:v>
                </c:pt>
                <c:pt idx="28">
                  <c:v>2.5164417358924402</c:v>
                </c:pt>
                <c:pt idx="29">
                  <c:v>2.5160754709302622</c:v>
                </c:pt>
                <c:pt idx="30">
                  <c:v>2.5157000493440296</c:v>
                </c:pt>
                <c:pt idx="31">
                  <c:v>2.5153200494457697</c:v>
                </c:pt>
                <c:pt idx="32">
                  <c:v>2.5149308929234557</c:v>
                </c:pt>
                <c:pt idx="33">
                  <c:v>2.5145325797770872</c:v>
                </c:pt>
                <c:pt idx="34">
                  <c:v>2.5141296883186914</c:v>
                </c:pt>
                <c:pt idx="35">
                  <c:v>2.5137176402362411</c:v>
                </c:pt>
                <c:pt idx="36">
                  <c:v>2.4428301090146962</c:v>
                </c:pt>
                <c:pt idx="37">
                  <c:v>2.3757469901035591</c:v>
                </c:pt>
                <c:pt idx="38">
                  <c:v>2.3121629954048206</c:v>
                </c:pt>
                <c:pt idx="39">
                  <c:v>2.1934383638045936</c:v>
                </c:pt>
                <c:pt idx="40">
                  <c:v>2.0834645867564694</c:v>
                </c:pt>
                <c:pt idx="41">
                  <c:v>1.9813975405043907</c:v>
                </c:pt>
                <c:pt idx="42">
                  <c:v>1.8864969590560829</c:v>
                </c:pt>
                <c:pt idx="43">
                  <c:v>1.7980990100680248</c:v>
                </c:pt>
                <c:pt idx="44">
                  <c:v>1.7156230714806517</c:v>
                </c:pt>
                <c:pt idx="45">
                  <c:v>1.6385436559008508</c:v>
                </c:pt>
                <c:pt idx="46">
                  <c:v>1.5663958522820174</c:v>
                </c:pt>
                <c:pt idx="47">
                  <c:v>1.4987682544417509</c:v>
                </c:pt>
                <c:pt idx="48">
                  <c:v>1.4352831749576505</c:v>
                </c:pt>
                <c:pt idx="49">
                  <c:v>1.3756097627172255</c:v>
                </c:pt>
                <c:pt idx="50">
                  <c:v>1.3194366356528417</c:v>
                </c:pt>
                <c:pt idx="51">
                  <c:v>1.2665046397170312</c:v>
                </c:pt>
                <c:pt idx="52">
                  <c:v>1.2165531354649686</c:v>
                </c:pt>
                <c:pt idx="53">
                  <c:v>1.1693674459696477</c:v>
                </c:pt>
                <c:pt idx="54">
                  <c:v>1.124744269243936</c:v>
                </c:pt>
                <c:pt idx="55">
                  <c:v>1.0824940373686958</c:v>
                </c:pt>
                <c:pt idx="56">
                  <c:v>1.0424481288148058</c:v>
                </c:pt>
                <c:pt idx="57">
                  <c:v>1.0044571607879087</c:v>
                </c:pt>
                <c:pt idx="58">
                  <c:v>0.96837117261749139</c:v>
                </c:pt>
                <c:pt idx="59">
                  <c:v>0.93407492572109219</c:v>
                </c:pt>
                <c:pt idx="60">
                  <c:v>0.90144094740536884</c:v>
                </c:pt>
                <c:pt idx="61">
                  <c:v>0.87036053946780101</c:v>
                </c:pt>
                <c:pt idx="62">
                  <c:v>0.84073369840232692</c:v>
                </c:pt>
                <c:pt idx="63">
                  <c:v>0.81247287229004517</c:v>
                </c:pt>
                <c:pt idx="64">
                  <c:v>0.7854884935731945</c:v>
                </c:pt>
                <c:pt idx="65">
                  <c:v>0.75970663826046303</c:v>
                </c:pt>
                <c:pt idx="66">
                  <c:v>0.73505012747172627</c:v>
                </c:pt>
                <c:pt idx="67">
                  <c:v>0.71145631615778304</c:v>
                </c:pt>
                <c:pt idx="68">
                  <c:v>0.68885373060525557</c:v>
                </c:pt>
                <c:pt idx="69">
                  <c:v>0.66719827142324273</c:v>
                </c:pt>
                <c:pt idx="70">
                  <c:v>0.64642247064611602</c:v>
                </c:pt>
                <c:pt idx="71">
                  <c:v>0.62648550904200273</c:v>
                </c:pt>
                <c:pt idx="72">
                  <c:v>0.60734085702609797</c:v>
                </c:pt>
                <c:pt idx="73">
                  <c:v>0.58893599336409086</c:v>
                </c:pt>
                <c:pt idx="74">
                  <c:v>0.57124419848699737</c:v>
                </c:pt>
                <c:pt idx="75">
                  <c:v>0.55421396181687776</c:v>
                </c:pt>
                <c:pt idx="76">
                  <c:v>0.53781913311402063</c:v>
                </c:pt>
                <c:pt idx="77">
                  <c:v>0.52202210486883449</c:v>
                </c:pt>
                <c:pt idx="78">
                  <c:v>0.50679652978998668</c:v>
                </c:pt>
                <c:pt idx="79">
                  <c:v>0.49210884880969902</c:v>
                </c:pt>
                <c:pt idx="80">
                  <c:v>0.47793645938782875</c:v>
                </c:pt>
                <c:pt idx="81">
                  <c:v>0.46424469145557812</c:v>
                </c:pt>
                <c:pt idx="82">
                  <c:v>0.4510233126565053</c:v>
                </c:pt>
                <c:pt idx="83">
                  <c:v>0.43823605582311098</c:v>
                </c:pt>
                <c:pt idx="84">
                  <c:v>0.42587087851994077</c:v>
                </c:pt>
                <c:pt idx="85">
                  <c:v>0.4139078213112099</c:v>
                </c:pt>
                <c:pt idx="86">
                  <c:v>0.40232350009431606</c:v>
                </c:pt>
                <c:pt idx="87">
                  <c:v>0.39110018362303622</c:v>
                </c:pt>
                <c:pt idx="88">
                  <c:v>0.38022114235065169</c:v>
                </c:pt>
                <c:pt idx="89">
                  <c:v>0.3696751595939981</c:v>
                </c:pt>
                <c:pt idx="90">
                  <c:v>0.35944273464273058</c:v>
                </c:pt>
                <c:pt idx="91">
                  <c:v>0.34951433879208849</c:v>
                </c:pt>
                <c:pt idx="92">
                  <c:v>0.33987204920890168</c:v>
                </c:pt>
                <c:pt idx="93">
                  <c:v>0.33050781325287043</c:v>
                </c:pt>
                <c:pt idx="94">
                  <c:v>0.32140508992555789</c:v>
                </c:pt>
                <c:pt idx="95">
                  <c:v>0.31255254282395112</c:v>
                </c:pt>
                <c:pt idx="96">
                  <c:v>0.30394400120307863</c:v>
                </c:pt>
                <c:pt idx="97">
                  <c:v>0.29556468889784793</c:v>
                </c:pt>
                <c:pt idx="98">
                  <c:v>0.28740492568533449</c:v>
                </c:pt>
                <c:pt idx="99">
                  <c:v>0.27946009607280181</c:v>
                </c:pt>
                <c:pt idx="100">
                  <c:v>0.27171688532345772</c:v>
                </c:pt>
                <c:pt idx="101">
                  <c:v>0.26417156566889999</c:v>
                </c:pt>
                <c:pt idx="102">
                  <c:v>0.25681165787156085</c:v>
                </c:pt>
                <c:pt idx="103">
                  <c:v>0.24962964267486562</c:v>
                </c:pt>
                <c:pt idx="104">
                  <c:v>0.24262293889043091</c:v>
                </c:pt>
                <c:pt idx="105">
                  <c:v>0.23578014800302022</c:v>
                </c:pt>
                <c:pt idx="106">
                  <c:v>0.22909476999230252</c:v>
                </c:pt>
                <c:pt idx="107">
                  <c:v>0.22256518546310763</c:v>
                </c:pt>
                <c:pt idx="108">
                  <c:v>0.21618090399241999</c:v>
                </c:pt>
                <c:pt idx="109">
                  <c:v>0.20994086172916276</c:v>
                </c:pt>
                <c:pt idx="110">
                  <c:v>0.20383509348900547</c:v>
                </c:pt>
                <c:pt idx="111">
                  <c:v>0.19786303226551372</c:v>
                </c:pt>
                <c:pt idx="112">
                  <c:v>0.19201060478775164</c:v>
                </c:pt>
                <c:pt idx="113">
                  <c:v>0.18628684592869643</c:v>
                </c:pt>
                <c:pt idx="114">
                  <c:v>0.18067352592408942</c:v>
                </c:pt>
                <c:pt idx="115">
                  <c:v>0.17517550114365965</c:v>
                </c:pt>
                <c:pt idx="116">
                  <c:v>0.16978407757437702</c:v>
                </c:pt>
                <c:pt idx="117">
                  <c:v>0.16449989295699788</c:v>
                </c:pt>
                <c:pt idx="118">
                  <c:v>0.15931459467100581</c:v>
                </c:pt>
                <c:pt idx="119">
                  <c:v>0.15422914463514828</c:v>
                </c:pt>
                <c:pt idx="120">
                  <c:v>0.14923549819665377</c:v>
                </c:pt>
                <c:pt idx="121">
                  <c:v>0.14433033165761175</c:v>
                </c:pt>
                <c:pt idx="122">
                  <c:v>0.13951503528866363</c:v>
                </c:pt>
                <c:pt idx="123">
                  <c:v>0.13478197180257906</c:v>
                </c:pt>
                <c:pt idx="124">
                  <c:v>0.13012820507052003</c:v>
                </c:pt>
                <c:pt idx="125">
                  <c:v>0.1255554942491314</c:v>
                </c:pt>
                <c:pt idx="126">
                  <c:v>0.1210565532965179</c:v>
                </c:pt>
                <c:pt idx="127">
                  <c:v>0.1166333589769922</c:v>
                </c:pt>
                <c:pt idx="128">
                  <c:v>0.11227883265522386</c:v>
                </c:pt>
                <c:pt idx="129">
                  <c:v>0.10799057054255386</c:v>
                </c:pt>
                <c:pt idx="130">
                  <c:v>0.10377083925877581</c:v>
                </c:pt>
                <c:pt idx="131">
                  <c:v>9.9612836694081025E-2</c:v>
                </c:pt>
                <c:pt idx="132">
                  <c:v>9.5519001277176718E-2</c:v>
                </c:pt>
                <c:pt idx="133">
                  <c:v>9.1482694955866709E-2</c:v>
                </c:pt>
                <c:pt idx="134">
                  <c:v>8.7501934558092201E-2</c:v>
                </c:pt>
                <c:pt idx="135">
                  <c:v>8.3579388401571864E-2</c:v>
                </c:pt>
                <c:pt idx="136">
                  <c:v>7.9708638141218702E-2</c:v>
                </c:pt>
                <c:pt idx="137">
                  <c:v>7.5887910652463739E-2</c:v>
                </c:pt>
                <c:pt idx="138">
                  <c:v>7.212007513278329E-2</c:v>
                </c:pt>
                <c:pt idx="139">
                  <c:v>6.8398905412582464E-2</c:v>
                </c:pt>
                <c:pt idx="140">
                  <c:v>6.4727390587426478E-2</c:v>
                </c:pt>
                <c:pt idx="141">
                  <c:v>6.1099419283457385E-2</c:v>
                </c:pt>
                <c:pt idx="142">
                  <c:v>5.7513512229139238E-2</c:v>
                </c:pt>
                <c:pt idx="143">
                  <c:v>5.3972820006251948E-2</c:v>
                </c:pt>
                <c:pt idx="144">
                  <c:v>5.0471385973747604E-2</c:v>
                </c:pt>
                <c:pt idx="145">
                  <c:v>4.7012457478753183E-2</c:v>
                </c:pt>
                <c:pt idx="146">
                  <c:v>4.3590170668687402E-2</c:v>
                </c:pt>
                <c:pt idx="147">
                  <c:v>4.0203283579623626E-2</c:v>
                </c:pt>
                <c:pt idx="148">
                  <c:v>3.6855174375665073E-2</c:v>
                </c:pt>
                <c:pt idx="149">
                  <c:v>3.3540104734673851E-2</c:v>
                </c:pt>
                <c:pt idx="150">
                  <c:v>3.0256953184216024E-2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B80-42E4-BA20-A9E08837DBF1}"/>
            </c:ext>
          </c:extLst>
        </c:ser>
        <c:ser>
          <c:idx val="36"/>
          <c:order val="8"/>
          <c:tx>
            <c:strRef>
              <c:f>加速度入力!$AE$52</c:f>
              <c:strCache>
                <c:ptCount val="1"/>
                <c:pt idx="0">
                  <c:v>4N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加速度入力!$AF$56:$AF$206</c:f>
              <c:numCache>
                <c:formatCode>#,##0.00_);[Red]\(#,##0.00\)</c:formatCode>
                <c:ptCount val="151"/>
                <c:pt idx="0">
                  <c:v>3.3349660950559321</c:v>
                </c:pt>
                <c:pt idx="1">
                  <c:v>3.334805854134979</c:v>
                </c:pt>
                <c:pt idx="2">
                  <c:v>3.3346364565899718</c:v>
                </c:pt>
                <c:pt idx="3">
                  <c:v>3.3344624807329368</c:v>
                </c:pt>
                <c:pt idx="4">
                  <c:v>3.3342793482518482</c:v>
                </c:pt>
                <c:pt idx="5">
                  <c:v>3.3340916374587315</c:v>
                </c:pt>
                <c:pt idx="6">
                  <c:v>3.3338947700415611</c:v>
                </c:pt>
                <c:pt idx="7">
                  <c:v>3.3336887460003357</c:v>
                </c:pt>
                <c:pt idx="8">
                  <c:v>3.3334781436470831</c:v>
                </c:pt>
                <c:pt idx="9">
                  <c:v>3.3332583846697763</c:v>
                </c:pt>
                <c:pt idx="10">
                  <c:v>3.3330294690684155</c:v>
                </c:pt>
                <c:pt idx="11">
                  <c:v>3.3327959751550269</c:v>
                </c:pt>
                <c:pt idx="12">
                  <c:v>3.3325533246175838</c:v>
                </c:pt>
                <c:pt idx="13">
                  <c:v>3.3323060957681134</c:v>
                </c:pt>
                <c:pt idx="14">
                  <c:v>3.3320497102945894</c:v>
                </c:pt>
                <c:pt idx="15">
                  <c:v>3.33178416819701</c:v>
                </c:pt>
                <c:pt idx="16">
                  <c:v>3.3315140477874037</c:v>
                </c:pt>
                <c:pt idx="17">
                  <c:v>3.3312347707537429</c:v>
                </c:pt>
                <c:pt idx="18">
                  <c:v>3.3309509154080552</c:v>
                </c:pt>
                <c:pt idx="19">
                  <c:v>3.3306533251262853</c:v>
                </c:pt>
                <c:pt idx="20">
                  <c:v>3.3303557348445154</c:v>
                </c:pt>
                <c:pt idx="21">
                  <c:v>3.3300444096266641</c:v>
                </c:pt>
                <c:pt idx="22">
                  <c:v>3.3297330844088129</c:v>
                </c:pt>
                <c:pt idx="23">
                  <c:v>3.3294080242548798</c:v>
                </c:pt>
                <c:pt idx="24">
                  <c:v>3.3290783857889195</c:v>
                </c:pt>
                <c:pt idx="25">
                  <c:v>3.328739590698905</c:v>
                </c:pt>
                <c:pt idx="26">
                  <c:v>3.3283962172968629</c:v>
                </c:pt>
                <c:pt idx="27">
                  <c:v>3.3280436872707666</c:v>
                </c:pt>
                <c:pt idx="28">
                  <c:v>3.3276820006206158</c:v>
                </c:pt>
                <c:pt idx="29">
                  <c:v>3.3273157356584377</c:v>
                </c:pt>
                <c:pt idx="30">
                  <c:v>3.3269403140722051</c:v>
                </c:pt>
                <c:pt idx="31">
                  <c:v>3.3265603141739453</c:v>
                </c:pt>
                <c:pt idx="32">
                  <c:v>3.3261711576516313</c:v>
                </c:pt>
                <c:pt idx="33">
                  <c:v>3.3257728445052628</c:v>
                </c:pt>
                <c:pt idx="34">
                  <c:v>3.325369953046867</c:v>
                </c:pt>
                <c:pt idx="35">
                  <c:v>3.3249579049644167</c:v>
                </c:pt>
                <c:pt idx="36">
                  <c:v>3.3245367002579118</c:v>
                </c:pt>
                <c:pt idx="37">
                  <c:v>3.3241109172393797</c:v>
                </c:pt>
                <c:pt idx="38">
                  <c:v>3.323675977596793</c:v>
                </c:pt>
                <c:pt idx="39">
                  <c:v>3.3232364596421795</c:v>
                </c:pt>
                <c:pt idx="40">
                  <c:v>3.3227877850635115</c:v>
                </c:pt>
                <c:pt idx="41">
                  <c:v>3.3223299538607889</c:v>
                </c:pt>
                <c:pt idx="42">
                  <c:v>3.321867544346039</c:v>
                </c:pt>
                <c:pt idx="43">
                  <c:v>3.3213959782072346</c:v>
                </c:pt>
                <c:pt idx="44">
                  <c:v>3.3209198337564034</c:v>
                </c:pt>
                <c:pt idx="45">
                  <c:v>3.3204345326815177</c:v>
                </c:pt>
                <c:pt idx="46">
                  <c:v>3.3199400749825774</c:v>
                </c:pt>
                <c:pt idx="47">
                  <c:v>3.3194410389716094</c:v>
                </c:pt>
                <c:pt idx="48">
                  <c:v>3.3189328463365873</c:v>
                </c:pt>
                <c:pt idx="49">
                  <c:v>3.3184200753895383</c:v>
                </c:pt>
                <c:pt idx="50">
                  <c:v>3.2087797381841825</c:v>
                </c:pt>
                <c:pt idx="51">
                  <c:v>3.094115099067245</c:v>
                </c:pt>
                <c:pt idx="52">
                  <c:v>2.9855598244628538</c:v>
                </c:pt>
                <c:pt idx="53">
                  <c:v>2.8826861078130759</c:v>
                </c:pt>
                <c:pt idx="54">
                  <c:v>2.7850956256170929</c:v>
                </c:pt>
                <c:pt idx="55">
                  <c:v>2.6924200633733704</c:v>
                </c:pt>
                <c:pt idx="56">
                  <c:v>2.6043267091177276</c:v>
                </c:pt>
                <c:pt idx="57">
                  <c:v>2.5205153130535365</c:v>
                </c:pt>
                <c:pt idx="58">
                  <c:v>2.440697000123202</c:v>
                </c:pt>
                <c:pt idx="59">
                  <c:v>2.3646284403694744</c:v>
                </c:pt>
                <c:pt idx="60">
                  <c:v>2.2920638866034508</c:v>
                </c:pt>
                <c:pt idx="61">
                  <c:v>2.2227852850777921</c:v>
                </c:pt>
                <c:pt idx="62">
                  <c:v>2.1565913928024858</c:v>
                </c:pt>
                <c:pt idx="63">
                  <c:v>2.0933008152006538</c:v>
                </c:pt>
                <c:pt idx="64">
                  <c:v>2.0327368934363919</c:v>
                </c:pt>
                <c:pt idx="65">
                  <c:v>1.97474478339169</c:v>
                </c:pt>
                <c:pt idx="66">
                  <c:v>1.9191720347379244</c:v>
                </c:pt>
                <c:pt idx="67">
                  <c:v>1.8658859084258277</c:v>
                </c:pt>
                <c:pt idx="68">
                  <c:v>1.8147495885101506</c:v>
                </c:pt>
                <c:pt idx="69">
                  <c:v>1.7656580000164843</c:v>
                </c:pt>
                <c:pt idx="70">
                  <c:v>1.718486717104456</c:v>
                </c:pt>
                <c:pt idx="71">
                  <c:v>1.6731416637638008</c:v>
                </c:pt>
                <c:pt idx="72">
                  <c:v>1.6295264670468348</c:v>
                </c:pt>
                <c:pt idx="73">
                  <c:v>1.5875419140246247</c:v>
                </c:pt>
                <c:pt idx="74">
                  <c:v>1.5471175066365905</c:v>
                </c:pt>
                <c:pt idx="75">
                  <c:v>1.5081606514838046</c:v>
                </c:pt>
                <c:pt idx="76">
                  <c:v>1.4706066124917716</c:v>
                </c:pt>
                <c:pt idx="77">
                  <c:v>1.4343815116127998</c:v>
                </c:pt>
                <c:pt idx="78">
                  <c:v>1.3994248799696289</c:v>
                </c:pt>
                <c:pt idx="79">
                  <c:v>1.3656710333901481</c:v>
                </c:pt>
                <c:pt idx="80">
                  <c:v>1.3330671008011319</c:v>
                </c:pt>
                <c:pt idx="81">
                  <c:v>1.3015498716470186</c:v>
                </c:pt>
                <c:pt idx="82">
                  <c:v>1.2710821829392562</c:v>
                </c:pt>
                <c:pt idx="83">
                  <c:v>1.2416023379309227</c:v>
                </c:pt>
                <c:pt idx="84">
                  <c:v>1.213074265400222</c:v>
                </c:pt>
                <c:pt idx="85">
                  <c:v>1.1854552854389162</c:v>
                </c:pt>
                <c:pt idx="86">
                  <c:v>1.1587005164010449</c:v>
                </c:pt>
                <c:pt idx="87">
                  <c:v>1.1327718735172809</c:v>
                </c:pt>
                <c:pt idx="88">
                  <c:v>1.1076333447469822</c:v>
                </c:pt>
                <c:pt idx="89">
                  <c:v>1.0832554343644725</c:v>
                </c:pt>
                <c:pt idx="90">
                  <c:v>1.0596013034474945</c:v>
                </c:pt>
                <c:pt idx="91">
                  <c:v>1.0366449678327292</c:v>
                </c:pt>
                <c:pt idx="92">
                  <c:v>1.014352878073298</c:v>
                </c:pt>
                <c:pt idx="93">
                  <c:v>0.99270213368000793</c:v>
                </c:pt>
                <c:pt idx="94">
                  <c:v>0.97166207800957671</c:v>
                </c:pt>
                <c:pt idx="95">
                  <c:v>0.95120794789540908</c:v>
                </c:pt>
                <c:pt idx="96">
                  <c:v>0.93132079436927129</c:v>
                </c:pt>
                <c:pt idx="97">
                  <c:v>0.91197367399055351</c:v>
                </c:pt>
                <c:pt idx="98">
                  <c:v>0.89314531515131701</c:v>
                </c:pt>
                <c:pt idx="99">
                  <c:v>0.87482005414785902</c:v>
                </c:pt>
                <c:pt idx="100">
                  <c:v>0.85697404065293448</c:v>
                </c:pt>
                <c:pt idx="101">
                  <c:v>0.83959349537487493</c:v>
                </c:pt>
                <c:pt idx="102">
                  <c:v>0.82265634491785755</c:v>
                </c:pt>
                <c:pt idx="103">
                  <c:v>0.80614590824445531</c:v>
                </c:pt>
                <c:pt idx="104">
                  <c:v>0.79005085136446085</c:v>
                </c:pt>
                <c:pt idx="105">
                  <c:v>0.77435141001563412</c:v>
                </c:pt>
                <c:pt idx="106">
                  <c:v>0.75903308492967403</c:v>
                </c:pt>
                <c:pt idx="107">
                  <c:v>0.74408660467786358</c:v>
                </c:pt>
                <c:pt idx="108">
                  <c:v>0.72949415591510502</c:v>
                </c:pt>
                <c:pt idx="109">
                  <c:v>0.7152476639759533</c:v>
                </c:pt>
                <c:pt idx="110">
                  <c:v>0.70133044898885399</c:v>
                </c:pt>
                <c:pt idx="111">
                  <c:v>0.68773551035979563</c:v>
                </c:pt>
                <c:pt idx="112">
                  <c:v>0.67444260819072299</c:v>
                </c:pt>
                <c:pt idx="113">
                  <c:v>0.66145486437726864</c:v>
                </c:pt>
                <c:pt idx="114">
                  <c:v>0.64874837729011658</c:v>
                </c:pt>
                <c:pt idx="115">
                  <c:v>0.63632256073075499</c:v>
                </c:pt>
                <c:pt idx="116">
                  <c:v>0.62416349627391399</c:v>
                </c:pt>
                <c:pt idx="117">
                  <c:v>0.61226680489404406</c:v>
                </c:pt>
                <c:pt idx="118">
                  <c:v>0.60061931493025211</c:v>
                </c:pt>
                <c:pt idx="119">
                  <c:v>0.58921735761913629</c:v>
                </c:pt>
                <c:pt idx="120">
                  <c:v>0.57804843713356502</c:v>
                </c:pt>
                <c:pt idx="121">
                  <c:v>0.56710494974332459</c:v>
                </c:pt>
                <c:pt idx="122">
                  <c:v>0.5563841689175284</c:v>
                </c:pt>
                <c:pt idx="123">
                  <c:v>0.54587449631321816</c:v>
                </c:pt>
                <c:pt idx="124">
                  <c:v>0.53556918340677406</c:v>
                </c:pt>
                <c:pt idx="125">
                  <c:v>0.52546631891189144</c:v>
                </c:pt>
                <c:pt idx="126">
                  <c:v>0.51555508193945554</c:v>
                </c:pt>
                <c:pt idx="127">
                  <c:v>0.50583404397803122</c:v>
                </c:pt>
                <c:pt idx="128">
                  <c:v>0.49629284497583703</c:v>
                </c:pt>
                <c:pt idx="129">
                  <c:v>0.48692591816853292</c:v>
                </c:pt>
                <c:pt idx="130">
                  <c:v>0.47773248049891087</c:v>
                </c:pt>
                <c:pt idx="131">
                  <c:v>0.46870278859709863</c:v>
                </c:pt>
                <c:pt idx="132">
                  <c:v>0.45983644341225544</c:v>
                </c:pt>
                <c:pt idx="133">
                  <c:v>0.45112406878798589</c:v>
                </c:pt>
                <c:pt idx="134">
                  <c:v>0.44256103863631663</c:v>
                </c:pt>
                <c:pt idx="135">
                  <c:v>0.43414746956605166</c:v>
                </c:pt>
                <c:pt idx="136">
                  <c:v>0.42587447894315666</c:v>
                </c:pt>
                <c:pt idx="137">
                  <c:v>0.41773791317047976</c:v>
                </c:pt>
                <c:pt idx="138">
                  <c:v>0.40973834135897674</c:v>
                </c:pt>
                <c:pt idx="139">
                  <c:v>0.40186731437208278</c:v>
                </c:pt>
                <c:pt idx="140">
                  <c:v>0.39412567234629964</c:v>
                </c:pt>
                <c:pt idx="141">
                  <c:v>0.38650522599145698</c:v>
                </c:pt>
                <c:pt idx="142">
                  <c:v>0.37900248633592537</c:v>
                </c:pt>
                <c:pt idx="143">
                  <c:v>0.37161865978229819</c:v>
                </c:pt>
                <c:pt idx="144">
                  <c:v>0.36434590846021797</c:v>
                </c:pt>
                <c:pt idx="145">
                  <c:v>0.35718565898407512</c:v>
                </c:pt>
                <c:pt idx="146">
                  <c:v>0.35013028492340836</c:v>
                </c:pt>
                <c:pt idx="147">
                  <c:v>0.34317683765533774</c:v>
                </c:pt>
                <c:pt idx="148">
                  <c:v>0.33632704246834688</c:v>
                </c:pt>
                <c:pt idx="149">
                  <c:v>0.32957355990761267</c:v>
                </c:pt>
                <c:pt idx="150">
                  <c:v>0.32291371716090528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B80-42E4-BA20-A9E08837DBF1}"/>
            </c:ext>
          </c:extLst>
        </c:ser>
        <c:ser>
          <c:idx val="37"/>
          <c:order val="9"/>
          <c:tx>
            <c:strRef>
              <c:f>加速度入力!$AN$52</c:f>
              <c:strCache>
                <c:ptCount val="1"/>
                <c:pt idx="0">
                  <c:v>5N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dPt>
            <c:idx val="58"/>
            <c:marker>
              <c:symbol val="none"/>
            </c:marker>
            <c:bubble3D val="0"/>
            <c:spPr>
              <a:ln w="28575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5-6B80-42E4-BA20-A9E08837DBF1}"/>
              </c:ext>
            </c:extLst>
          </c:dPt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加速度入力!$AO$56:$AO$206</c:f>
              <c:numCache>
                <c:formatCode>#,##0.00_);[Red]\(#,##0.00\)</c:formatCode>
                <c:ptCount val="151"/>
                <c:pt idx="0">
                  <c:v>2.5257402876197355</c:v>
                </c:pt>
                <c:pt idx="1">
                  <c:v>2.5255800466987828</c:v>
                </c:pt>
                <c:pt idx="2">
                  <c:v>2.5254106491537751</c:v>
                </c:pt>
                <c:pt idx="3">
                  <c:v>2.5252366732967411</c:v>
                </c:pt>
                <c:pt idx="4">
                  <c:v>2.5250535408156516</c:v>
                </c:pt>
                <c:pt idx="5">
                  <c:v>2.5248658300225357</c:v>
                </c:pt>
                <c:pt idx="6">
                  <c:v>2.5246689626053649</c:v>
                </c:pt>
                <c:pt idx="7">
                  <c:v>2.5244629385641395</c:v>
                </c:pt>
                <c:pt idx="8">
                  <c:v>2.5242523362108873</c:v>
                </c:pt>
                <c:pt idx="9">
                  <c:v>2.5240325772335805</c:v>
                </c:pt>
                <c:pt idx="10">
                  <c:v>2.5238036616322193</c:v>
                </c:pt>
                <c:pt idx="11">
                  <c:v>2.5235701677188307</c:v>
                </c:pt>
                <c:pt idx="12">
                  <c:v>2.523327517181388</c:v>
                </c:pt>
                <c:pt idx="13">
                  <c:v>2.5230802883319177</c:v>
                </c:pt>
                <c:pt idx="14">
                  <c:v>2.5228239028583928</c:v>
                </c:pt>
                <c:pt idx="15">
                  <c:v>2.5225583607608137</c:v>
                </c:pt>
                <c:pt idx="16">
                  <c:v>2.5222882403512075</c:v>
                </c:pt>
                <c:pt idx="17">
                  <c:v>2.5220089633175466</c:v>
                </c:pt>
                <c:pt idx="18">
                  <c:v>2.5217251079718586</c:v>
                </c:pt>
                <c:pt idx="19">
                  <c:v>2.5214275176900887</c:v>
                </c:pt>
                <c:pt idx="20">
                  <c:v>2.5211299274083196</c:v>
                </c:pt>
                <c:pt idx="21">
                  <c:v>2.5208186021904679</c:v>
                </c:pt>
                <c:pt idx="22">
                  <c:v>2.5205072769726167</c:v>
                </c:pt>
                <c:pt idx="23">
                  <c:v>2.5201822168186836</c:v>
                </c:pt>
                <c:pt idx="24">
                  <c:v>2.5198525783527232</c:v>
                </c:pt>
                <c:pt idx="25">
                  <c:v>2.5195137832627088</c:v>
                </c:pt>
                <c:pt idx="26">
                  <c:v>2.5191704098606666</c:v>
                </c:pt>
                <c:pt idx="27">
                  <c:v>2.5188178798345704</c:v>
                </c:pt>
                <c:pt idx="28">
                  <c:v>2.5184561931844196</c:v>
                </c:pt>
                <c:pt idx="29">
                  <c:v>2.5180899282222415</c:v>
                </c:pt>
                <c:pt idx="30">
                  <c:v>2.5177145066360089</c:v>
                </c:pt>
                <c:pt idx="31">
                  <c:v>2.5173345067377495</c:v>
                </c:pt>
                <c:pt idx="32">
                  <c:v>2.5169453502154351</c:v>
                </c:pt>
                <c:pt idx="33">
                  <c:v>2.5165470370690661</c:v>
                </c:pt>
                <c:pt idx="34">
                  <c:v>2.5161441456106703</c:v>
                </c:pt>
                <c:pt idx="35">
                  <c:v>2.51573209752822</c:v>
                </c:pt>
                <c:pt idx="36">
                  <c:v>2.5153108928217152</c:v>
                </c:pt>
                <c:pt idx="37">
                  <c:v>2.5148851098031839</c:v>
                </c:pt>
                <c:pt idx="38">
                  <c:v>2.5144501701605972</c:v>
                </c:pt>
                <c:pt idx="39">
                  <c:v>2.4489131595948703</c:v>
                </c:pt>
                <c:pt idx="40">
                  <c:v>2.3866218670356445</c:v>
                </c:pt>
                <c:pt idx="41">
                  <c:v>2.3273381309245873</c:v>
                </c:pt>
                <c:pt idx="42">
                  <c:v>2.2708510500685657</c:v>
                </c:pt>
                <c:pt idx="43">
                  <c:v>2.2169606112555256</c:v>
                </c:pt>
                <c:pt idx="44">
                  <c:v>2.1654937247065602</c:v>
                </c:pt>
                <c:pt idx="45">
                  <c:v>2.1162839367379016</c:v>
                </c:pt>
                <c:pt idx="46">
                  <c:v>2.0691834480970925</c:v>
                </c:pt>
                <c:pt idx="47">
                  <c:v>1.9885422735405869</c:v>
                </c:pt>
                <c:pt idx="48">
                  <c:v>1.9125464750642078</c:v>
                </c:pt>
                <c:pt idx="49">
                  <c:v>1.8408415840264079</c:v>
                </c:pt>
                <c:pt idx="50">
                  <c:v>1.7730936652931708</c:v>
                </c:pt>
                <c:pt idx="51">
                  <c:v>1.7090220702523418</c:v>
                </c:pt>
                <c:pt idx="52">
                  <c:v>1.6483457052668897</c:v>
                </c:pt>
                <c:pt idx="53">
                  <c:v>1.5908304527494264</c:v>
                </c:pt>
                <c:pt idx="54">
                  <c:v>1.5362545506853127</c:v>
                </c:pt>
                <c:pt idx="55">
                  <c:v>1.4844109148345086</c:v>
                </c:pt>
                <c:pt idx="56">
                  <c:v>1.4351143116486047</c:v>
                </c:pt>
                <c:pt idx="57">
                  <c:v>1.3881996099061584</c:v>
                </c:pt>
                <c:pt idx="58">
                  <c:v>1.3435019229716392</c:v>
                </c:pt>
                <c:pt idx="59">
                  <c:v>1.3008918678668673</c:v>
                </c:pt>
                <c:pt idx="60">
                  <c:v>1.2602285688997497</c:v>
                </c:pt>
                <c:pt idx="61">
                  <c:v>1.2213906271615855</c:v>
                </c:pt>
                <c:pt idx="62">
                  <c:v>1.1842660029389118</c:v>
                </c:pt>
                <c:pt idx="63">
                  <c:v>1.1487557362829517</c:v>
                </c:pt>
                <c:pt idx="64">
                  <c:v>1.1147594450348639</c:v>
                </c:pt>
                <c:pt idx="65">
                  <c:v>1.0821929509076009</c:v>
                </c:pt>
                <c:pt idx="66">
                  <c:v>1.0509693495495174</c:v>
                </c:pt>
                <c:pt idx="67">
                  <c:v>1.0210167694156207</c:v>
                </c:pt>
                <c:pt idx="68">
                  <c:v>0.99225498102725951</c:v>
                </c:pt>
                <c:pt idx="69">
                  <c:v>0.96463157327325766</c:v>
                </c:pt>
                <c:pt idx="70">
                  <c:v>0.93807118533332634</c:v>
                </c:pt>
                <c:pt idx="71">
                  <c:v>0.91252550025309564</c:v>
                </c:pt>
                <c:pt idx="72">
                  <c:v>0.88794086350555002</c:v>
                </c:pt>
                <c:pt idx="73">
                  <c:v>0.86425798065764381</c:v>
                </c:pt>
                <c:pt idx="74">
                  <c:v>0.84144369089614779</c:v>
                </c:pt>
                <c:pt idx="75">
                  <c:v>0.81944035574538054</c:v>
                </c:pt>
                <c:pt idx="76">
                  <c:v>0.7982159929217898</c:v>
                </c:pt>
                <c:pt idx="77">
                  <c:v>0.7777274422848508</c:v>
                </c:pt>
                <c:pt idx="78">
                  <c:v>0.75794306787423893</c:v>
                </c:pt>
                <c:pt idx="79">
                  <c:v>0.73882427139514728</c:v>
                </c:pt>
                <c:pt idx="80">
                  <c:v>0.72034364687701091</c:v>
                </c:pt>
                <c:pt idx="81">
                  <c:v>0.70246194379289095</c:v>
                </c:pt>
                <c:pt idx="82">
                  <c:v>0.68516456024640793</c:v>
                </c:pt>
                <c:pt idx="83">
                  <c:v>0.66841105911650833</c:v>
                </c:pt>
                <c:pt idx="84">
                  <c:v>0.65218541694574761</c:v>
                </c:pt>
                <c:pt idx="85">
                  <c:v>0.63646387218750322</c:v>
                </c:pt>
                <c:pt idx="86">
                  <c:v>0.62121940811345744</c:v>
                </c:pt>
                <c:pt idx="87">
                  <c:v>0.60643082146757399</c:v>
                </c:pt>
                <c:pt idx="88">
                  <c:v>0.59207806296160437</c:v>
                </c:pt>
                <c:pt idx="89">
                  <c:v>0.57814674058010951</c:v>
                </c:pt>
                <c:pt idx="90">
                  <c:v>0.56461431528842509</c:v>
                </c:pt>
                <c:pt idx="91">
                  <c:v>0.55146835009295048</c:v>
                </c:pt>
                <c:pt idx="92">
                  <c:v>0.53868813733649601</c:v>
                </c:pt>
                <c:pt idx="93">
                  <c:v>0.52626295682546198</c:v>
                </c:pt>
                <c:pt idx="94">
                  <c:v>0.51417371143769441</c:v>
                </c:pt>
                <c:pt idx="95">
                  <c:v>0.50240661456582092</c:v>
                </c:pt>
                <c:pt idx="96">
                  <c:v>0.49095314597995715</c:v>
                </c:pt>
                <c:pt idx="97">
                  <c:v>0.47979627584070716</c:v>
                </c:pt>
                <c:pt idx="98">
                  <c:v>0.46892416142570736</c:v>
                </c:pt>
                <c:pt idx="99">
                  <c:v>0.45833011153820769</c:v>
                </c:pt>
                <c:pt idx="100">
                  <c:v>0.44799881839400035</c:v>
                </c:pt>
                <c:pt idx="101">
                  <c:v>0.43792463992099995</c:v>
                </c:pt>
                <c:pt idx="102">
                  <c:v>0.42809325762107203</c:v>
                </c:pt>
                <c:pt idx="103">
                  <c:v>0.41849538451903562</c:v>
                </c:pt>
                <c:pt idx="104">
                  <c:v>0.40912673993618848</c:v>
                </c:pt>
                <c:pt idx="105">
                  <c:v>0.39997429095788406</c:v>
                </c:pt>
                <c:pt idx="106">
                  <c:v>0.39102996528373668</c:v>
                </c:pt>
                <c:pt idx="107">
                  <c:v>0.38229063054236306</c:v>
                </c:pt>
                <c:pt idx="108">
                  <c:v>0.37374433996973327</c:v>
                </c:pt>
                <c:pt idx="109">
                  <c:v>0.36538862747861151</c:v>
                </c:pt>
                <c:pt idx="110">
                  <c:v>0.3572121773532887</c:v>
                </c:pt>
                <c:pt idx="111">
                  <c:v>0.34921312148341155</c:v>
                </c:pt>
                <c:pt idx="112">
                  <c:v>0.34137613275996465</c:v>
                </c:pt>
                <c:pt idx="113">
                  <c:v>0.33370903743117547</c:v>
                </c:pt>
                <c:pt idx="114">
                  <c:v>0.3261924403717712</c:v>
                </c:pt>
                <c:pt idx="115">
                  <c:v>0.31883007400172075</c:v>
                </c:pt>
                <c:pt idx="116">
                  <c:v>0.31161216000868192</c:v>
                </c:pt>
                <c:pt idx="117">
                  <c:v>0.30453828981030417</c:v>
                </c:pt>
                <c:pt idx="118">
                  <c:v>0.29759910084669849</c:v>
                </c:pt>
                <c:pt idx="119">
                  <c:v>0.29079457996577263</c:v>
                </c:pt>
                <c:pt idx="120">
                  <c:v>0.28411574087028907</c:v>
                </c:pt>
                <c:pt idx="121">
                  <c:v>0.27755835027115627</c:v>
                </c:pt>
                <c:pt idx="122">
                  <c:v>0.27112291959336632</c:v>
                </c:pt>
                <c:pt idx="123">
                  <c:v>0.26480096220364352</c:v>
                </c:pt>
                <c:pt idx="124">
                  <c:v>0.25858872093930291</c:v>
                </c:pt>
                <c:pt idx="125">
                  <c:v>0.25248716110335417</c:v>
                </c:pt>
                <c:pt idx="126">
                  <c:v>0.24648822890098146</c:v>
                </c:pt>
                <c:pt idx="127">
                  <c:v>0.24059315841453499</c:v>
                </c:pt>
                <c:pt idx="128">
                  <c:v>0.23479415241506804</c:v>
                </c:pt>
                <c:pt idx="129">
                  <c:v>0.22908811167074422</c:v>
                </c:pt>
                <c:pt idx="130">
                  <c:v>0.22347662961310907</c:v>
                </c:pt>
                <c:pt idx="131">
                  <c:v>0.21795225234375665</c:v>
                </c:pt>
                <c:pt idx="132">
                  <c:v>0.21251678708534821</c:v>
                </c:pt>
                <c:pt idx="133">
                  <c:v>0.20716298438134534</c:v>
                </c:pt>
                <c:pt idx="134">
                  <c:v>0.20188826871062798</c:v>
                </c:pt>
                <c:pt idx="135">
                  <c:v>0.19669473438341728</c:v>
                </c:pt>
                <c:pt idx="136">
                  <c:v>0.19157540670605633</c:v>
                </c:pt>
                <c:pt idx="137">
                  <c:v>0.18652797321124059</c:v>
                </c:pt>
                <c:pt idx="138">
                  <c:v>0.18155478013454435</c:v>
                </c:pt>
                <c:pt idx="139">
                  <c:v>0.17664909412702701</c:v>
                </c:pt>
                <c:pt idx="140">
                  <c:v>0.17181341231460992</c:v>
                </c:pt>
                <c:pt idx="141">
                  <c:v>0.16704114601483522</c:v>
                </c:pt>
                <c:pt idx="142">
                  <c:v>0.16233035278299143</c:v>
                </c:pt>
                <c:pt idx="143">
                  <c:v>0.15768373365942179</c:v>
                </c:pt>
                <c:pt idx="144">
                  <c:v>0.1530948956105958</c:v>
                </c:pt>
                <c:pt idx="145">
                  <c:v>0.14856666227723458</c:v>
                </c:pt>
                <c:pt idx="146">
                  <c:v>0.14409275834253105</c:v>
                </c:pt>
                <c:pt idx="147">
                  <c:v>0.13967154219470743</c:v>
                </c:pt>
                <c:pt idx="148">
                  <c:v>0.13530600375784124</c:v>
                </c:pt>
                <c:pt idx="149">
                  <c:v>0.13099002748550187</c:v>
                </c:pt>
                <c:pt idx="150">
                  <c:v>0.12672212532030977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6B80-42E4-BA20-A9E08837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079488"/>
        <c:axId val="310081024"/>
      </c:lineChart>
      <c:lineChart>
        <c:grouping val="standard"/>
        <c:varyColors val="0"/>
        <c:ser>
          <c:idx val="28"/>
          <c:order val="0"/>
          <c:tx>
            <c:strRef>
              <c:f>加速度入力!$D$52</c:f>
              <c:strCache>
                <c:ptCount val="1"/>
                <c:pt idx="0">
                  <c:v>1N</c:v>
                </c:pt>
              </c:strCache>
            </c:strRef>
          </c:tx>
          <c:spPr>
            <a:ln w="28575" cap="rnd">
              <a:solidFill>
                <a:schemeClr val="accent5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加速度入力!$G$56:$G$206</c:f>
              <c:numCache>
                <c:formatCode>General</c:formatCode>
                <c:ptCount val="151"/>
                <c:pt idx="0">
                  <c:v>43.700977573317999</c:v>
                </c:pt>
                <c:pt idx="1">
                  <c:v>43.700977573317999</c:v>
                </c:pt>
                <c:pt idx="2">
                  <c:v>43.700977573317999</c:v>
                </c:pt>
                <c:pt idx="3">
                  <c:v>43.700977573317999</c:v>
                </c:pt>
                <c:pt idx="4">
                  <c:v>43.700977573317999</c:v>
                </c:pt>
                <c:pt idx="5">
                  <c:v>43.700977573317999</c:v>
                </c:pt>
                <c:pt idx="6">
                  <c:v>36.417481311098335</c:v>
                </c:pt>
                <c:pt idx="7">
                  <c:v>31.21498398094143</c:v>
                </c:pt>
                <c:pt idx="8">
                  <c:v>27.31311098332375</c:v>
                </c:pt>
                <c:pt idx="9">
                  <c:v>24.278320874065557</c:v>
                </c:pt>
                <c:pt idx="10">
                  <c:v>21.850488786659</c:v>
                </c:pt>
                <c:pt idx="11">
                  <c:v>19.864080715144546</c:v>
                </c:pt>
                <c:pt idx="12">
                  <c:v>18.208740655549168</c:v>
                </c:pt>
                <c:pt idx="13">
                  <c:v>16.808068297430001</c:v>
                </c:pt>
                <c:pt idx="14">
                  <c:v>15.607491990470715</c:v>
                </c:pt>
                <c:pt idx="15">
                  <c:v>14.566992524439334</c:v>
                </c:pt>
                <c:pt idx="16">
                  <c:v>13.656555491661875</c:v>
                </c:pt>
                <c:pt idx="17">
                  <c:v>12.853228698034705</c:v>
                </c:pt>
                <c:pt idx="18">
                  <c:v>12.139160437032778</c:v>
                </c:pt>
                <c:pt idx="19">
                  <c:v>11.500257256136315</c:v>
                </c:pt>
                <c:pt idx="20">
                  <c:v>10.9252443933295</c:v>
                </c:pt>
                <c:pt idx="21">
                  <c:v>10.404994660313809</c:v>
                </c:pt>
                <c:pt idx="22">
                  <c:v>9.9320403575722729</c:v>
                </c:pt>
                <c:pt idx="23">
                  <c:v>9.5002125159386956</c:v>
                </c:pt>
                <c:pt idx="24">
                  <c:v>9.1043703277745838</c:v>
                </c:pt>
                <c:pt idx="25">
                  <c:v>8.7401955146636006</c:v>
                </c:pt>
                <c:pt idx="26">
                  <c:v>8.4040341487150005</c:v>
                </c:pt>
                <c:pt idx="27">
                  <c:v>8.0927736246885189</c:v>
                </c:pt>
                <c:pt idx="28">
                  <c:v>7.8037459952353574</c:v>
                </c:pt>
                <c:pt idx="29">
                  <c:v>7.5346513057444824</c:v>
                </c:pt>
                <c:pt idx="30">
                  <c:v>7.2834962622196668</c:v>
                </c:pt>
                <c:pt idx="31">
                  <c:v>7.0485447698899995</c:v>
                </c:pt>
                <c:pt idx="32">
                  <c:v>6.8282777458309374</c:v>
                </c:pt>
                <c:pt idx="33">
                  <c:v>6.6213602383815147</c:v>
                </c:pt>
                <c:pt idx="34">
                  <c:v>6.4266143490173526</c:v>
                </c:pt>
                <c:pt idx="35">
                  <c:v>6.2429967961882857</c:v>
                </c:pt>
                <c:pt idx="36">
                  <c:v>6.0695802185163892</c:v>
                </c:pt>
                <c:pt idx="37">
                  <c:v>5.9055375099078375</c:v>
                </c:pt>
                <c:pt idx="38">
                  <c:v>5.7501286280681576</c:v>
                </c:pt>
                <c:pt idx="39">
                  <c:v>5.6026894324766667</c:v>
                </c:pt>
                <c:pt idx="40">
                  <c:v>5.4626221966647499</c:v>
                </c:pt>
                <c:pt idx="41">
                  <c:v>5.3293875089412195</c:v>
                </c:pt>
                <c:pt idx="42">
                  <c:v>5.2024973301569046</c:v>
                </c:pt>
                <c:pt idx="43">
                  <c:v>5.0815090201532556</c:v>
                </c:pt>
                <c:pt idx="44">
                  <c:v>4.9660201787861364</c:v>
                </c:pt>
                <c:pt idx="45">
                  <c:v>4.8556641748131106</c:v>
                </c:pt>
                <c:pt idx="46">
                  <c:v>4.7501062579693478</c:v>
                </c:pt>
                <c:pt idx="47">
                  <c:v>4.6490401673742552</c:v>
                </c:pt>
                <c:pt idx="48">
                  <c:v>4.5521851638872919</c:v>
                </c:pt>
                <c:pt idx="49">
                  <c:v>4.459283425848775</c:v>
                </c:pt>
                <c:pt idx="50">
                  <c:v>4.3700977573318003</c:v>
                </c:pt>
                <c:pt idx="51">
                  <c:v>4.2844095660115684</c:v>
                </c:pt>
                <c:pt idx="52">
                  <c:v>4.2020170743575003</c:v>
                </c:pt>
                <c:pt idx="53">
                  <c:v>4.122733733331887</c:v>
                </c:pt>
                <c:pt idx="54">
                  <c:v>4.0463868123442595</c:v>
                </c:pt>
                <c:pt idx="55">
                  <c:v>3.9728161430289091</c:v>
                </c:pt>
                <c:pt idx="56">
                  <c:v>3.9018729976176787</c:v>
                </c:pt>
                <c:pt idx="57">
                  <c:v>3.8334190853787717</c:v>
                </c:pt>
                <c:pt idx="58">
                  <c:v>3.7673256528722412</c:v>
                </c:pt>
                <c:pt idx="59">
                  <c:v>3.7034726757049152</c:v>
                </c:pt>
                <c:pt idx="60">
                  <c:v>3.6417481311098334</c:v>
                </c:pt>
                <c:pt idx="61">
                  <c:v>3.5820473420752457</c:v>
                </c:pt>
                <c:pt idx="62">
                  <c:v>3.5242723849449997</c:v>
                </c:pt>
                <c:pt idx="63">
                  <c:v>3.4683315534379364</c:v>
                </c:pt>
                <c:pt idx="64">
                  <c:v>3.4141388729154687</c:v>
                </c:pt>
                <c:pt idx="65">
                  <c:v>3.3616136594859998</c:v>
                </c:pt>
                <c:pt idx="66">
                  <c:v>3.3106801191907573</c:v>
                </c:pt>
                <c:pt idx="67">
                  <c:v>3.2612669830834329</c:v>
                </c:pt>
                <c:pt idx="68">
                  <c:v>3.2133071745086763</c:v>
                </c:pt>
                <c:pt idx="69">
                  <c:v>3.1667375053128985</c:v>
                </c:pt>
                <c:pt idx="70">
                  <c:v>3.1214983980941429</c:v>
                </c:pt>
                <c:pt idx="71">
                  <c:v>3.0775336319238029</c:v>
                </c:pt>
                <c:pt idx="72">
                  <c:v>3.0347901092581946</c:v>
                </c:pt>
                <c:pt idx="73">
                  <c:v>2.9932176420080823</c:v>
                </c:pt>
                <c:pt idx="74">
                  <c:v>2.9527687549539188</c:v>
                </c:pt>
                <c:pt idx="75">
                  <c:v>2.9133985048878666</c:v>
                </c:pt>
                <c:pt idx="76">
                  <c:v>2.8750643140340788</c:v>
                </c:pt>
                <c:pt idx="77">
                  <c:v>2.837725816449221</c:v>
                </c:pt>
                <c:pt idx="78">
                  <c:v>2.8013447162383334</c:v>
                </c:pt>
                <c:pt idx="79">
                  <c:v>2.765884656539114</c:v>
                </c:pt>
                <c:pt idx="80">
                  <c:v>2.731311098332375</c:v>
                </c:pt>
                <c:pt idx="81">
                  <c:v>2.6975912082295062</c:v>
                </c:pt>
                <c:pt idx="82">
                  <c:v>2.6646937544706097</c:v>
                </c:pt>
                <c:pt idx="83">
                  <c:v>2.6325890104408431</c:v>
                </c:pt>
                <c:pt idx="84">
                  <c:v>2.6012486650784523</c:v>
                </c:pt>
                <c:pt idx="85">
                  <c:v>2.5706457396069413</c:v>
                </c:pt>
                <c:pt idx="86">
                  <c:v>2.5407545100766278</c:v>
                </c:pt>
                <c:pt idx="87">
                  <c:v>2.5115504352481608</c:v>
                </c:pt>
                <c:pt idx="88">
                  <c:v>2.4830100893930682</c:v>
                </c:pt>
                <c:pt idx="89">
                  <c:v>2.4551110996246068</c:v>
                </c:pt>
                <c:pt idx="90">
                  <c:v>2.4278320874065553</c:v>
                </c:pt>
                <c:pt idx="91">
                  <c:v>2.4011526139185713</c:v>
                </c:pt>
                <c:pt idx="92">
                  <c:v>2.3750531289846739</c:v>
                </c:pt>
                <c:pt idx="93">
                  <c:v>2.3495149232966668</c:v>
                </c:pt>
                <c:pt idx="94">
                  <c:v>2.3245200836871276</c:v>
                </c:pt>
                <c:pt idx="95">
                  <c:v>2.300051451227263</c:v>
                </c:pt>
                <c:pt idx="96">
                  <c:v>2.2760925819436459</c:v>
                </c:pt>
                <c:pt idx="97">
                  <c:v>2.2526277099648455</c:v>
                </c:pt>
                <c:pt idx="98">
                  <c:v>2.2296417129243875</c:v>
                </c:pt>
                <c:pt idx="99">
                  <c:v>2.207120079460505</c:v>
                </c:pt>
                <c:pt idx="100">
                  <c:v>2.1850488786659001</c:v>
                </c:pt>
                <c:pt idx="101">
                  <c:v>2.1634147313523764</c:v>
                </c:pt>
                <c:pt idx="102">
                  <c:v>2.1422047830057842</c:v>
                </c:pt>
                <c:pt idx="103">
                  <c:v>2.1214066783164078</c:v>
                </c:pt>
                <c:pt idx="104">
                  <c:v>2.1010085371787501</c:v>
                </c:pt>
                <c:pt idx="105">
                  <c:v>2.0809989320627618</c:v>
                </c:pt>
                <c:pt idx="106">
                  <c:v>2.0613668666659435</c:v>
                </c:pt>
                <c:pt idx="107">
                  <c:v>2.0421017557625234</c:v>
                </c:pt>
                <c:pt idx="108">
                  <c:v>2.0231934061721297</c:v>
                </c:pt>
                <c:pt idx="109">
                  <c:v>2.004631998776055</c:v>
                </c:pt>
                <c:pt idx="110">
                  <c:v>1.9864080715144545</c:v>
                </c:pt>
                <c:pt idx="111">
                  <c:v>1.9685125033026125</c:v>
                </c:pt>
                <c:pt idx="112">
                  <c:v>1.9509364988088393</c:v>
                </c:pt>
                <c:pt idx="113">
                  <c:v>1.9336715740406194</c:v>
                </c:pt>
                <c:pt idx="114">
                  <c:v>1.9167095426893859</c:v>
                </c:pt>
                <c:pt idx="115">
                  <c:v>1.900042503187739</c:v>
                </c:pt>
                <c:pt idx="116">
                  <c:v>1.8836628264361206</c:v>
                </c:pt>
                <c:pt idx="117">
                  <c:v>1.8675631441588889</c:v>
                </c:pt>
                <c:pt idx="118">
                  <c:v>1.8517363378524576</c:v>
                </c:pt>
                <c:pt idx="119">
                  <c:v>1.8361755282906722</c:v>
                </c:pt>
                <c:pt idx="120">
                  <c:v>1.8208740655549167</c:v>
                </c:pt>
                <c:pt idx="121">
                  <c:v>1.805825519558595</c:v>
                </c:pt>
                <c:pt idx="122">
                  <c:v>1.7910236710376228</c:v>
                </c:pt>
                <c:pt idx="123">
                  <c:v>1.7764625029804064</c:v>
                </c:pt>
                <c:pt idx="124">
                  <c:v>1.7621361924724999</c:v>
                </c:pt>
                <c:pt idx="125">
                  <c:v>1.74803910293272</c:v>
                </c:pt>
                <c:pt idx="126">
                  <c:v>1.7341657767189682</c:v>
                </c:pt>
                <c:pt idx="127">
                  <c:v>1.7205109280833859</c:v>
                </c:pt>
                <c:pt idx="128">
                  <c:v>1.7070694364577343</c:v>
                </c:pt>
                <c:pt idx="129">
                  <c:v>1.6938363400510852</c:v>
                </c:pt>
                <c:pt idx="130">
                  <c:v>1.6808068297429999</c:v>
                </c:pt>
                <c:pt idx="131">
                  <c:v>1.6679762432564122</c:v>
                </c:pt>
                <c:pt idx="132">
                  <c:v>1.6553400595953787</c:v>
                </c:pt>
                <c:pt idx="133">
                  <c:v>1.6428938937337594</c:v>
                </c:pt>
                <c:pt idx="134">
                  <c:v>1.6306334915417164</c:v>
                </c:pt>
                <c:pt idx="135">
                  <c:v>1.6185547249377037</c:v>
                </c:pt>
                <c:pt idx="136">
                  <c:v>1.6066535872543382</c:v>
                </c:pt>
                <c:pt idx="137">
                  <c:v>1.5949261888072261</c:v>
                </c:pt>
                <c:pt idx="138">
                  <c:v>1.5833687526564493</c:v>
                </c:pt>
                <c:pt idx="139">
                  <c:v>1.5719776105510073</c:v>
                </c:pt>
                <c:pt idx="140">
                  <c:v>1.5607491990470714</c:v>
                </c:pt>
                <c:pt idx="141">
                  <c:v>1.5496800557914183</c:v>
                </c:pt>
                <c:pt idx="142">
                  <c:v>1.5387668159619015</c:v>
                </c:pt>
                <c:pt idx="143">
                  <c:v>1.5280062088572728</c:v>
                </c:pt>
                <c:pt idx="144">
                  <c:v>1.5173950546290973</c:v>
                </c:pt>
                <c:pt idx="145">
                  <c:v>1.5069302611488966</c:v>
                </c:pt>
                <c:pt idx="146">
                  <c:v>1.4966088210040411</c:v>
                </c:pt>
                <c:pt idx="147">
                  <c:v>1.4864278086162586</c:v>
                </c:pt>
                <c:pt idx="148">
                  <c:v>1.4763843774769594</c:v>
                </c:pt>
                <c:pt idx="149">
                  <c:v>1.4664757574938927</c:v>
                </c:pt>
                <c:pt idx="150">
                  <c:v>1.4566992524439333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B80-42E4-BA20-A9E08837DBF1}"/>
            </c:ext>
          </c:extLst>
        </c:ser>
        <c:ser>
          <c:idx val="29"/>
          <c:order val="1"/>
          <c:tx>
            <c:strRef>
              <c:f>加速度入力!$M$52</c:f>
              <c:strCache>
                <c:ptCount val="1"/>
                <c:pt idx="0">
                  <c:v>2N</c:v>
                </c:pt>
              </c:strCache>
            </c:strRef>
          </c:tx>
          <c:spPr>
            <a:ln w="28575" cap="rnd">
              <a:solidFill>
                <a:schemeClr val="accent3">
                  <a:lumMod val="60000"/>
                  <a:lumOff val="4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加速度入力!$P$56:$P$206</c:f>
              <c:numCache>
                <c:formatCode>General</c:formatCode>
                <c:ptCount val="151"/>
                <c:pt idx="0">
                  <c:v>94.997354801610115</c:v>
                </c:pt>
                <c:pt idx="1">
                  <c:v>94.997354801610115</c:v>
                </c:pt>
                <c:pt idx="2">
                  <c:v>94.997354801610115</c:v>
                </c:pt>
                <c:pt idx="3">
                  <c:v>94.997354801610115</c:v>
                </c:pt>
                <c:pt idx="4">
                  <c:v>94.997354801610115</c:v>
                </c:pt>
                <c:pt idx="5">
                  <c:v>94.997354801610115</c:v>
                </c:pt>
                <c:pt idx="6">
                  <c:v>94.997354801610115</c:v>
                </c:pt>
                <c:pt idx="7">
                  <c:v>94.997354801610115</c:v>
                </c:pt>
                <c:pt idx="8">
                  <c:v>94.997354801610115</c:v>
                </c:pt>
                <c:pt idx="9">
                  <c:v>94.997354801610115</c:v>
                </c:pt>
                <c:pt idx="10">
                  <c:v>94.997354801610115</c:v>
                </c:pt>
                <c:pt idx="11">
                  <c:v>94.997354801610115</c:v>
                </c:pt>
                <c:pt idx="12">
                  <c:v>94.997354801610115</c:v>
                </c:pt>
                <c:pt idx="13">
                  <c:v>94.997354801610115</c:v>
                </c:pt>
                <c:pt idx="14">
                  <c:v>94.997354801610115</c:v>
                </c:pt>
                <c:pt idx="15">
                  <c:v>94.997354801610115</c:v>
                </c:pt>
                <c:pt idx="16">
                  <c:v>94.997354801610115</c:v>
                </c:pt>
                <c:pt idx="17">
                  <c:v>94.997354801610115</c:v>
                </c:pt>
                <c:pt idx="18">
                  <c:v>94.997354801610115</c:v>
                </c:pt>
                <c:pt idx="19">
                  <c:v>89.997494022577996</c:v>
                </c:pt>
                <c:pt idx="20">
                  <c:v>85.497619321449093</c:v>
                </c:pt>
                <c:pt idx="21">
                  <c:v>81.426304115665815</c:v>
                </c:pt>
                <c:pt idx="22">
                  <c:v>77.725108474044632</c:v>
                </c:pt>
                <c:pt idx="23">
                  <c:v>74.345755931694868</c:v>
                </c:pt>
                <c:pt idx="24">
                  <c:v>71.248016101207583</c:v>
                </c:pt>
                <c:pt idx="25">
                  <c:v>68.398095457159286</c:v>
                </c:pt>
                <c:pt idx="26">
                  <c:v>65.767399478037774</c:v>
                </c:pt>
                <c:pt idx="27">
                  <c:v>63.331569867740072</c:v>
                </c:pt>
                <c:pt idx="28">
                  <c:v>61.069728086749357</c:v>
                </c:pt>
                <c:pt idx="29">
                  <c:v>58.963875394102828</c:v>
                </c:pt>
                <c:pt idx="30">
                  <c:v>56.998412880966065</c:v>
                </c:pt>
                <c:pt idx="31">
                  <c:v>55.159754400934901</c:v>
                </c:pt>
                <c:pt idx="32">
                  <c:v>53.436012075905687</c:v>
                </c:pt>
                <c:pt idx="33">
                  <c:v>51.816738982696421</c:v>
                </c:pt>
                <c:pt idx="34">
                  <c:v>50.292717247911234</c:v>
                </c:pt>
                <c:pt idx="35">
                  <c:v>48.855782469399486</c:v>
                </c:pt>
                <c:pt idx="36">
                  <c:v>47.498677400805057</c:v>
                </c:pt>
                <c:pt idx="37">
                  <c:v>46.214929362945462</c:v>
                </c:pt>
                <c:pt idx="38">
                  <c:v>44.998747011288998</c:v>
                </c:pt>
                <c:pt idx="39">
                  <c:v>43.844932985358511</c:v>
                </c:pt>
                <c:pt idx="40">
                  <c:v>42.748809660724547</c:v>
                </c:pt>
                <c:pt idx="41">
                  <c:v>41.706155766560535</c:v>
                </c:pt>
                <c:pt idx="42">
                  <c:v>40.713152057832907</c:v>
                </c:pt>
                <c:pt idx="43">
                  <c:v>39.766334568115859</c:v>
                </c:pt>
                <c:pt idx="44">
                  <c:v>38.862554237022316</c:v>
                </c:pt>
                <c:pt idx="45">
                  <c:v>37.998941920644043</c:v>
                </c:pt>
                <c:pt idx="46">
                  <c:v>37.172877965847434</c:v>
                </c:pt>
                <c:pt idx="47">
                  <c:v>36.381965668701746</c:v>
                </c:pt>
                <c:pt idx="48">
                  <c:v>35.624008050603791</c:v>
                </c:pt>
                <c:pt idx="49">
                  <c:v>34.896987478142492</c:v>
                </c:pt>
                <c:pt idx="50">
                  <c:v>34.199047728579643</c:v>
                </c:pt>
                <c:pt idx="51">
                  <c:v>33.528478165274159</c:v>
                </c:pt>
                <c:pt idx="52">
                  <c:v>32.883699739018887</c:v>
                </c:pt>
                <c:pt idx="53">
                  <c:v>32.263252574131734</c:v>
                </c:pt>
                <c:pt idx="54">
                  <c:v>31.665784933870036</c:v>
                </c:pt>
                <c:pt idx="55">
                  <c:v>31.090043389617854</c:v>
                </c:pt>
                <c:pt idx="56">
                  <c:v>30.534864043374679</c:v>
                </c:pt>
                <c:pt idx="57">
                  <c:v>29.999164674192667</c:v>
                </c:pt>
                <c:pt idx="58">
                  <c:v>29.481937697051414</c:v>
                </c:pt>
                <c:pt idx="59">
                  <c:v>28.982243837779354</c:v>
                </c:pt>
                <c:pt idx="60">
                  <c:v>28.499206440483032</c:v>
                </c:pt>
                <c:pt idx="61">
                  <c:v>28.032006334901343</c:v>
                </c:pt>
                <c:pt idx="62">
                  <c:v>27.57987720046745</c:v>
                </c:pt>
                <c:pt idx="63">
                  <c:v>27.142101371888604</c:v>
                </c:pt>
                <c:pt idx="64">
                  <c:v>26.718006037952843</c:v>
                </c:pt>
                <c:pt idx="65">
                  <c:v>26.306959791215107</c:v>
                </c:pt>
                <c:pt idx="66">
                  <c:v>25.908369491348211</c:v>
                </c:pt>
                <c:pt idx="67">
                  <c:v>25.521677409387792</c:v>
                </c:pt>
                <c:pt idx="68">
                  <c:v>25.146358623955617</c:v>
                </c:pt>
                <c:pt idx="69">
                  <c:v>24.78191864389829</c:v>
                </c:pt>
                <c:pt idx="70">
                  <c:v>24.427891234699743</c:v>
                </c:pt>
                <c:pt idx="71">
                  <c:v>24.083836428577211</c:v>
                </c:pt>
                <c:pt idx="72">
                  <c:v>23.749338700402529</c:v>
                </c:pt>
                <c:pt idx="73">
                  <c:v>23.424005293547697</c:v>
                </c:pt>
                <c:pt idx="74">
                  <c:v>23.107464681472731</c:v>
                </c:pt>
                <c:pt idx="75">
                  <c:v>22.799365152386425</c:v>
                </c:pt>
                <c:pt idx="76">
                  <c:v>22.499373505644499</c:v>
                </c:pt>
                <c:pt idx="77">
                  <c:v>22.207173849727038</c:v>
                </c:pt>
                <c:pt idx="78">
                  <c:v>21.922466492679256</c:v>
                </c:pt>
                <c:pt idx="79">
                  <c:v>21.644966916822558</c:v>
                </c:pt>
                <c:pt idx="80">
                  <c:v>21.374404830362273</c:v>
                </c:pt>
                <c:pt idx="81">
                  <c:v>21.110523289246689</c:v>
                </c:pt>
                <c:pt idx="82">
                  <c:v>20.853077883280267</c:v>
                </c:pt>
                <c:pt idx="83">
                  <c:v>20.601835981072071</c:v>
                </c:pt>
                <c:pt idx="84">
                  <c:v>20.356576028916454</c:v>
                </c:pt>
                <c:pt idx="85">
                  <c:v>20.117086899164494</c:v>
                </c:pt>
                <c:pt idx="86">
                  <c:v>19.883167284057929</c:v>
                </c:pt>
                <c:pt idx="87">
                  <c:v>19.654625131367609</c:v>
                </c:pt>
                <c:pt idx="88">
                  <c:v>19.431277118511158</c:v>
                </c:pt>
                <c:pt idx="89">
                  <c:v>19.212948162123393</c:v>
                </c:pt>
                <c:pt idx="90">
                  <c:v>18.999470960322022</c:v>
                </c:pt>
                <c:pt idx="91">
                  <c:v>18.790685565153648</c:v>
                </c:pt>
                <c:pt idx="92">
                  <c:v>18.586438982923717</c:v>
                </c:pt>
                <c:pt idx="93">
                  <c:v>18.386584800311635</c:v>
                </c:pt>
                <c:pt idx="94">
                  <c:v>18.190982834350873</c:v>
                </c:pt>
                <c:pt idx="95">
                  <c:v>17.9994988045156</c:v>
                </c:pt>
                <c:pt idx="96">
                  <c:v>17.812004025301896</c:v>
                </c:pt>
                <c:pt idx="97">
                  <c:v>17.628375117824557</c:v>
                </c:pt>
                <c:pt idx="98">
                  <c:v>17.448493739071246</c:v>
                </c:pt>
                <c:pt idx="99">
                  <c:v>17.272246327565476</c:v>
                </c:pt>
                <c:pt idx="100">
                  <c:v>17.099523864289822</c:v>
                </c:pt>
                <c:pt idx="101">
                  <c:v>16.930221647811702</c:v>
                </c:pt>
                <c:pt idx="102">
                  <c:v>16.764239082637079</c:v>
                </c:pt>
                <c:pt idx="103">
                  <c:v>16.60147947989303</c:v>
                </c:pt>
                <c:pt idx="104">
                  <c:v>16.441849869509443</c:v>
                </c:pt>
                <c:pt idx="105">
                  <c:v>16.285260823133161</c:v>
                </c:pt>
                <c:pt idx="106">
                  <c:v>16.131626287065867</c:v>
                </c:pt>
                <c:pt idx="107">
                  <c:v>15.980863424569925</c:v>
                </c:pt>
                <c:pt idx="108">
                  <c:v>15.832892466935018</c:v>
                </c:pt>
                <c:pt idx="109">
                  <c:v>15.687636572742955</c:v>
                </c:pt>
                <c:pt idx="110">
                  <c:v>15.545021694808927</c:v>
                </c:pt>
                <c:pt idx="111">
                  <c:v>15.404976454315152</c:v>
                </c:pt>
                <c:pt idx="112">
                  <c:v>15.267432021687339</c:v>
                </c:pt>
                <c:pt idx="113">
                  <c:v>15.1323220037963</c:v>
                </c:pt>
                <c:pt idx="114">
                  <c:v>14.999582337096333</c:v>
                </c:pt>
                <c:pt idx="115">
                  <c:v>14.869151186338973</c:v>
                </c:pt>
                <c:pt idx="116">
                  <c:v>14.740968848525707</c:v>
                </c:pt>
                <c:pt idx="117">
                  <c:v>14.61497766178617</c:v>
                </c:pt>
                <c:pt idx="118">
                  <c:v>14.491121918889677</c:v>
                </c:pt>
                <c:pt idx="119">
                  <c:v>14.369347785117496</c:v>
                </c:pt>
                <c:pt idx="120">
                  <c:v>14.249603220241516</c:v>
                </c:pt>
                <c:pt idx="121">
                  <c:v>14.131837904371752</c:v>
                </c:pt>
                <c:pt idx="122">
                  <c:v>14.016003167450672</c:v>
                </c:pt>
                <c:pt idx="123">
                  <c:v>13.902051922186846</c:v>
                </c:pt>
                <c:pt idx="124">
                  <c:v>13.789938600233725</c:v>
                </c:pt>
                <c:pt idx="125">
                  <c:v>13.679619091431857</c:v>
                </c:pt>
                <c:pt idx="126">
                  <c:v>13.571050685944302</c:v>
                </c:pt>
                <c:pt idx="127">
                  <c:v>13.464192019125843</c:v>
                </c:pt>
                <c:pt idx="128">
                  <c:v>13.359003018976422</c:v>
                </c:pt>
                <c:pt idx="129">
                  <c:v>13.25544485603862</c:v>
                </c:pt>
                <c:pt idx="130">
                  <c:v>13.153479895607553</c:v>
                </c:pt>
                <c:pt idx="131">
                  <c:v>13.053071652129633</c:v>
                </c:pt>
                <c:pt idx="132">
                  <c:v>12.954184745674105</c:v>
                </c:pt>
                <c:pt idx="133">
                  <c:v>12.856784860368286</c:v>
                </c:pt>
                <c:pt idx="134">
                  <c:v>12.760838704693896</c:v>
                </c:pt>
                <c:pt idx="135">
                  <c:v>12.666313973548014</c:v>
                </c:pt>
                <c:pt idx="136">
                  <c:v>12.573179311977809</c:v>
                </c:pt>
                <c:pt idx="137">
                  <c:v>12.481404280503519</c:v>
                </c:pt>
                <c:pt idx="138">
                  <c:v>12.390959321949145</c:v>
                </c:pt>
                <c:pt idx="139">
                  <c:v>12.301815729704906</c:v>
                </c:pt>
                <c:pt idx="140">
                  <c:v>12.213945617349871</c:v>
                </c:pt>
                <c:pt idx="141">
                  <c:v>12.127321889567249</c:v>
                </c:pt>
                <c:pt idx="142">
                  <c:v>12.041918214288605</c:v>
                </c:pt>
                <c:pt idx="143">
                  <c:v>11.957708996006867</c:v>
                </c:pt>
                <c:pt idx="144">
                  <c:v>11.874669350201264</c:v>
                </c:pt>
                <c:pt idx="145">
                  <c:v>11.792775078820565</c:v>
                </c:pt>
                <c:pt idx="146">
                  <c:v>11.712002646773849</c:v>
                </c:pt>
                <c:pt idx="147">
                  <c:v>11.632329159380831</c:v>
                </c:pt>
                <c:pt idx="148">
                  <c:v>11.553732340736365</c:v>
                </c:pt>
                <c:pt idx="149">
                  <c:v>11.476190512946188</c:v>
                </c:pt>
                <c:pt idx="150">
                  <c:v>11.399682576193213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B80-42E4-BA20-A9E08837DBF1}"/>
            </c:ext>
          </c:extLst>
        </c:ser>
        <c:ser>
          <c:idx val="30"/>
          <c:order val="2"/>
          <c:tx>
            <c:strRef>
              <c:f>加速度入力!$V$52</c:f>
              <c:strCache>
                <c:ptCount val="1"/>
                <c:pt idx="0">
                  <c:v>3N</c:v>
                </c:pt>
              </c:strCache>
            </c:strRef>
          </c:tx>
          <c:spPr>
            <a:ln w="28575" cap="rnd">
              <a:solidFill>
                <a:schemeClr val="accent6">
                  <a:lumMod val="50000"/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加速度入力!$Y$56:$Y$206</c:f>
              <c:numCache>
                <c:formatCode>General</c:formatCode>
                <c:ptCount val="151"/>
                <c:pt idx="0">
                  <c:v>143.38102357676826</c:v>
                </c:pt>
                <c:pt idx="1">
                  <c:v>143.38102357676826</c:v>
                </c:pt>
                <c:pt idx="2">
                  <c:v>143.38102357676826</c:v>
                </c:pt>
                <c:pt idx="3">
                  <c:v>143.38102357676826</c:v>
                </c:pt>
                <c:pt idx="4">
                  <c:v>143.38102357676826</c:v>
                </c:pt>
                <c:pt idx="5">
                  <c:v>143.38102357676826</c:v>
                </c:pt>
                <c:pt idx="6">
                  <c:v>143.38102357676826</c:v>
                </c:pt>
                <c:pt idx="7">
                  <c:v>143.38102357676826</c:v>
                </c:pt>
                <c:pt idx="8">
                  <c:v>143.38102357676826</c:v>
                </c:pt>
                <c:pt idx="9">
                  <c:v>143.38102357676826</c:v>
                </c:pt>
                <c:pt idx="10">
                  <c:v>143.38102357676826</c:v>
                </c:pt>
                <c:pt idx="11">
                  <c:v>143.38102357676826</c:v>
                </c:pt>
                <c:pt idx="12">
                  <c:v>143.38102357676826</c:v>
                </c:pt>
                <c:pt idx="13">
                  <c:v>143.38102357676826</c:v>
                </c:pt>
                <c:pt idx="14">
                  <c:v>143.38102357676826</c:v>
                </c:pt>
                <c:pt idx="15">
                  <c:v>143.38102357676826</c:v>
                </c:pt>
                <c:pt idx="16">
                  <c:v>143.38102357676826</c:v>
                </c:pt>
                <c:pt idx="17">
                  <c:v>143.38102357676826</c:v>
                </c:pt>
                <c:pt idx="18">
                  <c:v>143.38102357676826</c:v>
                </c:pt>
                <c:pt idx="19">
                  <c:v>143.38102357676826</c:v>
                </c:pt>
                <c:pt idx="20">
                  <c:v>143.38102357676826</c:v>
                </c:pt>
                <c:pt idx="21">
                  <c:v>143.38102357676826</c:v>
                </c:pt>
                <c:pt idx="22">
                  <c:v>143.38102357676826</c:v>
                </c:pt>
                <c:pt idx="23">
                  <c:v>143.38102357676826</c:v>
                </c:pt>
                <c:pt idx="24">
                  <c:v>143.38102357676826</c:v>
                </c:pt>
                <c:pt idx="25">
                  <c:v>143.38102357676826</c:v>
                </c:pt>
                <c:pt idx="26">
                  <c:v>143.38102357676826</c:v>
                </c:pt>
                <c:pt idx="27">
                  <c:v>143.38102357676826</c:v>
                </c:pt>
                <c:pt idx="28">
                  <c:v>143.38102357676826</c:v>
                </c:pt>
                <c:pt idx="29">
                  <c:v>143.38102357676826</c:v>
                </c:pt>
                <c:pt idx="30">
                  <c:v>143.38102357676826</c:v>
                </c:pt>
                <c:pt idx="31">
                  <c:v>143.38102357676826</c:v>
                </c:pt>
                <c:pt idx="32">
                  <c:v>143.38102357676826</c:v>
                </c:pt>
                <c:pt idx="33">
                  <c:v>143.38102357676826</c:v>
                </c:pt>
                <c:pt idx="34">
                  <c:v>143.38102357676826</c:v>
                </c:pt>
                <c:pt idx="35">
                  <c:v>143.38102357676826</c:v>
                </c:pt>
                <c:pt idx="36">
                  <c:v>143.38102357676826</c:v>
                </c:pt>
                <c:pt idx="37">
                  <c:v>143.38102357676826</c:v>
                </c:pt>
                <c:pt idx="38">
                  <c:v>143.38102357676826</c:v>
                </c:pt>
                <c:pt idx="39">
                  <c:v>139.70458707479983</c:v>
                </c:pt>
                <c:pt idx="40">
                  <c:v>136.21197239792986</c:v>
                </c:pt>
                <c:pt idx="41">
                  <c:v>132.88972916871205</c:v>
                </c:pt>
                <c:pt idx="42">
                  <c:v>129.72568799802843</c:v>
                </c:pt>
                <c:pt idx="43">
                  <c:v>126.70881153295799</c:v>
                </c:pt>
                <c:pt idx="44">
                  <c:v>123.82906581629986</c:v>
                </c:pt>
                <c:pt idx="45">
                  <c:v>121.07730879815986</c:v>
                </c:pt>
                <c:pt idx="46">
                  <c:v>118.44519338950421</c:v>
                </c:pt>
                <c:pt idx="47">
                  <c:v>115.92508289185518</c:v>
                </c:pt>
                <c:pt idx="48">
                  <c:v>113.50997699827487</c:v>
                </c:pt>
                <c:pt idx="49">
                  <c:v>111.19344685545293</c:v>
                </c:pt>
                <c:pt idx="50">
                  <c:v>108.96957791834387</c:v>
                </c:pt>
                <c:pt idx="51">
                  <c:v>106.83291952778811</c:v>
                </c:pt>
                <c:pt idx="52">
                  <c:v>104.77844030609988</c:v>
                </c:pt>
                <c:pt idx="53">
                  <c:v>102.80148860221121</c:v>
                </c:pt>
                <c:pt idx="54">
                  <c:v>100.89775733179988</c:v>
                </c:pt>
                <c:pt idx="55">
                  <c:v>99.063252653039882</c:v>
                </c:pt>
                <c:pt idx="56">
                  <c:v>97.294265998521311</c:v>
                </c:pt>
                <c:pt idx="57">
                  <c:v>95.587349051178833</c:v>
                </c:pt>
                <c:pt idx="58">
                  <c:v>93.939291308917134</c:v>
                </c:pt>
                <c:pt idx="59">
                  <c:v>92.347099930799899</c:v>
                </c:pt>
                <c:pt idx="60">
                  <c:v>90.807981598619889</c:v>
                </c:pt>
                <c:pt idx="61">
                  <c:v>89.319326162576942</c:v>
                </c:pt>
                <c:pt idx="62">
                  <c:v>87.878691869632164</c:v>
                </c:pt>
                <c:pt idx="63">
                  <c:v>86.483791998685618</c:v>
                </c:pt>
                <c:pt idx="64">
                  <c:v>85.132482748706153</c:v>
                </c:pt>
                <c:pt idx="65">
                  <c:v>83.822752244879908</c:v>
                </c:pt>
                <c:pt idx="66">
                  <c:v>82.552710544199911</c:v>
                </c:pt>
                <c:pt idx="67">
                  <c:v>81.320580536077514</c:v>
                </c:pt>
                <c:pt idx="68">
                  <c:v>80.124689645841087</c:v>
                </c:pt>
                <c:pt idx="69">
                  <c:v>78.96346225966947</c:v>
                </c:pt>
                <c:pt idx="70">
                  <c:v>77.83541279881706</c:v>
                </c:pt>
                <c:pt idx="71">
                  <c:v>76.7391393791154</c:v>
                </c:pt>
                <c:pt idx="72">
                  <c:v>75.67331799884991</c:v>
                </c:pt>
                <c:pt idx="73">
                  <c:v>74.636697204345126</c:v>
                </c:pt>
                <c:pt idx="74">
                  <c:v>73.628093188070181</c:v>
                </c:pt>
                <c:pt idx="75">
                  <c:v>72.64638527889592</c:v>
                </c:pt>
                <c:pt idx="76">
                  <c:v>71.690511788384129</c:v>
                </c:pt>
                <c:pt idx="77">
                  <c:v>70.759466180742777</c:v>
                </c:pt>
                <c:pt idx="78">
                  <c:v>69.852293537399916</c:v>
                </c:pt>
                <c:pt idx="79">
                  <c:v>68.968087290091063</c:v>
                </c:pt>
                <c:pt idx="80">
                  <c:v>68.105986198964928</c:v>
                </c:pt>
                <c:pt idx="81">
                  <c:v>67.265171554533254</c:v>
                </c:pt>
                <c:pt idx="82">
                  <c:v>66.444864584356026</c:v>
                </c:pt>
                <c:pt idx="83">
                  <c:v>65.644324047195099</c:v>
                </c:pt>
                <c:pt idx="84">
                  <c:v>64.862843999014217</c:v>
                </c:pt>
                <c:pt idx="85">
                  <c:v>64.09975171667287</c:v>
                </c:pt>
                <c:pt idx="86">
                  <c:v>63.354405766478997</c:v>
                </c:pt>
                <c:pt idx="87">
                  <c:v>62.626194205944756</c:v>
                </c:pt>
                <c:pt idx="88">
                  <c:v>61.91453290814993</c:v>
                </c:pt>
                <c:pt idx="89">
                  <c:v>61.21886399906959</c:v>
                </c:pt>
                <c:pt idx="90">
                  <c:v>60.538654399079931</c:v>
                </c:pt>
                <c:pt idx="91">
                  <c:v>59.873394460628504</c:v>
                </c:pt>
                <c:pt idx="92">
                  <c:v>59.222596694752106</c:v>
                </c:pt>
                <c:pt idx="93">
                  <c:v>58.585794579754769</c:v>
                </c:pt>
                <c:pt idx="94">
                  <c:v>57.962541445927592</c:v>
                </c:pt>
                <c:pt idx="95">
                  <c:v>57.352409430707304</c:v>
                </c:pt>
                <c:pt idx="96">
                  <c:v>56.754988499137433</c:v>
                </c:pt>
                <c:pt idx="97">
                  <c:v>56.169885524919522</c:v>
                </c:pt>
                <c:pt idx="98">
                  <c:v>55.596723427726467</c:v>
                </c:pt>
                <c:pt idx="99">
                  <c:v>55.035140362799936</c:v>
                </c:pt>
                <c:pt idx="100">
                  <c:v>54.484788959171937</c:v>
                </c:pt>
                <c:pt idx="101">
                  <c:v>53.945335603140535</c:v>
                </c:pt>
                <c:pt idx="102">
                  <c:v>53.416459763894053</c:v>
                </c:pt>
                <c:pt idx="103">
                  <c:v>52.897853358419354</c:v>
                </c:pt>
                <c:pt idx="104">
                  <c:v>52.389220153049941</c:v>
                </c:pt>
                <c:pt idx="105">
                  <c:v>51.890275199211366</c:v>
                </c:pt>
                <c:pt idx="106">
                  <c:v>51.400744301105604</c:v>
                </c:pt>
                <c:pt idx="107">
                  <c:v>50.920363513244801</c:v>
                </c:pt>
                <c:pt idx="108">
                  <c:v>50.44887866589994</c:v>
                </c:pt>
                <c:pt idx="109">
                  <c:v>49.986044916671503</c:v>
                </c:pt>
                <c:pt idx="110">
                  <c:v>49.531626326519941</c:v>
                </c:pt>
                <c:pt idx="111">
                  <c:v>49.085395458713457</c:v>
                </c:pt>
                <c:pt idx="112">
                  <c:v>48.647132999260656</c:v>
                </c:pt>
                <c:pt idx="113">
                  <c:v>48.216627397497291</c:v>
                </c:pt>
                <c:pt idx="114">
                  <c:v>47.793674525589417</c:v>
                </c:pt>
                <c:pt idx="115">
                  <c:v>47.378077355801686</c:v>
                </c:pt>
                <c:pt idx="116">
                  <c:v>46.969645654458567</c:v>
                </c:pt>
                <c:pt idx="117">
                  <c:v>46.568195691599946</c:v>
                </c:pt>
                <c:pt idx="118">
                  <c:v>46.17354996539995</c:v>
                </c:pt>
                <c:pt idx="119">
                  <c:v>45.785536940480618</c:v>
                </c:pt>
                <c:pt idx="120">
                  <c:v>45.403990799309945</c:v>
                </c:pt>
                <c:pt idx="121">
                  <c:v>45.028751205927222</c:v>
                </c:pt>
                <c:pt idx="122">
                  <c:v>44.659663081288471</c:v>
                </c:pt>
                <c:pt idx="123">
                  <c:v>44.296576389570681</c:v>
                </c:pt>
                <c:pt idx="124">
                  <c:v>43.939345934816082</c:v>
                </c:pt>
                <c:pt idx="125">
                  <c:v>43.587831167337548</c:v>
                </c:pt>
                <c:pt idx="126">
                  <c:v>43.241895999342809</c:v>
                </c:pt>
                <c:pt idx="127">
                  <c:v>42.901408629269241</c:v>
                </c:pt>
                <c:pt idx="128">
                  <c:v>42.566241374353076</c:v>
                </c:pt>
                <c:pt idx="129">
                  <c:v>42.236270510985996</c:v>
                </c:pt>
                <c:pt idx="130">
                  <c:v>41.911376122439954</c:v>
                </c:pt>
                <c:pt idx="131">
                  <c:v>41.591441953566367</c:v>
                </c:pt>
                <c:pt idx="132">
                  <c:v>41.276355272099956</c:v>
                </c:pt>
                <c:pt idx="133">
                  <c:v>40.966006736219505</c:v>
                </c:pt>
                <c:pt idx="134">
                  <c:v>40.660290268038757</c:v>
                </c:pt>
                <c:pt idx="135">
                  <c:v>40.359102932719956</c:v>
                </c:pt>
                <c:pt idx="136">
                  <c:v>40.062344822920544</c:v>
                </c:pt>
                <c:pt idx="137">
                  <c:v>39.769918948300685</c:v>
                </c:pt>
                <c:pt idx="138">
                  <c:v>39.481731129834735</c:v>
                </c:pt>
                <c:pt idx="139">
                  <c:v>39.19768989868485</c:v>
                </c:pt>
                <c:pt idx="140">
                  <c:v>38.91770639940853</c:v>
                </c:pt>
                <c:pt idx="141">
                  <c:v>38.641694297285063</c:v>
                </c:pt>
                <c:pt idx="142">
                  <c:v>38.3695696895577</c:v>
                </c:pt>
                <c:pt idx="143">
                  <c:v>38.101251020399957</c:v>
                </c:pt>
                <c:pt idx="144">
                  <c:v>37.836658999424955</c:v>
                </c:pt>
                <c:pt idx="145">
                  <c:v>37.575716523566854</c:v>
                </c:pt>
                <c:pt idx="146">
                  <c:v>37.318348602172563</c:v>
                </c:pt>
                <c:pt idx="147">
                  <c:v>37.06448228515098</c:v>
                </c:pt>
                <c:pt idx="148">
                  <c:v>36.814046594035091</c:v>
                </c:pt>
                <c:pt idx="149">
                  <c:v>36.566972455820093</c:v>
                </c:pt>
                <c:pt idx="150">
                  <c:v>36.32319263944796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6B80-42E4-BA20-A9E08837DBF1}"/>
            </c:ext>
          </c:extLst>
        </c:ser>
        <c:ser>
          <c:idx val="31"/>
          <c:order val="3"/>
          <c:tx>
            <c:strRef>
              <c:f>加速度入力!$AE$52</c:f>
              <c:strCache>
                <c:ptCount val="1"/>
                <c:pt idx="0">
                  <c:v>4N</c:v>
                </c:pt>
              </c:strCache>
            </c:strRef>
          </c:tx>
          <c:spPr>
            <a:ln w="28575" cap="rnd">
              <a:solidFill>
                <a:schemeClr val="accent6">
                  <a:lumMod val="75000"/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加速度入力!$AH$56:$AH$206</c:f>
              <c:numCache>
                <c:formatCode>General</c:formatCode>
                <c:ptCount val="151"/>
                <c:pt idx="0">
                  <c:v>189.23289246693503</c:v>
                </c:pt>
                <c:pt idx="1">
                  <c:v>189.23289246693503</c:v>
                </c:pt>
                <c:pt idx="2">
                  <c:v>189.23289246693503</c:v>
                </c:pt>
                <c:pt idx="3">
                  <c:v>189.23289246693503</c:v>
                </c:pt>
                <c:pt idx="4">
                  <c:v>189.23289246693503</c:v>
                </c:pt>
                <c:pt idx="5">
                  <c:v>189.23289246693503</c:v>
                </c:pt>
                <c:pt idx="6">
                  <c:v>189.23289246693503</c:v>
                </c:pt>
                <c:pt idx="7">
                  <c:v>189.23289246693503</c:v>
                </c:pt>
                <c:pt idx="8">
                  <c:v>189.23289246693503</c:v>
                </c:pt>
                <c:pt idx="9">
                  <c:v>189.23289246693503</c:v>
                </c:pt>
                <c:pt idx="10">
                  <c:v>189.23289246693503</c:v>
                </c:pt>
                <c:pt idx="11">
                  <c:v>189.23289246693503</c:v>
                </c:pt>
                <c:pt idx="12">
                  <c:v>189.23289246693503</c:v>
                </c:pt>
                <c:pt idx="13">
                  <c:v>189.23289246693503</c:v>
                </c:pt>
                <c:pt idx="14">
                  <c:v>189.23289246693503</c:v>
                </c:pt>
                <c:pt idx="15">
                  <c:v>189.23289246693503</c:v>
                </c:pt>
                <c:pt idx="16">
                  <c:v>189.23289246693503</c:v>
                </c:pt>
                <c:pt idx="17">
                  <c:v>189.23289246693503</c:v>
                </c:pt>
                <c:pt idx="18">
                  <c:v>189.23289246693503</c:v>
                </c:pt>
                <c:pt idx="19">
                  <c:v>189.23289246693503</c:v>
                </c:pt>
                <c:pt idx="20">
                  <c:v>189.23289246693503</c:v>
                </c:pt>
                <c:pt idx="21">
                  <c:v>189.23289246693503</c:v>
                </c:pt>
                <c:pt idx="22">
                  <c:v>189.23289246693503</c:v>
                </c:pt>
                <c:pt idx="23">
                  <c:v>189.23289246693503</c:v>
                </c:pt>
                <c:pt idx="24">
                  <c:v>189.23289246693503</c:v>
                </c:pt>
                <c:pt idx="25">
                  <c:v>189.23289246693503</c:v>
                </c:pt>
                <c:pt idx="26">
                  <c:v>189.23289246693503</c:v>
                </c:pt>
                <c:pt idx="27">
                  <c:v>189.23289246693503</c:v>
                </c:pt>
                <c:pt idx="28">
                  <c:v>189.23289246693503</c:v>
                </c:pt>
                <c:pt idx="29">
                  <c:v>189.23289246693503</c:v>
                </c:pt>
                <c:pt idx="30">
                  <c:v>189.23289246693503</c:v>
                </c:pt>
                <c:pt idx="31">
                  <c:v>189.23289246693503</c:v>
                </c:pt>
                <c:pt idx="32">
                  <c:v>189.23289246693503</c:v>
                </c:pt>
                <c:pt idx="33">
                  <c:v>189.23289246693503</c:v>
                </c:pt>
                <c:pt idx="34">
                  <c:v>189.23289246693503</c:v>
                </c:pt>
                <c:pt idx="35">
                  <c:v>189.23289246693503</c:v>
                </c:pt>
                <c:pt idx="36">
                  <c:v>189.23289246693503</c:v>
                </c:pt>
                <c:pt idx="37">
                  <c:v>189.23289246693503</c:v>
                </c:pt>
                <c:pt idx="38">
                  <c:v>189.23289246693503</c:v>
                </c:pt>
                <c:pt idx="39">
                  <c:v>189.23289246693503</c:v>
                </c:pt>
                <c:pt idx="40">
                  <c:v>189.23289246693503</c:v>
                </c:pt>
                <c:pt idx="41">
                  <c:v>189.23289246693503</c:v>
                </c:pt>
                <c:pt idx="42">
                  <c:v>189.23289246693503</c:v>
                </c:pt>
                <c:pt idx="43">
                  <c:v>189.23289246693503</c:v>
                </c:pt>
                <c:pt idx="44">
                  <c:v>189.23289246693503</c:v>
                </c:pt>
                <c:pt idx="45">
                  <c:v>189.23289246693503</c:v>
                </c:pt>
                <c:pt idx="46">
                  <c:v>189.23289246693503</c:v>
                </c:pt>
                <c:pt idx="47">
                  <c:v>189.23289246693503</c:v>
                </c:pt>
                <c:pt idx="48">
                  <c:v>189.23289246693503</c:v>
                </c:pt>
                <c:pt idx="49">
                  <c:v>185.3709967023037</c:v>
                </c:pt>
                <c:pt idx="50">
                  <c:v>181.66357676825763</c:v>
                </c:pt>
                <c:pt idx="51">
                  <c:v>178.10154585123297</c:v>
                </c:pt>
                <c:pt idx="52">
                  <c:v>174.67651612332463</c:v>
                </c:pt>
                <c:pt idx="53">
                  <c:v>171.38073280024304</c:v>
                </c:pt>
                <c:pt idx="54">
                  <c:v>168.20701552616447</c:v>
                </c:pt>
                <c:pt idx="55">
                  <c:v>165.14870615296147</c:v>
                </c:pt>
                <c:pt idx="56">
                  <c:v>162.19962211451573</c:v>
                </c:pt>
                <c:pt idx="57">
                  <c:v>159.35401470899791</c:v>
                </c:pt>
                <c:pt idx="58">
                  <c:v>156.60653169677383</c:v>
                </c:pt>
                <c:pt idx="59">
                  <c:v>153.95218370191324</c:v>
                </c:pt>
                <c:pt idx="60">
                  <c:v>151.38631397354803</c:v>
                </c:pt>
                <c:pt idx="61">
                  <c:v>148.90457112152265</c:v>
                </c:pt>
                <c:pt idx="62">
                  <c:v>146.50288449053033</c:v>
                </c:pt>
                <c:pt idx="63">
                  <c:v>144.17744187956956</c:v>
                </c:pt>
                <c:pt idx="64">
                  <c:v>141.92466935020127</c:v>
                </c:pt>
                <c:pt idx="65">
                  <c:v>139.74121289865971</c:v>
                </c:pt>
                <c:pt idx="66">
                  <c:v>137.62392179413456</c:v>
                </c:pt>
                <c:pt idx="67">
                  <c:v>135.56983340914749</c:v>
                </c:pt>
                <c:pt idx="68">
                  <c:v>133.57615938842471</c:v>
                </c:pt>
                <c:pt idx="69">
                  <c:v>131.64027302047654</c:v>
                </c:pt>
                <c:pt idx="70">
                  <c:v>129.75969769161259</c:v>
                </c:pt>
                <c:pt idx="71">
                  <c:v>127.93209631567439</c:v>
                </c:pt>
                <c:pt idx="72">
                  <c:v>126.15526164462335</c:v>
                </c:pt>
                <c:pt idx="73">
                  <c:v>124.42710737551891</c:v>
                </c:pt>
                <c:pt idx="74">
                  <c:v>122.74565997855245</c:v>
                </c:pt>
                <c:pt idx="75">
                  <c:v>121.10905117883841</c:v>
                </c:pt>
                <c:pt idx="76">
                  <c:v>119.51551103174843</c:v>
                </c:pt>
                <c:pt idx="77">
                  <c:v>117.96336153782963</c:v>
                </c:pt>
                <c:pt idx="78">
                  <c:v>116.45101074888309</c:v>
                </c:pt>
                <c:pt idx="79">
                  <c:v>114.97694732168205</c:v>
                </c:pt>
                <c:pt idx="80">
                  <c:v>113.53973548016101</c:v>
                </c:pt>
                <c:pt idx="81">
                  <c:v>112.13801035077631</c:v>
                </c:pt>
                <c:pt idx="82">
                  <c:v>110.77047363918147</c:v>
                </c:pt>
                <c:pt idx="83">
                  <c:v>109.4358896194323</c:v>
                </c:pt>
                <c:pt idx="84">
                  <c:v>108.13308140967716</c:v>
                </c:pt>
                <c:pt idx="85">
                  <c:v>106.86092751073978</c:v>
                </c:pt>
                <c:pt idx="86">
                  <c:v>105.61835858619629</c:v>
                </c:pt>
                <c:pt idx="87">
                  <c:v>104.40435446451588</c:v>
                </c:pt>
                <c:pt idx="88">
                  <c:v>103.21794134560092</c:v>
                </c:pt>
                <c:pt idx="89">
                  <c:v>102.05818919565036</c:v>
                </c:pt>
                <c:pt idx="90">
                  <c:v>100.92420931569868</c:v>
                </c:pt>
                <c:pt idx="91">
                  <c:v>99.815152070471228</c:v>
                </c:pt>
                <c:pt idx="92">
                  <c:v>98.730204765357399</c:v>
                </c:pt>
                <c:pt idx="93">
                  <c:v>97.668589660353561</c:v>
                </c:pt>
                <c:pt idx="94">
                  <c:v>96.629562110775339</c:v>
                </c:pt>
                <c:pt idx="95">
                  <c:v>95.612408825398745</c:v>
                </c:pt>
                <c:pt idx="96">
                  <c:v>94.616446233467514</c:v>
                </c:pt>
                <c:pt idx="97">
                  <c:v>93.641018952710112</c:v>
                </c:pt>
                <c:pt idx="98">
                  <c:v>92.68549835115185</c:v>
                </c:pt>
                <c:pt idx="99">
                  <c:v>91.749281196089711</c:v>
                </c:pt>
                <c:pt idx="100">
                  <c:v>90.831788384128814</c:v>
                </c:pt>
                <c:pt idx="101">
                  <c:v>89.932463746662194</c:v>
                </c:pt>
                <c:pt idx="102">
                  <c:v>89.050772925616485</c:v>
                </c:pt>
                <c:pt idx="103">
                  <c:v>88.186202314688174</c:v>
                </c:pt>
                <c:pt idx="104">
                  <c:v>87.338258061662316</c:v>
                </c:pt>
                <c:pt idx="105">
                  <c:v>86.50646512774172</c:v>
                </c:pt>
                <c:pt idx="106">
                  <c:v>85.690366400121519</c:v>
                </c:pt>
                <c:pt idx="107">
                  <c:v>84.889521854325992</c:v>
                </c:pt>
                <c:pt idx="108">
                  <c:v>84.103507763082234</c:v>
                </c:pt>
                <c:pt idx="109">
                  <c:v>83.331915948742036</c:v>
                </c:pt>
                <c:pt idx="110">
                  <c:v>82.574353076480733</c:v>
                </c:pt>
                <c:pt idx="111">
                  <c:v>81.830439985701631</c:v>
                </c:pt>
                <c:pt idx="112">
                  <c:v>81.099811057257867</c:v>
                </c:pt>
                <c:pt idx="113">
                  <c:v>80.38211361427328</c:v>
                </c:pt>
                <c:pt idx="114">
                  <c:v>79.677007354498954</c:v>
                </c:pt>
                <c:pt idx="115">
                  <c:v>78.984163812285928</c:v>
                </c:pt>
                <c:pt idx="116">
                  <c:v>78.303265848386914</c:v>
                </c:pt>
                <c:pt idx="117">
                  <c:v>77.634007165922057</c:v>
                </c:pt>
                <c:pt idx="118">
                  <c:v>76.976091850956621</c:v>
                </c:pt>
                <c:pt idx="119">
                  <c:v>76.329233936242701</c:v>
                </c:pt>
                <c:pt idx="120">
                  <c:v>75.693156986774014</c:v>
                </c:pt>
                <c:pt idx="121">
                  <c:v>75.067593705891582</c:v>
                </c:pt>
                <c:pt idx="122">
                  <c:v>74.452285560761325</c:v>
                </c:pt>
                <c:pt idx="123">
                  <c:v>73.846982426120988</c:v>
                </c:pt>
                <c:pt idx="124">
                  <c:v>73.251442245265167</c:v>
                </c:pt>
                <c:pt idx="125">
                  <c:v>72.665430707303045</c:v>
                </c:pt>
                <c:pt idx="126">
                  <c:v>72.088720939784778</c:v>
                </c:pt>
                <c:pt idx="127">
                  <c:v>71.521093215849461</c:v>
                </c:pt>
                <c:pt idx="128">
                  <c:v>70.962334675100635</c:v>
                </c:pt>
                <c:pt idx="129">
                  <c:v>70.412239057464191</c:v>
                </c:pt>
                <c:pt idx="130">
                  <c:v>69.870606449329856</c:v>
                </c:pt>
                <c:pt idx="131">
                  <c:v>69.337243041319709</c:v>
                </c:pt>
                <c:pt idx="132">
                  <c:v>68.81196089706728</c:v>
                </c:pt>
                <c:pt idx="133">
                  <c:v>68.294577732427683</c:v>
                </c:pt>
                <c:pt idx="134">
                  <c:v>67.784916704573746</c:v>
                </c:pt>
                <c:pt idx="135">
                  <c:v>67.282806210465793</c:v>
                </c:pt>
                <c:pt idx="136">
                  <c:v>66.788079694212357</c:v>
                </c:pt>
                <c:pt idx="137">
                  <c:v>66.300575462867741</c:v>
                </c:pt>
                <c:pt idx="138">
                  <c:v>65.820136510238271</c:v>
                </c:pt>
                <c:pt idx="139">
                  <c:v>65.346610348294107</c:v>
                </c:pt>
                <c:pt idx="140">
                  <c:v>64.879848845806293</c:v>
                </c:pt>
                <c:pt idx="141">
                  <c:v>64.419708073850217</c:v>
                </c:pt>
                <c:pt idx="142">
                  <c:v>63.966048157837193</c:v>
                </c:pt>
                <c:pt idx="143">
                  <c:v>63.518733135754417</c:v>
                </c:pt>
                <c:pt idx="144">
                  <c:v>63.077630822311676</c:v>
                </c:pt>
                <c:pt idx="145">
                  <c:v>62.642612678709526</c:v>
                </c:pt>
                <c:pt idx="146">
                  <c:v>62.213553687759457</c:v>
                </c:pt>
                <c:pt idx="147">
                  <c:v>61.790332234101236</c:v>
                </c:pt>
                <c:pt idx="148">
                  <c:v>61.372829989276227</c:v>
                </c:pt>
                <c:pt idx="149">
                  <c:v>60.960931801428735</c:v>
                </c:pt>
                <c:pt idx="150">
                  <c:v>60.554525589419207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6B80-42E4-BA20-A9E08837DBF1}"/>
            </c:ext>
          </c:extLst>
        </c:ser>
        <c:ser>
          <c:idx val="32"/>
          <c:order val="4"/>
          <c:tx>
            <c:strRef>
              <c:f>加速度入力!$AN$52</c:f>
              <c:strCache>
                <c:ptCount val="1"/>
                <c:pt idx="0">
                  <c:v>5N</c:v>
                </c:pt>
              </c:strCache>
            </c:strRef>
          </c:tx>
          <c:spPr>
            <a:ln w="28575" cap="rnd">
              <a:solidFill>
                <a:schemeClr val="accent6">
                  <a:alpha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加速度入力!$AQ$56:$AQ$206</c:f>
              <c:numCache>
                <c:formatCode>General</c:formatCode>
                <c:ptCount val="151"/>
                <c:pt idx="0">
                  <c:v>143.49488211615869</c:v>
                </c:pt>
                <c:pt idx="1">
                  <c:v>143.49488211615869</c:v>
                </c:pt>
                <c:pt idx="2">
                  <c:v>143.49488211615869</c:v>
                </c:pt>
                <c:pt idx="3">
                  <c:v>143.49488211615869</c:v>
                </c:pt>
                <c:pt idx="4">
                  <c:v>143.49488211615869</c:v>
                </c:pt>
                <c:pt idx="5">
                  <c:v>143.49488211615869</c:v>
                </c:pt>
                <c:pt idx="6">
                  <c:v>143.49488211615869</c:v>
                </c:pt>
                <c:pt idx="7">
                  <c:v>143.49488211615869</c:v>
                </c:pt>
                <c:pt idx="8">
                  <c:v>143.49488211615869</c:v>
                </c:pt>
                <c:pt idx="9">
                  <c:v>143.49488211615869</c:v>
                </c:pt>
                <c:pt idx="10">
                  <c:v>143.49488211615869</c:v>
                </c:pt>
                <c:pt idx="11">
                  <c:v>143.49488211615869</c:v>
                </c:pt>
                <c:pt idx="12">
                  <c:v>143.49488211615869</c:v>
                </c:pt>
                <c:pt idx="13">
                  <c:v>143.49488211615869</c:v>
                </c:pt>
                <c:pt idx="14">
                  <c:v>143.49488211615869</c:v>
                </c:pt>
                <c:pt idx="15">
                  <c:v>143.49488211615869</c:v>
                </c:pt>
                <c:pt idx="16">
                  <c:v>143.49488211615869</c:v>
                </c:pt>
                <c:pt idx="17">
                  <c:v>143.49488211615869</c:v>
                </c:pt>
                <c:pt idx="18">
                  <c:v>143.49488211615869</c:v>
                </c:pt>
                <c:pt idx="19">
                  <c:v>143.49488211615869</c:v>
                </c:pt>
                <c:pt idx="20">
                  <c:v>143.49488211615869</c:v>
                </c:pt>
                <c:pt idx="21">
                  <c:v>143.49488211615869</c:v>
                </c:pt>
                <c:pt idx="22">
                  <c:v>143.49488211615869</c:v>
                </c:pt>
                <c:pt idx="23">
                  <c:v>143.49488211615869</c:v>
                </c:pt>
                <c:pt idx="24">
                  <c:v>143.49488211615869</c:v>
                </c:pt>
                <c:pt idx="25">
                  <c:v>143.49488211615869</c:v>
                </c:pt>
                <c:pt idx="26">
                  <c:v>143.49488211615869</c:v>
                </c:pt>
                <c:pt idx="27">
                  <c:v>143.49488211615869</c:v>
                </c:pt>
                <c:pt idx="28">
                  <c:v>143.49488211615869</c:v>
                </c:pt>
                <c:pt idx="29">
                  <c:v>143.49488211615869</c:v>
                </c:pt>
                <c:pt idx="30">
                  <c:v>143.49488211615869</c:v>
                </c:pt>
                <c:pt idx="31">
                  <c:v>143.49488211615869</c:v>
                </c:pt>
                <c:pt idx="32">
                  <c:v>143.49488211615869</c:v>
                </c:pt>
                <c:pt idx="33">
                  <c:v>143.49488211615869</c:v>
                </c:pt>
                <c:pt idx="34">
                  <c:v>143.49488211615869</c:v>
                </c:pt>
                <c:pt idx="35">
                  <c:v>143.49488211615869</c:v>
                </c:pt>
                <c:pt idx="36">
                  <c:v>143.49488211615869</c:v>
                </c:pt>
                <c:pt idx="37">
                  <c:v>143.49488211615869</c:v>
                </c:pt>
                <c:pt idx="38">
                  <c:v>143.49488211615869</c:v>
                </c:pt>
                <c:pt idx="39">
                  <c:v>143.49488211615869</c:v>
                </c:pt>
                <c:pt idx="40">
                  <c:v>143.49488211615869</c:v>
                </c:pt>
                <c:pt idx="41">
                  <c:v>143.49488211615869</c:v>
                </c:pt>
                <c:pt idx="42">
                  <c:v>143.49488211615869</c:v>
                </c:pt>
                <c:pt idx="43">
                  <c:v>143.49488211615869</c:v>
                </c:pt>
                <c:pt idx="44">
                  <c:v>143.49488211615869</c:v>
                </c:pt>
                <c:pt idx="45">
                  <c:v>143.49488211615869</c:v>
                </c:pt>
                <c:pt idx="46">
                  <c:v>143.49488211615869</c:v>
                </c:pt>
                <c:pt idx="47">
                  <c:v>140.44179951794254</c:v>
                </c:pt>
                <c:pt idx="48">
                  <c:v>137.51592869465208</c:v>
                </c:pt>
                <c:pt idx="49">
                  <c:v>134.70948117027143</c:v>
                </c:pt>
                <c:pt idx="50">
                  <c:v>132.015291546866</c:v>
                </c:pt>
                <c:pt idx="51">
                  <c:v>129.42675641849607</c:v>
                </c:pt>
                <c:pt idx="52">
                  <c:v>126.937780333525</c:v>
                </c:pt>
                <c:pt idx="53">
                  <c:v>124.54272787440188</c:v>
                </c:pt>
                <c:pt idx="54">
                  <c:v>122.23638106191295</c:v>
                </c:pt>
                <c:pt idx="55">
                  <c:v>120.01390140624181</c:v>
                </c:pt>
                <c:pt idx="56">
                  <c:v>117.8707960239875</c:v>
                </c:pt>
                <c:pt idx="57">
                  <c:v>115.80288732181228</c:v>
                </c:pt>
                <c:pt idx="58">
                  <c:v>113.80628581626378</c:v>
                </c:pt>
                <c:pt idx="59">
                  <c:v>111.87736571768305</c:v>
                </c:pt>
                <c:pt idx="60">
                  <c:v>110.01274295572166</c:v>
                </c:pt>
                <c:pt idx="61">
                  <c:v>108.2092553662836</c:v>
                </c:pt>
                <c:pt idx="62">
                  <c:v>106.46394479585967</c:v>
                </c:pt>
                <c:pt idx="63">
                  <c:v>104.7740409102111</c:v>
                </c:pt>
                <c:pt idx="64">
                  <c:v>103.13694652098906</c:v>
                </c:pt>
                <c:pt idx="65">
                  <c:v>101.55022426682</c:v>
                </c:pt>
                <c:pt idx="66">
                  <c:v>100.01158450520151</c:v>
                </c:pt>
                <c:pt idx="67">
                  <c:v>98.518874288705959</c:v>
                </c:pt>
                <c:pt idx="68">
                  <c:v>97.070067313872059</c:v>
                </c:pt>
                <c:pt idx="69">
                  <c:v>95.663254744105785</c:v>
                </c:pt>
                <c:pt idx="70">
                  <c:v>94.296636819189999</c:v>
                </c:pt>
                <c:pt idx="71">
                  <c:v>92.968515173849283</c:v>
                </c:pt>
                <c:pt idx="72">
                  <c:v>91.677285796434717</c:v>
                </c:pt>
                <c:pt idx="73">
                  <c:v>90.421432566346567</c:v>
                </c:pt>
                <c:pt idx="74">
                  <c:v>89.199521315449999</c:v>
                </c:pt>
                <c:pt idx="75">
                  <c:v>88.01019436457733</c:v>
                </c:pt>
                <c:pt idx="76">
                  <c:v>86.852165491359202</c:v>
                </c:pt>
                <c:pt idx="77">
                  <c:v>85.724215290172722</c:v>
                </c:pt>
                <c:pt idx="78">
                  <c:v>84.625186889016661</c:v>
                </c:pt>
                <c:pt idx="79">
                  <c:v>83.553981991687337</c:v>
                </c:pt>
                <c:pt idx="80">
                  <c:v>82.509557216791251</c:v>
                </c:pt>
                <c:pt idx="81">
                  <c:v>81.490920707941967</c:v>
                </c:pt>
                <c:pt idx="82">
                  <c:v>80.49712899199146</c:v>
                </c:pt>
                <c:pt idx="83">
                  <c:v>79.527284064377099</c:v>
                </c:pt>
                <c:pt idx="84">
                  <c:v>78.580530682658335</c:v>
                </c:pt>
                <c:pt idx="85">
                  <c:v>77.656053851097639</c:v>
                </c:pt>
                <c:pt idx="86">
                  <c:v>76.753076480736041</c:v>
                </c:pt>
                <c:pt idx="87">
                  <c:v>75.87085721084253</c:v>
                </c:pt>
                <c:pt idx="88">
                  <c:v>75.008688378901127</c:v>
                </c:pt>
                <c:pt idx="89">
                  <c:v>74.165894127452802</c:v>
                </c:pt>
                <c:pt idx="90">
                  <c:v>73.341828637147771</c:v>
                </c:pt>
                <c:pt idx="91">
                  <c:v>72.535874476299995</c:v>
                </c:pt>
                <c:pt idx="92">
                  <c:v>71.747441058079346</c:v>
                </c:pt>
                <c:pt idx="93">
                  <c:v>70.975963197239778</c:v>
                </c:pt>
                <c:pt idx="94">
                  <c:v>70.220899758971271</c:v>
                </c:pt>
                <c:pt idx="95">
                  <c:v>69.48173239308737</c:v>
                </c:pt>
                <c:pt idx="96">
                  <c:v>68.757964347326038</c:v>
                </c:pt>
                <c:pt idx="97">
                  <c:v>68.049119354054639</c:v>
                </c:pt>
                <c:pt idx="98">
                  <c:v>67.354740585135715</c:v>
                </c:pt>
                <c:pt idx="99">
                  <c:v>66.674389670134346</c:v>
                </c:pt>
                <c:pt idx="100">
                  <c:v>66.007645773432998</c:v>
                </c:pt>
                <c:pt idx="101">
                  <c:v>65.354104726171286</c:v>
                </c:pt>
                <c:pt idx="102">
                  <c:v>64.713378209248035</c:v>
                </c:pt>
                <c:pt idx="103">
                  <c:v>64.08509298391553</c:v>
                </c:pt>
                <c:pt idx="104">
                  <c:v>63.468890166762499</c:v>
                </c:pt>
                <c:pt idx="105">
                  <c:v>62.864424546126664</c:v>
                </c:pt>
                <c:pt idx="106">
                  <c:v>62.271363937200938</c:v>
                </c:pt>
                <c:pt idx="107">
                  <c:v>61.689388573301862</c:v>
                </c:pt>
                <c:pt idx="108">
                  <c:v>61.118190530956475</c:v>
                </c:pt>
                <c:pt idx="109">
                  <c:v>60.557473186635775</c:v>
                </c:pt>
                <c:pt idx="110">
                  <c:v>60.006950703120907</c:v>
                </c:pt>
                <c:pt idx="111">
                  <c:v>59.466347543633333</c:v>
                </c:pt>
                <c:pt idx="112">
                  <c:v>58.935398011993748</c:v>
                </c:pt>
                <c:pt idx="113">
                  <c:v>58.413845817197341</c:v>
                </c:pt>
                <c:pt idx="114">
                  <c:v>57.901443660906139</c:v>
                </c:pt>
                <c:pt idx="115">
                  <c:v>57.397952846463475</c:v>
                </c:pt>
                <c:pt idx="116">
                  <c:v>56.90314290813189</c:v>
                </c:pt>
                <c:pt idx="117">
                  <c:v>56.416791259344443</c:v>
                </c:pt>
                <c:pt idx="118">
                  <c:v>55.938682858841524</c:v>
                </c:pt>
                <c:pt idx="119">
                  <c:v>55.468609893641172</c:v>
                </c:pt>
                <c:pt idx="120">
                  <c:v>55.006371477860831</c:v>
                </c:pt>
                <c:pt idx="121">
                  <c:v>54.551773366473547</c:v>
                </c:pt>
                <c:pt idx="122">
                  <c:v>54.1046276831418</c:v>
                </c:pt>
                <c:pt idx="123">
                  <c:v>53.66475266132764</c:v>
                </c:pt>
                <c:pt idx="124">
                  <c:v>53.231972397929837</c:v>
                </c:pt>
                <c:pt idx="125">
                  <c:v>52.806116618746394</c:v>
                </c:pt>
                <c:pt idx="126">
                  <c:v>52.387020455105549</c:v>
                </c:pt>
                <c:pt idx="127">
                  <c:v>51.974524231049607</c:v>
                </c:pt>
                <c:pt idx="128">
                  <c:v>51.568473260494528</c:v>
                </c:pt>
                <c:pt idx="129">
                  <c:v>51.168717653824025</c:v>
                </c:pt>
                <c:pt idx="130">
                  <c:v>50.775112133409998</c:v>
                </c:pt>
                <c:pt idx="131">
                  <c:v>50.387515857582443</c:v>
                </c:pt>
                <c:pt idx="132">
                  <c:v>50.005792252600756</c:v>
                </c:pt>
                <c:pt idx="133">
                  <c:v>49.629808852205258</c:v>
                </c:pt>
                <c:pt idx="134">
                  <c:v>49.259437144352979</c:v>
                </c:pt>
                <c:pt idx="135">
                  <c:v>48.89455242476518</c:v>
                </c:pt>
                <c:pt idx="136">
                  <c:v>48.535033656936029</c:v>
                </c:pt>
                <c:pt idx="137">
                  <c:v>48.180763338272257</c:v>
                </c:pt>
                <c:pt idx="138">
                  <c:v>47.831627372052893</c:v>
                </c:pt>
                <c:pt idx="139">
                  <c:v>47.487514944915823</c:v>
                </c:pt>
                <c:pt idx="140">
                  <c:v>47.148318409594999</c:v>
                </c:pt>
                <c:pt idx="141">
                  <c:v>46.813933172647516</c:v>
                </c:pt>
                <c:pt idx="142">
                  <c:v>46.484257586924642</c:v>
                </c:pt>
                <c:pt idx="143">
                  <c:v>46.15919284855454</c:v>
                </c:pt>
                <c:pt idx="144">
                  <c:v>45.838642898217358</c:v>
                </c:pt>
                <c:pt idx="145">
                  <c:v>45.522514326505515</c:v>
                </c:pt>
                <c:pt idx="146">
                  <c:v>45.210716283173284</c:v>
                </c:pt>
                <c:pt idx="147">
                  <c:v>44.903160390090477</c:v>
                </c:pt>
                <c:pt idx="148">
                  <c:v>44.599760657725</c:v>
                </c:pt>
                <c:pt idx="149">
                  <c:v>44.300433404988588</c:v>
                </c:pt>
                <c:pt idx="150">
                  <c:v>44.005097182288665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6B80-42E4-BA20-A9E08837D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0113024"/>
        <c:axId val="310082560"/>
      </c:lineChart>
      <c:catAx>
        <c:axId val="310079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0081024"/>
        <c:crossesAt val="0"/>
        <c:auto val="1"/>
        <c:lblAlgn val="ctr"/>
        <c:lblOffset val="125"/>
        <c:tickLblSkip val="50"/>
        <c:tickMarkSkip val="10"/>
        <c:noMultiLvlLbl val="0"/>
      </c:catAx>
      <c:valAx>
        <c:axId val="310081024"/>
        <c:scaling>
          <c:orientation val="minMax"/>
          <c:max val="3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);[Red]\(#,##0.0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0079488"/>
        <c:crosses val="autoZero"/>
        <c:crossBetween val="between"/>
      </c:valAx>
      <c:valAx>
        <c:axId val="310082560"/>
        <c:scaling>
          <c:orientation val="minMax"/>
          <c:min val="0"/>
        </c:scaling>
        <c:delete val="0"/>
        <c:axPos val="r"/>
        <c:majorGridlines>
          <c:spPr>
            <a:ln w="19050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10113024"/>
        <c:crosses val="max"/>
        <c:crossBetween val="between"/>
        <c:majorUnit val="100"/>
        <c:minorUnit val="50"/>
      </c:valAx>
      <c:catAx>
        <c:axId val="31011302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1008256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056964360437949"/>
          <c:y val="6.3535575494923599E-2"/>
          <c:w val="0.7798851755681544"/>
          <c:h val="0.79122566074589518"/>
        </c:manualLayout>
      </c:layout>
      <c:lineChart>
        <c:grouping val="standard"/>
        <c:varyColors val="0"/>
        <c:ser>
          <c:idx val="0"/>
          <c:order val="0"/>
          <c:tx>
            <c:strRef>
              <c:f>加速度入力!$BB$54</c:f>
              <c:strCache>
                <c:ptCount val="1"/>
                <c:pt idx="0">
                  <c:v>空車トルク4ノッチ</c:v>
                </c:pt>
              </c:strCache>
            </c:strRef>
          </c:tx>
          <c:spPr>
            <a:ln w="19050">
              <a:solidFill>
                <a:srgbClr val="0070C0"/>
              </a:solidFill>
            </a:ln>
          </c:spPr>
          <c:marker>
            <c:symbol val="none"/>
          </c:marker>
          <c:val>
            <c:numRef>
              <c:f>加速度入力!$BB$56:$BB$206</c:f>
              <c:numCache>
                <c:formatCode>#,##0_);[Red]\(#,##0\)</c:formatCode>
                <c:ptCount val="151"/>
                <c:pt idx="0">
                  <c:v>57378</c:v>
                </c:pt>
                <c:pt idx="1">
                  <c:v>57378</c:v>
                </c:pt>
                <c:pt idx="2">
                  <c:v>57378</c:v>
                </c:pt>
                <c:pt idx="3">
                  <c:v>57378</c:v>
                </c:pt>
                <c:pt idx="4">
                  <c:v>57378</c:v>
                </c:pt>
                <c:pt idx="5">
                  <c:v>57378</c:v>
                </c:pt>
                <c:pt idx="6">
                  <c:v>57378</c:v>
                </c:pt>
                <c:pt idx="7">
                  <c:v>57378</c:v>
                </c:pt>
                <c:pt idx="8">
                  <c:v>57378</c:v>
                </c:pt>
                <c:pt idx="9">
                  <c:v>57378</c:v>
                </c:pt>
                <c:pt idx="10">
                  <c:v>57378</c:v>
                </c:pt>
                <c:pt idx="11">
                  <c:v>57378</c:v>
                </c:pt>
                <c:pt idx="12">
                  <c:v>57378</c:v>
                </c:pt>
                <c:pt idx="13">
                  <c:v>57378</c:v>
                </c:pt>
                <c:pt idx="14">
                  <c:v>57378</c:v>
                </c:pt>
                <c:pt idx="15">
                  <c:v>57378</c:v>
                </c:pt>
                <c:pt idx="16">
                  <c:v>57378</c:v>
                </c:pt>
                <c:pt idx="17">
                  <c:v>57378</c:v>
                </c:pt>
                <c:pt idx="18">
                  <c:v>57378</c:v>
                </c:pt>
                <c:pt idx="19">
                  <c:v>57378</c:v>
                </c:pt>
                <c:pt idx="20">
                  <c:v>57378</c:v>
                </c:pt>
                <c:pt idx="21">
                  <c:v>57378</c:v>
                </c:pt>
                <c:pt idx="22">
                  <c:v>57378</c:v>
                </c:pt>
                <c:pt idx="23">
                  <c:v>57378</c:v>
                </c:pt>
                <c:pt idx="24">
                  <c:v>57378</c:v>
                </c:pt>
                <c:pt idx="25">
                  <c:v>57378</c:v>
                </c:pt>
                <c:pt idx="26">
                  <c:v>57378</c:v>
                </c:pt>
                <c:pt idx="27">
                  <c:v>57378</c:v>
                </c:pt>
                <c:pt idx="28">
                  <c:v>57378</c:v>
                </c:pt>
                <c:pt idx="29">
                  <c:v>57378</c:v>
                </c:pt>
                <c:pt idx="30">
                  <c:v>57378</c:v>
                </c:pt>
                <c:pt idx="31">
                  <c:v>57378</c:v>
                </c:pt>
                <c:pt idx="32">
                  <c:v>57378</c:v>
                </c:pt>
                <c:pt idx="33">
                  <c:v>57378</c:v>
                </c:pt>
                <c:pt idx="34">
                  <c:v>57378</c:v>
                </c:pt>
                <c:pt idx="35">
                  <c:v>57378</c:v>
                </c:pt>
                <c:pt idx="36">
                  <c:v>57378</c:v>
                </c:pt>
                <c:pt idx="37">
                  <c:v>57378</c:v>
                </c:pt>
                <c:pt idx="38">
                  <c:v>57378</c:v>
                </c:pt>
                <c:pt idx="39">
                  <c:v>57378</c:v>
                </c:pt>
                <c:pt idx="40">
                  <c:v>57378</c:v>
                </c:pt>
                <c:pt idx="41">
                  <c:v>57378</c:v>
                </c:pt>
                <c:pt idx="42">
                  <c:v>57378</c:v>
                </c:pt>
                <c:pt idx="43">
                  <c:v>57378</c:v>
                </c:pt>
                <c:pt idx="44">
                  <c:v>57378</c:v>
                </c:pt>
                <c:pt idx="45">
                  <c:v>57378</c:v>
                </c:pt>
                <c:pt idx="46">
                  <c:v>57378</c:v>
                </c:pt>
                <c:pt idx="47">
                  <c:v>57378</c:v>
                </c:pt>
                <c:pt idx="48">
                  <c:v>57378</c:v>
                </c:pt>
                <c:pt idx="49">
                  <c:v>57378</c:v>
                </c:pt>
                <c:pt idx="50">
                  <c:v>57378</c:v>
                </c:pt>
                <c:pt idx="51">
                  <c:v>56898.937792678284</c:v>
                </c:pt>
                <c:pt idx="52">
                  <c:v>56009.195741828778</c:v>
                </c:pt>
                <c:pt idx="53">
                  <c:v>55149.921629060118</c:v>
                </c:pt>
                <c:pt idx="54">
                  <c:v>54319.526254368939</c:v>
                </c:pt>
                <c:pt idx="55">
                  <c:v>53516.530745556171</c:v>
                </c:pt>
                <c:pt idx="56">
                  <c:v>52739.557062337968</c:v>
                </c:pt>
                <c:pt idx="57">
                  <c:v>51987.31947028276</c:v>
                </c:pt>
                <c:pt idx="58">
                  <c:v>51258.61687048609</c:v>
                </c:pt>
                <c:pt idx="59">
                  <c:v>50552.325886025079</c:v>
                </c:pt>
                <c:pt idx="60">
                  <c:v>49867.394619138802</c:v>
                </c:pt>
                <c:pt idx="61">
                  <c:v>49202.837004118846</c:v>
                </c:pt>
                <c:pt idx="62">
                  <c:v>48557.727690360225</c:v>
                </c:pt>
                <c:pt idx="63">
                  <c:v>47931.197398163036</c:v>
                </c:pt>
                <c:pt idx="64">
                  <c:v>47322.428696893403</c:v>
                </c:pt>
                <c:pt idx="65">
                  <c:v>46730.652161177284</c:v>
                </c:pt>
                <c:pt idx="66">
                  <c:v>46155.142866054273</c:v>
                </c:pt>
                <c:pt idx="67">
                  <c:v>45595.217186581263</c:v>
                </c:pt>
                <c:pt idx="68">
                  <c:v>45050.229871345669</c:v>
                </c:pt>
                <c:pt idx="69">
                  <c:v>44519.571362809984</c:v>
                </c:pt>
                <c:pt idx="70">
                  <c:v>44002.6653404362</c:v>
                </c:pt>
                <c:pt idx="71">
                  <c:v>43498.966465187215</c:v>
                </c:pt>
                <c:pt idx="72">
                  <c:v>43007.958306329041</c:v>
                </c:pt>
                <c:pt idx="73">
                  <c:v>42529.151433500243</c:v>
                </c:pt>
                <c:pt idx="74">
                  <c:v>42062.08165881646</c:v>
                </c:pt>
                <c:pt idx="75">
                  <c:v>41606.308415366111</c:v>
                </c:pt>
                <c:pt idx="76">
                  <c:v>41001.658125590249</c:v>
                </c:pt>
                <c:pt idx="77">
                  <c:v>40042.060186058232</c:v>
                </c:pt>
                <c:pt idx="78">
                  <c:v>39116.872228438078</c:v>
                </c:pt>
                <c:pt idx="79">
                  <c:v>38224.442585010263</c:v>
                </c:pt>
                <c:pt idx="80">
                  <c:v>37363.218421153033</c:v>
                </c:pt>
                <c:pt idx="81">
                  <c:v>36531.738680043651</c:v>
                </c:pt>
                <c:pt idx="82">
                  <c:v>35728.627610502204</c:v>
                </c:pt>
                <c:pt idx="83">
                  <c:v>34952.588823366896</c:v>
                </c:pt>
                <c:pt idx="84">
                  <c:v>34202.399827490161</c:v>
                </c:pt>
                <c:pt idx="85">
                  <c:v>33476.907001490792</c:v>
                </c:pt>
                <c:pt idx="86">
                  <c:v>32775.020961870134</c:v>
                </c:pt>
                <c:pt idx="87">
                  <c:v>32095.712292071112</c:v>
                </c:pt>
                <c:pt idx="88">
                  <c:v>31438.007600589837</c:v>
                </c:pt>
                <c:pt idx="89">
                  <c:v>30800.985879390875</c:v>
                </c:pt>
                <c:pt idx="90">
                  <c:v>30183.775136680684</c:v>
                </c:pt>
                <c:pt idx="91">
                  <c:v>29585.549280593634</c:v>
                </c:pt>
                <c:pt idx="92">
                  <c:v>29005.525232580992</c:v>
                </c:pt>
                <c:pt idx="93">
                  <c:v>28442.960251293807</c:v>
                </c:pt>
                <c:pt idx="94">
                  <c:v>27897.149449543631</c:v>
                </c:pt>
                <c:pt idx="95">
                  <c:v>27367.423488533099</c:v>
                </c:pt>
                <c:pt idx="96">
                  <c:v>26853.146434993589</c:v>
                </c:pt>
                <c:pt idx="97">
                  <c:v>26353.713768165991</c:v>
                </c:pt>
                <c:pt idx="98">
                  <c:v>25868.550524730475</c:v>
                </c:pt>
                <c:pt idx="99">
                  <c:v>25397.109570845645</c:v>
                </c:pt>
                <c:pt idx="100">
                  <c:v>24938.869991408064</c:v>
                </c:pt>
                <c:pt idx="101">
                  <c:v>24493.33558750341</c:v>
                </c:pt>
                <c:pt idx="102">
                  <c:v>24060.033473796033</c:v>
                </c:pt>
                <c:pt idx="103">
                  <c:v>23638.512768308181</c:v>
                </c:pt>
                <c:pt idx="104">
                  <c:v>23228.343367676473</c:v>
                </c:pt>
                <c:pt idx="105">
                  <c:v>22829.114801551208</c:v>
                </c:pt>
                <c:pt idx="106">
                  <c:v>22440.435160328681</c:v>
                </c:pt>
                <c:pt idx="107">
                  <c:v>22061.930090883339</c:v>
                </c:pt>
                <c:pt idx="108">
                  <c:v>21693.241855399872</c:v>
                </c:pt>
                <c:pt idx="109">
                  <c:v>21334.028448800225</c:v>
                </c:pt>
                <c:pt idx="110">
                  <c:v>20983.962770619739</c:v>
                </c:pt>
                <c:pt idx="111">
                  <c:v>20642.73184751501</c:v>
                </c:pt>
                <c:pt idx="112">
                  <c:v>20310.036102884569</c:v>
                </c:pt>
                <c:pt idx="113">
                  <c:v>19985.588670357625</c:v>
                </c:pt>
                <c:pt idx="114">
                  <c:v>19669.114748155651</c:v>
                </c:pt>
                <c:pt idx="115">
                  <c:v>19360.350991560023</c:v>
                </c:pt>
                <c:pt idx="116">
                  <c:v>19059.044940929089</c:v>
                </c:pt>
                <c:pt idx="117">
                  <c:v>18764.954482899113</c:v>
                </c:pt>
                <c:pt idx="118">
                  <c:v>18477.847342580179</c:v>
                </c:pt>
                <c:pt idx="119">
                  <c:v>18197.500604719175</c:v>
                </c:pt>
                <c:pt idx="120">
                  <c:v>17923.700261950871</c:v>
                </c:pt>
                <c:pt idx="121">
                  <c:v>17656.240788394036</c:v>
                </c:pt>
                <c:pt idx="122">
                  <c:v>17394.924736975336</c:v>
                </c:pt>
                <c:pt idx="123">
                  <c:v>17139.562358978965</c:v>
                </c:pt>
                <c:pt idx="124">
                  <c:v>16889.971244426535</c:v>
                </c:pt>
                <c:pt idx="125">
                  <c:v>16645.975981989846</c:v>
                </c:pt>
                <c:pt idx="126">
                  <c:v>16407.407837229232</c:v>
                </c:pt>
                <c:pt idx="127">
                  <c:v>16174.104448034141</c:v>
                </c:pt>
                <c:pt idx="128">
                  <c:v>15945.909536219446</c:v>
                </c:pt>
                <c:pt idx="129">
                  <c:v>15722.672634302155</c:v>
                </c:pt>
                <c:pt idx="130">
                  <c:v>15504.248826549367</c:v>
                </c:pt>
                <c:pt idx="131">
                  <c:v>15290.498503448996</c:v>
                </c:pt>
                <c:pt idx="132">
                  <c:v>15081.28712881144</c:v>
                </c:pt>
                <c:pt idx="133">
                  <c:v>14876.485018762603</c:v>
                </c:pt>
                <c:pt idx="134">
                  <c:v>14675.967131937166</c:v>
                </c:pt>
                <c:pt idx="135">
                  <c:v>14479.612870225919</c:v>
                </c:pt>
                <c:pt idx="136">
                  <c:v>14287.305889472933</c:v>
                </c:pt>
                <c:pt idx="137">
                  <c:v>14098.933919556715</c:v>
                </c:pt>
                <c:pt idx="138">
                  <c:v>13914.388593325864</c:v>
                </c:pt>
                <c:pt idx="139">
                  <c:v>13733.565283893078</c:v>
                </c:pt>
                <c:pt idx="140">
                  <c:v>13556.362949822445</c:v>
                </c:pt>
                <c:pt idx="141">
                  <c:v>13382.683987774011</c:v>
                </c:pt>
                <c:pt idx="142">
                  <c:v>13212.434092196609</c:v>
                </c:pt>
                <c:pt idx="143">
                  <c:v>13045.522121684855</c:v>
                </c:pt>
                <c:pt idx="144">
                  <c:v>12881.859971640164</c:v>
                </c:pt>
                <c:pt idx="145">
                  <c:v>12721.362452896694</c:v>
                </c:pt>
                <c:pt idx="146">
                  <c:v>12563.947175994321</c:v>
                </c:pt>
                <c:pt idx="147">
                  <c:v>12409.534440799187</c:v>
                </c:pt>
                <c:pt idx="148">
                  <c:v>12258.047131190458</c:v>
                </c:pt>
                <c:pt idx="149">
                  <c:v>12109.410614548306</c:v>
                </c:pt>
                <c:pt idx="150">
                  <c:v>11963.55264579387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E6-4762-B195-8898C556B645}"/>
            </c:ext>
          </c:extLst>
        </c:ser>
        <c:ser>
          <c:idx val="20"/>
          <c:order val="1"/>
          <c:tx>
            <c:strRef>
              <c:f>加速度入力!$BC$54</c:f>
              <c:strCache>
                <c:ptCount val="1"/>
                <c:pt idx="0">
                  <c:v>積車トルク4ノッチ</c:v>
                </c:pt>
              </c:strCache>
            </c:strRef>
          </c:tx>
          <c:spPr>
            <a:ln w="28575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加速度入力!$B$56:$B$206</c:f>
              <c:numCache>
                <c:formatCode>General</c:formatCode>
                <c:ptCount val="15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</c:numCache>
            </c:numRef>
          </c:cat>
          <c:val>
            <c:numRef>
              <c:f>加速度入力!$BC$56:$BC$206</c:f>
              <c:numCache>
                <c:formatCode>#,##0_);[Red]\(#,##0\)</c:formatCode>
                <c:ptCount val="151"/>
                <c:pt idx="0">
                  <c:v>91410</c:v>
                </c:pt>
                <c:pt idx="1">
                  <c:v>91410</c:v>
                </c:pt>
                <c:pt idx="2">
                  <c:v>91410</c:v>
                </c:pt>
                <c:pt idx="3">
                  <c:v>91410</c:v>
                </c:pt>
                <c:pt idx="4">
                  <c:v>91410</c:v>
                </c:pt>
                <c:pt idx="5">
                  <c:v>91410</c:v>
                </c:pt>
                <c:pt idx="6">
                  <c:v>91410</c:v>
                </c:pt>
                <c:pt idx="7">
                  <c:v>91410</c:v>
                </c:pt>
                <c:pt idx="8">
                  <c:v>91410</c:v>
                </c:pt>
                <c:pt idx="9">
                  <c:v>91410</c:v>
                </c:pt>
                <c:pt idx="10">
                  <c:v>91410</c:v>
                </c:pt>
                <c:pt idx="11">
                  <c:v>91410</c:v>
                </c:pt>
                <c:pt idx="12">
                  <c:v>91410</c:v>
                </c:pt>
                <c:pt idx="13">
                  <c:v>91410</c:v>
                </c:pt>
                <c:pt idx="14">
                  <c:v>91410</c:v>
                </c:pt>
                <c:pt idx="15">
                  <c:v>91410</c:v>
                </c:pt>
                <c:pt idx="16">
                  <c:v>91410</c:v>
                </c:pt>
                <c:pt idx="17">
                  <c:v>91410</c:v>
                </c:pt>
                <c:pt idx="18">
                  <c:v>91410</c:v>
                </c:pt>
                <c:pt idx="19">
                  <c:v>91410</c:v>
                </c:pt>
                <c:pt idx="20">
                  <c:v>91410</c:v>
                </c:pt>
                <c:pt idx="21">
                  <c:v>91410</c:v>
                </c:pt>
                <c:pt idx="22">
                  <c:v>91410</c:v>
                </c:pt>
                <c:pt idx="23">
                  <c:v>91410</c:v>
                </c:pt>
                <c:pt idx="24">
                  <c:v>91410</c:v>
                </c:pt>
                <c:pt idx="25">
                  <c:v>91410</c:v>
                </c:pt>
                <c:pt idx="26">
                  <c:v>91410</c:v>
                </c:pt>
                <c:pt idx="27">
                  <c:v>91410</c:v>
                </c:pt>
                <c:pt idx="28">
                  <c:v>91410</c:v>
                </c:pt>
                <c:pt idx="29">
                  <c:v>91410</c:v>
                </c:pt>
                <c:pt idx="30">
                  <c:v>91410</c:v>
                </c:pt>
                <c:pt idx="31">
                  <c:v>91410</c:v>
                </c:pt>
                <c:pt idx="32">
                  <c:v>91410</c:v>
                </c:pt>
                <c:pt idx="33">
                  <c:v>91410</c:v>
                </c:pt>
                <c:pt idx="34">
                  <c:v>91410</c:v>
                </c:pt>
                <c:pt idx="35">
                  <c:v>91410</c:v>
                </c:pt>
                <c:pt idx="36">
                  <c:v>91410</c:v>
                </c:pt>
                <c:pt idx="37">
                  <c:v>91410</c:v>
                </c:pt>
                <c:pt idx="38">
                  <c:v>91410</c:v>
                </c:pt>
                <c:pt idx="39">
                  <c:v>91410</c:v>
                </c:pt>
                <c:pt idx="40">
                  <c:v>91410</c:v>
                </c:pt>
                <c:pt idx="41">
                  <c:v>91410</c:v>
                </c:pt>
                <c:pt idx="42">
                  <c:v>91410</c:v>
                </c:pt>
                <c:pt idx="43">
                  <c:v>91410</c:v>
                </c:pt>
                <c:pt idx="44">
                  <c:v>91410</c:v>
                </c:pt>
                <c:pt idx="45">
                  <c:v>91410</c:v>
                </c:pt>
                <c:pt idx="46">
                  <c:v>91410</c:v>
                </c:pt>
                <c:pt idx="47">
                  <c:v>91410</c:v>
                </c:pt>
                <c:pt idx="48">
                  <c:v>91410</c:v>
                </c:pt>
                <c:pt idx="49">
                  <c:v>91410</c:v>
                </c:pt>
                <c:pt idx="50">
                  <c:v>88430.904465626169</c:v>
                </c:pt>
                <c:pt idx="51">
                  <c:v>85314.632230491654</c:v>
                </c:pt>
                <c:pt idx="52">
                  <c:v>82365.536768483798</c:v>
                </c:pt>
                <c:pt idx="53">
                  <c:v>79571.687831637028</c:v>
                </c:pt>
                <c:pt idx="54">
                  <c:v>76922.210137247574</c:v>
                </c:pt>
                <c:pt idx="55">
                  <c:v>74407.172727482466</c:v>
                </c:pt>
                <c:pt idx="56">
                  <c:v>72017.491687729693</c:v>
                </c:pt>
                <c:pt idx="57">
                  <c:v>69744.84440621543</c:v>
                </c:pt>
                <c:pt idx="58">
                  <c:v>67581.593831558188</c:v>
                </c:pt>
                <c:pt idx="59">
                  <c:v>65520.721413804298</c:v>
                </c:pt>
                <c:pt idx="60">
                  <c:v>63555.767606197194</c:v>
                </c:pt>
                <c:pt idx="61">
                  <c:v>61680.778966014906</c:v>
                </c:pt>
                <c:pt idx="62">
                  <c:v>59890.261028572197</c:v>
                </c:pt>
                <c:pt idx="63">
                  <c:v>58179.13624324018</c:v>
                </c:pt>
                <c:pt idx="64">
                  <c:v>56542.706357615629</c:v>
                </c:pt>
                <c:pt idx="65">
                  <c:v>54976.618718660422</c:v>
                </c:pt>
                <c:pt idx="66">
                  <c:v>53476.836030103666</c:v>
                </c:pt>
                <c:pt idx="67">
                  <c:v>52039.609165616777</c:v>
                </c:pt>
                <c:pt idx="68">
                  <c:v>50661.45268885234</c:v>
                </c:pt>
                <c:pt idx="69">
                  <c:v>49339.122775727839</c:v>
                </c:pt>
                <c:pt idx="70">
                  <c:v>48069.597272455117</c:v>
                </c:pt>
                <c:pt idx="71">
                  <c:v>46850.057655697805</c:v>
                </c:pt>
                <c:pt idx="72">
                  <c:v>45677.872689666627</c:v>
                </c:pt>
                <c:pt idx="73">
                  <c:v>44550.583599589823</c:v>
                </c:pt>
                <c:pt idx="74">
                  <c:v>43465.890602376989</c:v>
                </c:pt>
                <c:pt idx="75">
                  <c:v>42421.64065389373</c:v>
                </c:pt>
                <c:pt idx="76">
                  <c:v>41415.816288474998</c:v>
                </c:pt>
                <c:pt idx="77">
                  <c:v>40446.525440462858</c:v>
                </c:pt>
                <c:pt idx="78">
                  <c:v>39511.992149937454</c:v>
                </c:pt>
                <c:pt idx="79">
                  <c:v>38610.548065666932</c:v>
                </c:pt>
                <c:pt idx="80">
                  <c:v>37740.624667831347</c:v>
                </c:pt>
                <c:pt idx="81">
                  <c:v>36900.746141458236</c:v>
                </c:pt>
                <c:pt idx="82">
                  <c:v>36089.522838891113</c:v>
                </c:pt>
                <c:pt idx="83">
                  <c:v>35305.645276128176</c:v>
                </c:pt>
                <c:pt idx="84">
                  <c:v>34547.878613626424</c:v>
                </c:pt>
                <c:pt idx="85">
                  <c:v>33815.057577263426</c:v>
                </c:pt>
                <c:pt idx="86">
                  <c:v>33106.081779666805</c:v>
                </c:pt>
                <c:pt idx="87">
                  <c:v>32419.911406132436</c:v>
                </c:pt>
                <c:pt idx="88">
                  <c:v>31755.563232919027</c:v>
                </c:pt>
                <c:pt idx="89">
                  <c:v>31112.106948879671</c:v>
                </c:pt>
                <c:pt idx="90">
                  <c:v>30488.661754222914</c:v>
                </c:pt>
                <c:pt idx="91">
                  <c:v>29884.393212720843</c:v>
                </c:pt>
                <c:pt idx="92">
                  <c:v>29298.510335940398</c:v>
                </c:pt>
                <c:pt idx="93">
                  <c:v>28730.262880094757</c:v>
                </c:pt>
                <c:pt idx="94">
                  <c:v>28178.938837922859</c:v>
                </c:pt>
                <c:pt idx="95">
                  <c:v>27643.862109629394</c:v>
                </c:pt>
                <c:pt idx="96">
                  <c:v>27124.390338377361</c:v>
                </c:pt>
                <c:pt idx="97">
                  <c:v>26619.912897137365</c:v>
                </c:pt>
                <c:pt idx="98">
                  <c:v>26129.84901487927</c:v>
                </c:pt>
                <c:pt idx="99">
                  <c:v>25653.646031157219</c:v>
                </c:pt>
                <c:pt idx="100">
                  <c:v>25190.777769099055</c:v>
                </c:pt>
                <c:pt idx="101">
                  <c:v>24740.743017680212</c:v>
                </c:pt>
                <c:pt idx="102">
                  <c:v>24303.06411494549</c:v>
                </c:pt>
                <c:pt idx="103">
                  <c:v>23877.285624553719</c:v>
                </c:pt>
                <c:pt idx="104">
                  <c:v>23462.973098663104</c:v>
                </c:pt>
                <c:pt idx="105">
                  <c:v>23059.711920758797</c:v>
                </c:pt>
                <c:pt idx="106">
                  <c:v>22667.106222554223</c:v>
                </c:pt>
                <c:pt idx="107">
                  <c:v>22284.777869579131</c:v>
                </c:pt>
                <c:pt idx="108">
                  <c:v>21912.365510504922</c:v>
                </c:pt>
                <c:pt idx="109">
                  <c:v>21549.523685656794</c:v>
                </c:pt>
                <c:pt idx="110">
                  <c:v>21195.921990524988</c:v>
                </c:pt>
                <c:pt idx="111">
                  <c:v>20851.244290419203</c:v>
                </c:pt>
                <c:pt idx="112">
                  <c:v>20515.187982711686</c:v>
                </c:pt>
                <c:pt idx="113">
                  <c:v>20187.463303391542</c:v>
                </c:pt>
                <c:pt idx="114">
                  <c:v>19867.792674904696</c:v>
                </c:pt>
                <c:pt idx="115">
                  <c:v>19555.910092484872</c:v>
                </c:pt>
                <c:pt idx="116">
                  <c:v>19251.560546393019</c:v>
                </c:pt>
                <c:pt idx="117">
                  <c:v>18954.499477675872</c:v>
                </c:pt>
                <c:pt idx="118">
                  <c:v>18664.492265232504</c:v>
                </c:pt>
                <c:pt idx="119">
                  <c:v>18381.313742140581</c:v>
                </c:pt>
                <c:pt idx="120">
                  <c:v>18104.747739344315</c:v>
                </c:pt>
                <c:pt idx="121">
                  <c:v>17834.586654943472</c:v>
                </c:pt>
                <c:pt idx="122">
                  <c:v>17570.631047449835</c:v>
                </c:pt>
                <c:pt idx="123">
                  <c:v>17312.689251493903</c:v>
                </c:pt>
                <c:pt idx="124">
                  <c:v>17060.577014572256</c:v>
                </c:pt>
                <c:pt idx="125">
                  <c:v>16814.117153525098</c:v>
                </c:pt>
                <c:pt idx="126">
                  <c:v>16573.139229524477</c:v>
                </c:pt>
                <c:pt idx="127">
                  <c:v>16337.479240438526</c:v>
                </c:pt>
                <c:pt idx="128">
                  <c:v>16106.979329514592</c:v>
                </c:pt>
                <c:pt idx="129">
                  <c:v>15881.487509396116</c:v>
                </c:pt>
                <c:pt idx="130">
                  <c:v>15660.857400554916</c:v>
                </c:pt>
                <c:pt idx="131">
                  <c:v>15444.947983281814</c:v>
                </c:pt>
                <c:pt idx="132">
                  <c:v>15233.623362435799</c:v>
                </c:pt>
                <c:pt idx="133">
                  <c:v>15026.75254420465</c:v>
                </c:pt>
                <c:pt idx="134">
                  <c:v>14824.209224178956</c:v>
                </c:pt>
                <c:pt idx="135">
                  <c:v>14625.871586086787</c:v>
                </c:pt>
                <c:pt idx="136">
                  <c:v>14431.622110578721</c:v>
                </c:pt>
                <c:pt idx="137">
                  <c:v>14241.347393491631</c:v>
                </c:pt>
                <c:pt idx="138">
                  <c:v>14054.937973056429</c:v>
                </c:pt>
                <c:pt idx="139">
                  <c:v>13872.288165548563</c:v>
                </c:pt>
                <c:pt idx="140">
                  <c:v>13693.295908911561</c:v>
                </c:pt>
                <c:pt idx="141">
                  <c:v>13517.862613913143</c:v>
                </c:pt>
                <c:pt idx="142">
                  <c:v>13345.893022420816</c:v>
                </c:pt>
                <c:pt idx="143">
                  <c:v>13177.295072408944</c:v>
                </c:pt>
                <c:pt idx="144">
                  <c:v>13011.979769333499</c:v>
                </c:pt>
                <c:pt idx="145">
                  <c:v>12849.861063532015</c:v>
                </c:pt>
                <c:pt idx="146">
                  <c:v>12690.855733327597</c:v>
                </c:pt>
                <c:pt idx="147">
                  <c:v>12534.883273534533</c:v>
                </c:pt>
                <c:pt idx="148">
                  <c:v>12381.865789081272</c:v>
                </c:pt>
                <c:pt idx="149">
                  <c:v>12231.727893483137</c:v>
                </c:pt>
                <c:pt idx="150">
                  <c:v>12084.396611913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E6-4762-B195-8898C556B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822592"/>
        <c:axId val="309824128"/>
      </c:lineChart>
      <c:lineChart>
        <c:grouping val="standard"/>
        <c:varyColors val="0"/>
        <c:ser>
          <c:idx val="3"/>
          <c:order val="2"/>
          <c:tx>
            <c:strRef>
              <c:f>加速度入力!$AZ$54</c:f>
              <c:strCache>
                <c:ptCount val="1"/>
                <c:pt idx="0">
                  <c:v>空車電流4ノッチ</c:v>
                </c:pt>
              </c:strCache>
            </c:strRef>
          </c:tx>
          <c:spPr>
            <a:ln w="19050">
              <a:solidFill>
                <a:srgbClr val="C00000"/>
              </a:solidFill>
              <a:prstDash val="sysDot"/>
            </a:ln>
          </c:spPr>
          <c:marker>
            <c:symbol val="none"/>
          </c:marker>
          <c:val>
            <c:numRef>
              <c:f>加速度入力!$AZ$56:$AZ$206</c:f>
              <c:numCache>
                <c:formatCode>General</c:formatCode>
                <c:ptCount val="151"/>
                <c:pt idx="0">
                  <c:v>118.7813686026452</c:v>
                </c:pt>
                <c:pt idx="1">
                  <c:v>118.7813686026452</c:v>
                </c:pt>
                <c:pt idx="2">
                  <c:v>118.7813686026452</c:v>
                </c:pt>
                <c:pt idx="3">
                  <c:v>118.7813686026452</c:v>
                </c:pt>
                <c:pt idx="4">
                  <c:v>118.7813686026452</c:v>
                </c:pt>
                <c:pt idx="5">
                  <c:v>118.7813686026452</c:v>
                </c:pt>
                <c:pt idx="6">
                  <c:v>118.7813686026452</c:v>
                </c:pt>
                <c:pt idx="7">
                  <c:v>118.7813686026452</c:v>
                </c:pt>
                <c:pt idx="8">
                  <c:v>118.7813686026452</c:v>
                </c:pt>
                <c:pt idx="9">
                  <c:v>118.7813686026452</c:v>
                </c:pt>
                <c:pt idx="10">
                  <c:v>118.7813686026452</c:v>
                </c:pt>
                <c:pt idx="11">
                  <c:v>118.7813686026452</c:v>
                </c:pt>
                <c:pt idx="12">
                  <c:v>118.7813686026452</c:v>
                </c:pt>
                <c:pt idx="13">
                  <c:v>118.7813686026452</c:v>
                </c:pt>
                <c:pt idx="14">
                  <c:v>118.7813686026452</c:v>
                </c:pt>
                <c:pt idx="15">
                  <c:v>118.7813686026452</c:v>
                </c:pt>
                <c:pt idx="16">
                  <c:v>118.7813686026452</c:v>
                </c:pt>
                <c:pt idx="17">
                  <c:v>118.7813686026452</c:v>
                </c:pt>
                <c:pt idx="18">
                  <c:v>118.7813686026452</c:v>
                </c:pt>
                <c:pt idx="19">
                  <c:v>118.7813686026452</c:v>
                </c:pt>
                <c:pt idx="20">
                  <c:v>118.7813686026452</c:v>
                </c:pt>
                <c:pt idx="21">
                  <c:v>118.7813686026452</c:v>
                </c:pt>
                <c:pt idx="22">
                  <c:v>118.7813686026452</c:v>
                </c:pt>
                <c:pt idx="23">
                  <c:v>118.7813686026452</c:v>
                </c:pt>
                <c:pt idx="24">
                  <c:v>118.7813686026452</c:v>
                </c:pt>
                <c:pt idx="25">
                  <c:v>118.7813686026452</c:v>
                </c:pt>
                <c:pt idx="26">
                  <c:v>118.7813686026452</c:v>
                </c:pt>
                <c:pt idx="27">
                  <c:v>118.7813686026452</c:v>
                </c:pt>
                <c:pt idx="28">
                  <c:v>118.7813686026452</c:v>
                </c:pt>
                <c:pt idx="29">
                  <c:v>118.7813686026452</c:v>
                </c:pt>
                <c:pt idx="30">
                  <c:v>118.7813686026452</c:v>
                </c:pt>
                <c:pt idx="31">
                  <c:v>118.7813686026452</c:v>
                </c:pt>
                <c:pt idx="32">
                  <c:v>118.7813686026452</c:v>
                </c:pt>
                <c:pt idx="33">
                  <c:v>118.7813686026452</c:v>
                </c:pt>
                <c:pt idx="34">
                  <c:v>118.7813686026452</c:v>
                </c:pt>
                <c:pt idx="35">
                  <c:v>118.7813686026452</c:v>
                </c:pt>
                <c:pt idx="36">
                  <c:v>118.7813686026452</c:v>
                </c:pt>
                <c:pt idx="37">
                  <c:v>118.7813686026452</c:v>
                </c:pt>
                <c:pt idx="38">
                  <c:v>118.7813686026452</c:v>
                </c:pt>
                <c:pt idx="39">
                  <c:v>118.7813686026452</c:v>
                </c:pt>
                <c:pt idx="40">
                  <c:v>118.7813686026452</c:v>
                </c:pt>
                <c:pt idx="41">
                  <c:v>118.7813686026452</c:v>
                </c:pt>
                <c:pt idx="42">
                  <c:v>118.7813686026452</c:v>
                </c:pt>
                <c:pt idx="43">
                  <c:v>118.7813686026452</c:v>
                </c:pt>
                <c:pt idx="44">
                  <c:v>118.7813686026452</c:v>
                </c:pt>
                <c:pt idx="45">
                  <c:v>118.7813686026452</c:v>
                </c:pt>
                <c:pt idx="46">
                  <c:v>118.7813686026452</c:v>
                </c:pt>
                <c:pt idx="47">
                  <c:v>118.7813686026452</c:v>
                </c:pt>
                <c:pt idx="48">
                  <c:v>118.7813686026452</c:v>
                </c:pt>
                <c:pt idx="49">
                  <c:v>118.7813686026452</c:v>
                </c:pt>
                <c:pt idx="50">
                  <c:v>118.7813686026452</c:v>
                </c:pt>
                <c:pt idx="51">
                  <c:v>118.7813686026452</c:v>
                </c:pt>
                <c:pt idx="52">
                  <c:v>118.7813686026452</c:v>
                </c:pt>
                <c:pt idx="53">
                  <c:v>118.7813686026452</c:v>
                </c:pt>
                <c:pt idx="54">
                  <c:v>118.7813686026452</c:v>
                </c:pt>
                <c:pt idx="55">
                  <c:v>118.7813686026452</c:v>
                </c:pt>
                <c:pt idx="56">
                  <c:v>118.7813686026452</c:v>
                </c:pt>
                <c:pt idx="57">
                  <c:v>118.7813686026452</c:v>
                </c:pt>
                <c:pt idx="58">
                  <c:v>118.7813686026452</c:v>
                </c:pt>
                <c:pt idx="59">
                  <c:v>118.7813686026452</c:v>
                </c:pt>
                <c:pt idx="60">
                  <c:v>118.7813686026452</c:v>
                </c:pt>
                <c:pt idx="61">
                  <c:v>118.7813686026452</c:v>
                </c:pt>
                <c:pt idx="62">
                  <c:v>118.7813686026452</c:v>
                </c:pt>
                <c:pt idx="63">
                  <c:v>118.7813686026452</c:v>
                </c:pt>
                <c:pt idx="64">
                  <c:v>118.7813686026452</c:v>
                </c:pt>
                <c:pt idx="65">
                  <c:v>118.7813686026452</c:v>
                </c:pt>
                <c:pt idx="66">
                  <c:v>118.7813686026452</c:v>
                </c:pt>
                <c:pt idx="67">
                  <c:v>118.7813686026452</c:v>
                </c:pt>
                <c:pt idx="68">
                  <c:v>118.7813686026452</c:v>
                </c:pt>
                <c:pt idx="69">
                  <c:v>118.7813686026452</c:v>
                </c:pt>
                <c:pt idx="70">
                  <c:v>118.7813686026452</c:v>
                </c:pt>
                <c:pt idx="71">
                  <c:v>118.7813686026452</c:v>
                </c:pt>
                <c:pt idx="72">
                  <c:v>118.7813686026452</c:v>
                </c:pt>
                <c:pt idx="73">
                  <c:v>118.7813686026452</c:v>
                </c:pt>
                <c:pt idx="74">
                  <c:v>118.7813686026452</c:v>
                </c:pt>
                <c:pt idx="75">
                  <c:v>118.7813686026452</c:v>
                </c:pt>
                <c:pt idx="76">
                  <c:v>118.7813686026452</c:v>
                </c:pt>
                <c:pt idx="77">
                  <c:v>117.96336153782963</c:v>
                </c:pt>
                <c:pt idx="78">
                  <c:v>116.45101074888309</c:v>
                </c:pt>
                <c:pt idx="79">
                  <c:v>114.97694732168205</c:v>
                </c:pt>
                <c:pt idx="80">
                  <c:v>113.53973548016101</c:v>
                </c:pt>
                <c:pt idx="81">
                  <c:v>112.13801035077631</c:v>
                </c:pt>
                <c:pt idx="82">
                  <c:v>110.77047363918147</c:v>
                </c:pt>
                <c:pt idx="83">
                  <c:v>109.4358896194323</c:v>
                </c:pt>
                <c:pt idx="84">
                  <c:v>108.13308140967716</c:v>
                </c:pt>
                <c:pt idx="85">
                  <c:v>106.86092751073978</c:v>
                </c:pt>
                <c:pt idx="86">
                  <c:v>105.61835858619629</c:v>
                </c:pt>
                <c:pt idx="87">
                  <c:v>104.40435446451588</c:v>
                </c:pt>
                <c:pt idx="88">
                  <c:v>103.21794134560092</c:v>
                </c:pt>
                <c:pt idx="89">
                  <c:v>102.05818919565036</c:v>
                </c:pt>
                <c:pt idx="90">
                  <c:v>100.92420931569868</c:v>
                </c:pt>
                <c:pt idx="91">
                  <c:v>99.815152070471228</c:v>
                </c:pt>
                <c:pt idx="92">
                  <c:v>98.730204765357399</c:v>
                </c:pt>
                <c:pt idx="93">
                  <c:v>97.668589660353561</c:v>
                </c:pt>
                <c:pt idx="94">
                  <c:v>96.629562110775339</c:v>
                </c:pt>
                <c:pt idx="95">
                  <c:v>95.612408825398745</c:v>
                </c:pt>
                <c:pt idx="96">
                  <c:v>94.616446233467514</c:v>
                </c:pt>
                <c:pt idx="97">
                  <c:v>93.641018952710112</c:v>
                </c:pt>
                <c:pt idx="98">
                  <c:v>92.68549835115185</c:v>
                </c:pt>
                <c:pt idx="99">
                  <c:v>91.749281196089711</c:v>
                </c:pt>
                <c:pt idx="100">
                  <c:v>90.831788384128814</c:v>
                </c:pt>
                <c:pt idx="101">
                  <c:v>89.932463746662194</c:v>
                </c:pt>
                <c:pt idx="102">
                  <c:v>89.050772925616485</c:v>
                </c:pt>
                <c:pt idx="103">
                  <c:v>88.186202314688174</c:v>
                </c:pt>
                <c:pt idx="104">
                  <c:v>87.338258061662316</c:v>
                </c:pt>
                <c:pt idx="105">
                  <c:v>86.50646512774172</c:v>
                </c:pt>
                <c:pt idx="106">
                  <c:v>85.690366400121519</c:v>
                </c:pt>
                <c:pt idx="107">
                  <c:v>84.889521854325992</c:v>
                </c:pt>
                <c:pt idx="108">
                  <c:v>84.103507763082234</c:v>
                </c:pt>
                <c:pt idx="109">
                  <c:v>83.331915948742036</c:v>
                </c:pt>
                <c:pt idx="110">
                  <c:v>82.574353076480733</c:v>
                </c:pt>
                <c:pt idx="111">
                  <c:v>81.830439985701631</c:v>
                </c:pt>
                <c:pt idx="112">
                  <c:v>81.099811057257867</c:v>
                </c:pt>
                <c:pt idx="113">
                  <c:v>80.38211361427328</c:v>
                </c:pt>
                <c:pt idx="114">
                  <c:v>79.677007354498954</c:v>
                </c:pt>
                <c:pt idx="115">
                  <c:v>78.984163812285928</c:v>
                </c:pt>
                <c:pt idx="116">
                  <c:v>78.303265848386914</c:v>
                </c:pt>
                <c:pt idx="117">
                  <c:v>77.634007165922057</c:v>
                </c:pt>
                <c:pt idx="118">
                  <c:v>76.976091850956621</c:v>
                </c:pt>
                <c:pt idx="119">
                  <c:v>76.329233936242701</c:v>
                </c:pt>
                <c:pt idx="120">
                  <c:v>75.693156986774014</c:v>
                </c:pt>
                <c:pt idx="121">
                  <c:v>75.067593705891582</c:v>
                </c:pt>
                <c:pt idx="122">
                  <c:v>74.452285560761325</c:v>
                </c:pt>
                <c:pt idx="123">
                  <c:v>73.846982426120988</c:v>
                </c:pt>
                <c:pt idx="124">
                  <c:v>73.251442245265167</c:v>
                </c:pt>
                <c:pt idx="125">
                  <c:v>72.665430707303045</c:v>
                </c:pt>
                <c:pt idx="126">
                  <c:v>72.088720939784778</c:v>
                </c:pt>
                <c:pt idx="127">
                  <c:v>71.521093215849461</c:v>
                </c:pt>
                <c:pt idx="128">
                  <c:v>70.962334675100635</c:v>
                </c:pt>
                <c:pt idx="129">
                  <c:v>70.412239057464191</c:v>
                </c:pt>
                <c:pt idx="130">
                  <c:v>69.870606449329856</c:v>
                </c:pt>
                <c:pt idx="131">
                  <c:v>69.337243041319709</c:v>
                </c:pt>
                <c:pt idx="132">
                  <c:v>68.81196089706728</c:v>
                </c:pt>
                <c:pt idx="133">
                  <c:v>68.294577732427683</c:v>
                </c:pt>
                <c:pt idx="134">
                  <c:v>67.784916704573746</c:v>
                </c:pt>
                <c:pt idx="135">
                  <c:v>67.282806210465793</c:v>
                </c:pt>
                <c:pt idx="136">
                  <c:v>66.788079694212357</c:v>
                </c:pt>
                <c:pt idx="137">
                  <c:v>66.300575462867741</c:v>
                </c:pt>
                <c:pt idx="138">
                  <c:v>65.820136510238271</c:v>
                </c:pt>
                <c:pt idx="139">
                  <c:v>65.346610348294107</c:v>
                </c:pt>
                <c:pt idx="140">
                  <c:v>64.879848845806293</c:v>
                </c:pt>
                <c:pt idx="141">
                  <c:v>64.419708073850217</c:v>
                </c:pt>
                <c:pt idx="142">
                  <c:v>63.966048157837193</c:v>
                </c:pt>
                <c:pt idx="143">
                  <c:v>63.518733135754417</c:v>
                </c:pt>
                <c:pt idx="144">
                  <c:v>63.077630822311676</c:v>
                </c:pt>
                <c:pt idx="145">
                  <c:v>62.642612678709526</c:v>
                </c:pt>
                <c:pt idx="146">
                  <c:v>62.213553687759457</c:v>
                </c:pt>
                <c:pt idx="147">
                  <c:v>61.790332234101236</c:v>
                </c:pt>
                <c:pt idx="148">
                  <c:v>61.372829989276227</c:v>
                </c:pt>
                <c:pt idx="149">
                  <c:v>60.960931801428735</c:v>
                </c:pt>
                <c:pt idx="150">
                  <c:v>60.554525589419207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4E6-4762-B195-8898C556B645}"/>
            </c:ext>
          </c:extLst>
        </c:ser>
        <c:ser>
          <c:idx val="2"/>
          <c:order val="3"/>
          <c:tx>
            <c:strRef>
              <c:f>加速度入力!$BA$54</c:f>
              <c:strCache>
                <c:ptCount val="1"/>
                <c:pt idx="0">
                  <c:v>積車電流4ノッチ</c:v>
                </c:pt>
              </c:strCache>
            </c:strRef>
          </c:tx>
          <c:spPr>
            <a:ln>
              <a:solidFill>
                <a:schemeClr val="accent2"/>
              </a:solidFill>
              <a:prstDash val="sysDot"/>
            </a:ln>
          </c:spPr>
          <c:marker>
            <c:symbol val="none"/>
          </c:marker>
          <c:val>
            <c:numRef>
              <c:f>加速度入力!$BA$56:$BA$206</c:f>
              <c:numCache>
                <c:formatCode>General</c:formatCode>
                <c:ptCount val="151"/>
                <c:pt idx="0">
                  <c:v>189.23289246693503</c:v>
                </c:pt>
                <c:pt idx="1">
                  <c:v>189.23289246693503</c:v>
                </c:pt>
                <c:pt idx="2">
                  <c:v>189.23289246693503</c:v>
                </c:pt>
                <c:pt idx="3">
                  <c:v>189.23289246693503</c:v>
                </c:pt>
                <c:pt idx="4">
                  <c:v>189.23289246693503</c:v>
                </c:pt>
                <c:pt idx="5">
                  <c:v>189.23289246693503</c:v>
                </c:pt>
                <c:pt idx="6">
                  <c:v>189.23289246693503</c:v>
                </c:pt>
                <c:pt idx="7">
                  <c:v>189.23289246693503</c:v>
                </c:pt>
                <c:pt idx="8">
                  <c:v>189.23289246693503</c:v>
                </c:pt>
                <c:pt idx="9">
                  <c:v>189.23289246693503</c:v>
                </c:pt>
                <c:pt idx="10">
                  <c:v>189.23289246693503</c:v>
                </c:pt>
                <c:pt idx="11">
                  <c:v>189.23289246693503</c:v>
                </c:pt>
                <c:pt idx="12">
                  <c:v>189.23289246693503</c:v>
                </c:pt>
                <c:pt idx="13">
                  <c:v>189.23289246693503</c:v>
                </c:pt>
                <c:pt idx="14">
                  <c:v>189.23289246693503</c:v>
                </c:pt>
                <c:pt idx="15">
                  <c:v>189.23289246693503</c:v>
                </c:pt>
                <c:pt idx="16">
                  <c:v>189.23289246693503</c:v>
                </c:pt>
                <c:pt idx="17">
                  <c:v>189.23289246693503</c:v>
                </c:pt>
                <c:pt idx="18">
                  <c:v>189.23289246693503</c:v>
                </c:pt>
                <c:pt idx="19">
                  <c:v>189.23289246693503</c:v>
                </c:pt>
                <c:pt idx="20">
                  <c:v>189.23289246693503</c:v>
                </c:pt>
                <c:pt idx="21">
                  <c:v>189.23289246693503</c:v>
                </c:pt>
                <c:pt idx="22">
                  <c:v>189.23289246693503</c:v>
                </c:pt>
                <c:pt idx="23">
                  <c:v>189.23289246693503</c:v>
                </c:pt>
                <c:pt idx="24">
                  <c:v>189.23289246693503</c:v>
                </c:pt>
                <c:pt idx="25">
                  <c:v>189.23289246693503</c:v>
                </c:pt>
                <c:pt idx="26">
                  <c:v>189.23289246693503</c:v>
                </c:pt>
                <c:pt idx="27">
                  <c:v>189.23289246693503</c:v>
                </c:pt>
                <c:pt idx="28">
                  <c:v>189.23289246693503</c:v>
                </c:pt>
                <c:pt idx="29">
                  <c:v>189.23289246693503</c:v>
                </c:pt>
                <c:pt idx="30">
                  <c:v>189.23289246693503</c:v>
                </c:pt>
                <c:pt idx="31">
                  <c:v>189.23289246693503</c:v>
                </c:pt>
                <c:pt idx="32">
                  <c:v>189.23289246693503</c:v>
                </c:pt>
                <c:pt idx="33">
                  <c:v>189.23289246693503</c:v>
                </c:pt>
                <c:pt idx="34">
                  <c:v>189.23289246693503</c:v>
                </c:pt>
                <c:pt idx="35">
                  <c:v>189.23289246693503</c:v>
                </c:pt>
                <c:pt idx="36">
                  <c:v>189.23289246693503</c:v>
                </c:pt>
                <c:pt idx="37">
                  <c:v>189.23289246693503</c:v>
                </c:pt>
                <c:pt idx="38">
                  <c:v>189.23289246693503</c:v>
                </c:pt>
                <c:pt idx="39">
                  <c:v>189.23289246693503</c:v>
                </c:pt>
                <c:pt idx="40">
                  <c:v>189.23289246693503</c:v>
                </c:pt>
                <c:pt idx="41">
                  <c:v>189.23289246693503</c:v>
                </c:pt>
                <c:pt idx="42">
                  <c:v>189.23289246693503</c:v>
                </c:pt>
                <c:pt idx="43">
                  <c:v>189.23289246693503</c:v>
                </c:pt>
                <c:pt idx="44">
                  <c:v>189.23289246693503</c:v>
                </c:pt>
                <c:pt idx="45">
                  <c:v>189.23289246693503</c:v>
                </c:pt>
                <c:pt idx="46">
                  <c:v>189.23289246693503</c:v>
                </c:pt>
                <c:pt idx="47">
                  <c:v>189.23289246693503</c:v>
                </c:pt>
                <c:pt idx="48">
                  <c:v>189.23289246693503</c:v>
                </c:pt>
                <c:pt idx="49">
                  <c:v>185.3709967023037</c:v>
                </c:pt>
                <c:pt idx="50">
                  <c:v>181.66357676825763</c:v>
                </c:pt>
                <c:pt idx="51">
                  <c:v>178.10154585123297</c:v>
                </c:pt>
                <c:pt idx="52">
                  <c:v>174.67651612332463</c:v>
                </c:pt>
                <c:pt idx="53">
                  <c:v>171.38073280024304</c:v>
                </c:pt>
                <c:pt idx="54">
                  <c:v>168.20701552616447</c:v>
                </c:pt>
                <c:pt idx="55">
                  <c:v>165.14870615296147</c:v>
                </c:pt>
                <c:pt idx="56">
                  <c:v>162.19962211451573</c:v>
                </c:pt>
                <c:pt idx="57">
                  <c:v>159.35401470899791</c:v>
                </c:pt>
                <c:pt idx="58">
                  <c:v>156.60653169677383</c:v>
                </c:pt>
                <c:pt idx="59">
                  <c:v>153.95218370191324</c:v>
                </c:pt>
                <c:pt idx="60">
                  <c:v>151.38631397354803</c:v>
                </c:pt>
                <c:pt idx="61">
                  <c:v>148.90457112152265</c:v>
                </c:pt>
                <c:pt idx="62">
                  <c:v>146.50288449053033</c:v>
                </c:pt>
                <c:pt idx="63">
                  <c:v>144.17744187956956</c:v>
                </c:pt>
                <c:pt idx="64">
                  <c:v>141.92466935020127</c:v>
                </c:pt>
                <c:pt idx="65">
                  <c:v>139.74121289865971</c:v>
                </c:pt>
                <c:pt idx="66">
                  <c:v>137.62392179413456</c:v>
                </c:pt>
                <c:pt idx="67">
                  <c:v>135.56983340914749</c:v>
                </c:pt>
                <c:pt idx="68">
                  <c:v>133.57615938842471</c:v>
                </c:pt>
                <c:pt idx="69">
                  <c:v>131.64027302047654</c:v>
                </c:pt>
                <c:pt idx="70">
                  <c:v>129.75969769161259</c:v>
                </c:pt>
                <c:pt idx="71">
                  <c:v>127.93209631567439</c:v>
                </c:pt>
                <c:pt idx="72">
                  <c:v>126.15526164462335</c:v>
                </c:pt>
                <c:pt idx="73">
                  <c:v>124.42710737551891</c:v>
                </c:pt>
                <c:pt idx="74">
                  <c:v>122.74565997855245</c:v>
                </c:pt>
                <c:pt idx="75">
                  <c:v>121.10905117883841</c:v>
                </c:pt>
                <c:pt idx="76">
                  <c:v>119.51551103174843</c:v>
                </c:pt>
                <c:pt idx="77">
                  <c:v>117.96336153782963</c:v>
                </c:pt>
                <c:pt idx="78">
                  <c:v>116.45101074888309</c:v>
                </c:pt>
                <c:pt idx="79">
                  <c:v>114.97694732168205</c:v>
                </c:pt>
                <c:pt idx="80">
                  <c:v>113.53973548016101</c:v>
                </c:pt>
                <c:pt idx="81">
                  <c:v>112.13801035077631</c:v>
                </c:pt>
                <c:pt idx="82">
                  <c:v>110.77047363918147</c:v>
                </c:pt>
                <c:pt idx="83">
                  <c:v>109.4358896194323</c:v>
                </c:pt>
                <c:pt idx="84">
                  <c:v>108.13308140967716</c:v>
                </c:pt>
                <c:pt idx="85">
                  <c:v>106.86092751073978</c:v>
                </c:pt>
                <c:pt idx="86">
                  <c:v>105.61835858619629</c:v>
                </c:pt>
                <c:pt idx="87">
                  <c:v>104.40435446451588</c:v>
                </c:pt>
                <c:pt idx="88">
                  <c:v>103.21794134560092</c:v>
                </c:pt>
                <c:pt idx="89">
                  <c:v>102.05818919565036</c:v>
                </c:pt>
                <c:pt idx="90">
                  <c:v>100.92420931569868</c:v>
                </c:pt>
                <c:pt idx="91">
                  <c:v>99.815152070471228</c:v>
                </c:pt>
                <c:pt idx="92">
                  <c:v>98.730204765357399</c:v>
                </c:pt>
                <c:pt idx="93">
                  <c:v>97.668589660353561</c:v>
                </c:pt>
                <c:pt idx="94">
                  <c:v>96.629562110775339</c:v>
                </c:pt>
                <c:pt idx="95">
                  <c:v>95.612408825398745</c:v>
                </c:pt>
                <c:pt idx="96">
                  <c:v>94.616446233467514</c:v>
                </c:pt>
                <c:pt idx="97">
                  <c:v>93.641018952710112</c:v>
                </c:pt>
                <c:pt idx="98">
                  <c:v>92.68549835115185</c:v>
                </c:pt>
                <c:pt idx="99">
                  <c:v>91.749281196089711</c:v>
                </c:pt>
                <c:pt idx="100">
                  <c:v>90.831788384128814</c:v>
                </c:pt>
                <c:pt idx="101">
                  <c:v>89.932463746662194</c:v>
                </c:pt>
                <c:pt idx="102">
                  <c:v>89.050772925616485</c:v>
                </c:pt>
                <c:pt idx="103">
                  <c:v>88.186202314688174</c:v>
                </c:pt>
                <c:pt idx="104">
                  <c:v>87.338258061662316</c:v>
                </c:pt>
                <c:pt idx="105">
                  <c:v>86.50646512774172</c:v>
                </c:pt>
                <c:pt idx="106">
                  <c:v>85.690366400121519</c:v>
                </c:pt>
                <c:pt idx="107">
                  <c:v>84.889521854325992</c:v>
                </c:pt>
                <c:pt idx="108">
                  <c:v>84.103507763082234</c:v>
                </c:pt>
                <c:pt idx="109">
                  <c:v>83.331915948742036</c:v>
                </c:pt>
                <c:pt idx="110">
                  <c:v>82.574353076480733</c:v>
                </c:pt>
                <c:pt idx="111">
                  <c:v>81.830439985701631</c:v>
                </c:pt>
                <c:pt idx="112">
                  <c:v>81.099811057257867</c:v>
                </c:pt>
                <c:pt idx="113">
                  <c:v>80.38211361427328</c:v>
                </c:pt>
                <c:pt idx="114">
                  <c:v>79.677007354498954</c:v>
                </c:pt>
                <c:pt idx="115">
                  <c:v>78.984163812285928</c:v>
                </c:pt>
                <c:pt idx="116">
                  <c:v>78.303265848386914</c:v>
                </c:pt>
                <c:pt idx="117">
                  <c:v>77.634007165922057</c:v>
                </c:pt>
                <c:pt idx="118">
                  <c:v>76.976091850956621</c:v>
                </c:pt>
                <c:pt idx="119">
                  <c:v>76.329233936242701</c:v>
                </c:pt>
                <c:pt idx="120">
                  <c:v>75.693156986774014</c:v>
                </c:pt>
                <c:pt idx="121">
                  <c:v>75.067593705891582</c:v>
                </c:pt>
                <c:pt idx="122">
                  <c:v>74.452285560761325</c:v>
                </c:pt>
                <c:pt idx="123">
                  <c:v>73.846982426120988</c:v>
                </c:pt>
                <c:pt idx="124">
                  <c:v>73.251442245265167</c:v>
                </c:pt>
                <c:pt idx="125">
                  <c:v>72.665430707303045</c:v>
                </c:pt>
                <c:pt idx="126">
                  <c:v>72.088720939784778</c:v>
                </c:pt>
                <c:pt idx="127">
                  <c:v>71.521093215849461</c:v>
                </c:pt>
                <c:pt idx="128">
                  <c:v>70.962334675100635</c:v>
                </c:pt>
                <c:pt idx="129">
                  <c:v>70.412239057464191</c:v>
                </c:pt>
                <c:pt idx="130">
                  <c:v>69.870606449329856</c:v>
                </c:pt>
                <c:pt idx="131">
                  <c:v>69.337243041319709</c:v>
                </c:pt>
                <c:pt idx="132">
                  <c:v>68.81196089706728</c:v>
                </c:pt>
                <c:pt idx="133">
                  <c:v>68.294577732427683</c:v>
                </c:pt>
                <c:pt idx="134">
                  <c:v>67.784916704573746</c:v>
                </c:pt>
                <c:pt idx="135">
                  <c:v>67.282806210465793</c:v>
                </c:pt>
                <c:pt idx="136">
                  <c:v>66.788079694212357</c:v>
                </c:pt>
                <c:pt idx="137">
                  <c:v>66.300575462867741</c:v>
                </c:pt>
                <c:pt idx="138">
                  <c:v>65.820136510238271</c:v>
                </c:pt>
                <c:pt idx="139">
                  <c:v>65.346610348294107</c:v>
                </c:pt>
                <c:pt idx="140">
                  <c:v>64.879848845806293</c:v>
                </c:pt>
                <c:pt idx="141">
                  <c:v>64.419708073850217</c:v>
                </c:pt>
                <c:pt idx="142">
                  <c:v>63.966048157837193</c:v>
                </c:pt>
                <c:pt idx="143">
                  <c:v>63.518733135754417</c:v>
                </c:pt>
                <c:pt idx="144">
                  <c:v>63.077630822311676</c:v>
                </c:pt>
                <c:pt idx="145">
                  <c:v>62.642612678709526</c:v>
                </c:pt>
                <c:pt idx="146">
                  <c:v>62.213553687759457</c:v>
                </c:pt>
                <c:pt idx="147">
                  <c:v>61.790332234101236</c:v>
                </c:pt>
                <c:pt idx="148">
                  <c:v>61.372829989276227</c:v>
                </c:pt>
                <c:pt idx="149">
                  <c:v>60.960931801428735</c:v>
                </c:pt>
                <c:pt idx="150">
                  <c:v>60.554525589419207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4E6-4762-B195-8898C556B6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09836032"/>
        <c:axId val="309834496"/>
      </c:lineChart>
      <c:catAx>
        <c:axId val="309822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  <a:effectLst/>
          </c:spPr>
        </c:majorGridlines>
        <c:minorGridlines>
          <c:spPr>
            <a:ln cmpd="sng">
              <a:solidFill>
                <a:schemeClr val="bg1">
                  <a:lumMod val="85000"/>
                </a:schemeClr>
              </a:solidFill>
              <a:prstDash val="sysDot"/>
            </a:ln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9824128"/>
        <c:crossesAt val="0"/>
        <c:auto val="1"/>
        <c:lblAlgn val="ctr"/>
        <c:lblOffset val="125"/>
        <c:tickLblSkip val="50"/>
        <c:tickMarkSkip val="50"/>
        <c:noMultiLvlLbl val="0"/>
      </c:catAx>
      <c:valAx>
        <c:axId val="309824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solidFill>
              <a:srgbClr val="0070C0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0982259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9.4679240951400546E-3"/>
                <c:y val="5.7512869030906045E-3"/>
              </c:manualLayout>
            </c:layout>
            <c:tx>
              <c:rich>
                <a:bodyPr rot="0" vert="horz"/>
                <a:lstStyle/>
                <a:p>
                  <a:pPr>
                    <a:defRPr lang="ja-JP"/>
                  </a:pPr>
                  <a:r>
                    <a:rPr lang="en-US" altLang="ja-JP"/>
                    <a:t>'000N</a:t>
                  </a:r>
                  <a:endParaRPr lang="ja-JP" altLang="en-US"/>
                </a:p>
              </c:rich>
            </c:tx>
          </c:dispUnitsLbl>
        </c:dispUnits>
      </c:valAx>
      <c:valAx>
        <c:axId val="309834496"/>
        <c:scaling>
          <c:orientation val="minMax"/>
        </c:scaling>
        <c:delete val="0"/>
        <c:axPos val="r"/>
        <c:numFmt formatCode="#,##0_);[Red]\(#,##0\)" sourceLinked="0"/>
        <c:majorTickMark val="out"/>
        <c:minorTickMark val="none"/>
        <c:tickLblPos val="nextTo"/>
        <c:spPr>
          <a:ln>
            <a:solidFill>
              <a:srgbClr val="C00000"/>
            </a:solidFill>
            <a:prstDash val="dash"/>
          </a:ln>
        </c:spPr>
        <c:txPr>
          <a:bodyPr/>
          <a:lstStyle/>
          <a:p>
            <a:pPr>
              <a:defRPr lang="ja-JP" sz="900">
                <a:solidFill>
                  <a:srgbClr val="C00000"/>
                </a:solidFill>
              </a:defRPr>
            </a:pPr>
            <a:endParaRPr lang="ja-JP"/>
          </a:p>
        </c:txPr>
        <c:crossAx val="309836032"/>
        <c:crosses val="max"/>
        <c:crossBetween val="between"/>
      </c:valAx>
      <c:catAx>
        <c:axId val="309836032"/>
        <c:scaling>
          <c:orientation val="minMax"/>
        </c:scaling>
        <c:delete val="1"/>
        <c:axPos val="b"/>
        <c:majorTickMark val="out"/>
        <c:minorTickMark val="none"/>
        <c:tickLblPos val="nextTo"/>
        <c:crossAx val="30983449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ja-JP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9526</xdr:colOff>
      <xdr:row>4</xdr:row>
      <xdr:rowOff>9526</xdr:rowOff>
    </xdr:from>
    <xdr:to>
      <xdr:col>22</xdr:col>
      <xdr:colOff>409575</xdr:colOff>
      <xdr:row>30</xdr:row>
      <xdr:rowOff>114300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428626</xdr:colOff>
      <xdr:row>4</xdr:row>
      <xdr:rowOff>19050</xdr:rowOff>
    </xdr:from>
    <xdr:to>
      <xdr:col>42</xdr:col>
      <xdr:colOff>123826</xdr:colOff>
      <xdr:row>30</xdr:row>
      <xdr:rowOff>104775</xdr:rowOff>
    </xdr:to>
    <xdr:graphicFrame macro="">
      <xdr:nvGraphicFramePr>
        <xdr:cNvPr id="6" name="グラフ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</xdr:colOff>
          <xdr:row>1</xdr:row>
          <xdr:rowOff>30480</xdr:rowOff>
        </xdr:from>
        <xdr:to>
          <xdr:col>2</xdr:col>
          <xdr:colOff>297180</xdr:colOff>
          <xdr:row>1</xdr:row>
          <xdr:rowOff>182880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ja-JP" altLang="en-US" sz="8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xdr:twoCellAnchor>
    <xdr:from>
      <xdr:col>51</xdr:col>
      <xdr:colOff>76199</xdr:colOff>
      <xdr:row>4</xdr:row>
      <xdr:rowOff>95250</xdr:rowOff>
    </xdr:from>
    <xdr:to>
      <xdr:col>58</xdr:col>
      <xdr:colOff>323850</xdr:colOff>
      <xdr:row>29</xdr:row>
      <xdr:rowOff>123825</xdr:rowOff>
    </xdr:to>
    <xdr:graphicFrame macro="">
      <xdr:nvGraphicFramePr>
        <xdr:cNvPr id="5" name="グラフ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FF00"/>
    <pageSetUpPr fitToPage="1"/>
  </sheetPr>
  <dimension ref="A1:Z53"/>
  <sheetViews>
    <sheetView showGridLines="0" topLeftCell="A25" zoomScale="125" zoomScaleNormal="100" workbookViewId="0">
      <selection activeCell="E50" sqref="E50"/>
    </sheetView>
  </sheetViews>
  <sheetFormatPr defaultColWidth="0" defaultRowHeight="15" zeroHeight="1" x14ac:dyDescent="0.25"/>
  <cols>
    <col min="1" max="1" width="2.75" style="2" customWidth="1"/>
    <col min="2" max="25" width="5.75" customWidth="1"/>
    <col min="26" max="26" width="2.75" customWidth="1"/>
    <col min="27" max="16384" width="9.125" hidden="1"/>
  </cols>
  <sheetData>
    <row r="1" spans="2:25" x14ac:dyDescent="0.25"/>
    <row r="2" spans="2:25" x14ac:dyDescent="0.25">
      <c r="B2" s="27" t="s">
        <v>9</v>
      </c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26"/>
    </row>
    <row r="3" spans="2:25" x14ac:dyDescent="0.25">
      <c r="B3" s="11"/>
      <c r="Y3" s="12"/>
    </row>
    <row r="4" spans="2:25" x14ac:dyDescent="0.25">
      <c r="B4" s="11"/>
      <c r="C4" t="s">
        <v>51</v>
      </c>
      <c r="Y4" s="12"/>
    </row>
    <row r="5" spans="2:25" x14ac:dyDescent="0.25">
      <c r="B5" s="11"/>
      <c r="Y5" s="12"/>
    </row>
    <row r="6" spans="2:25" x14ac:dyDescent="0.25">
      <c r="B6" s="11"/>
      <c r="C6" s="13" t="s">
        <v>10</v>
      </c>
      <c r="E6" s="4">
        <v>1</v>
      </c>
      <c r="F6" s="4">
        <v>2</v>
      </c>
      <c r="G6" s="4">
        <v>3</v>
      </c>
      <c r="H6" s="4">
        <v>4</v>
      </c>
      <c r="I6" s="4">
        <v>5</v>
      </c>
      <c r="J6" s="4">
        <v>6</v>
      </c>
      <c r="K6" s="4">
        <v>7</v>
      </c>
      <c r="L6" s="4">
        <v>8</v>
      </c>
      <c r="M6" s="4">
        <v>9</v>
      </c>
      <c r="N6" s="4">
        <v>10</v>
      </c>
      <c r="O6" s="4">
        <v>11</v>
      </c>
      <c r="P6" s="4">
        <v>12</v>
      </c>
      <c r="Q6" s="4">
        <v>13</v>
      </c>
      <c r="R6" s="4">
        <v>14</v>
      </c>
      <c r="S6" s="4">
        <v>15</v>
      </c>
      <c r="U6" s="13" t="s">
        <v>16</v>
      </c>
      <c r="W6" s="13" t="s">
        <v>12</v>
      </c>
      <c r="X6" s="13" t="s">
        <v>11</v>
      </c>
      <c r="Y6" s="12"/>
    </row>
    <row r="7" spans="2:25" x14ac:dyDescent="0.25">
      <c r="B7" s="11"/>
      <c r="Y7" s="12"/>
    </row>
    <row r="8" spans="2:25" x14ac:dyDescent="0.25">
      <c r="B8" s="11"/>
      <c r="C8" s="13" t="s">
        <v>15</v>
      </c>
      <c r="E8" s="14" t="s">
        <v>65</v>
      </c>
      <c r="F8" s="14" t="s">
        <v>70</v>
      </c>
      <c r="G8" s="14" t="s">
        <v>66</v>
      </c>
      <c r="H8" s="14" t="s">
        <v>11</v>
      </c>
      <c r="I8" s="14" t="s">
        <v>11</v>
      </c>
      <c r="J8" s="14" t="s">
        <v>12</v>
      </c>
      <c r="K8" s="14" t="s">
        <v>12</v>
      </c>
      <c r="L8" s="14" t="s">
        <v>11</v>
      </c>
      <c r="M8" s="14"/>
      <c r="N8" s="14"/>
      <c r="O8" s="14"/>
      <c r="P8" s="14"/>
      <c r="Q8" s="14"/>
      <c r="R8" s="14"/>
      <c r="S8" s="14"/>
      <c r="U8" s="15">
        <f>COUNTA(E8:S8)</f>
        <v>8</v>
      </c>
      <c r="W8" s="16">
        <f>COUNTIF($E$8:$S$8,W6)</f>
        <v>4</v>
      </c>
      <c r="X8" s="16">
        <f>COUNTIF($E$8:$S$8,X6)</f>
        <v>4</v>
      </c>
      <c r="Y8" s="12"/>
    </row>
    <row r="9" spans="2:25" x14ac:dyDescent="0.25">
      <c r="B9" s="11"/>
      <c r="E9" s="64"/>
      <c r="Y9" s="12"/>
    </row>
    <row r="10" spans="2:25" x14ac:dyDescent="0.25">
      <c r="B10" s="11"/>
      <c r="C10" s="13" t="s">
        <v>14</v>
      </c>
      <c r="D10" t="s">
        <v>20</v>
      </c>
      <c r="E10" s="17">
        <v>25.6</v>
      </c>
      <c r="F10" s="17">
        <v>32.700000000000003</v>
      </c>
      <c r="G10" s="17">
        <v>32.5</v>
      </c>
      <c r="H10" s="17">
        <v>22.7</v>
      </c>
      <c r="I10" s="17">
        <v>22.9</v>
      </c>
      <c r="J10" s="17">
        <v>32.5</v>
      </c>
      <c r="K10" s="17">
        <v>32.700000000000003</v>
      </c>
      <c r="L10" s="17">
        <v>25.6</v>
      </c>
      <c r="M10" s="17"/>
      <c r="N10" s="17"/>
      <c r="O10" s="17"/>
      <c r="P10" s="14"/>
      <c r="Q10" s="14"/>
      <c r="R10" s="14"/>
      <c r="S10" s="14"/>
      <c r="U10" s="18">
        <f>SUM(E10:S10)</f>
        <v>227.20000000000002</v>
      </c>
      <c r="W10" s="19">
        <f>ROUND(SUMIF($E$8:$S$8,W$6,$E$10:$S$10)/W$8,3)</f>
        <v>32.6</v>
      </c>
      <c r="X10" s="19">
        <f>IF(TrailerCount=0,0,ROUND(SUMIF($E$8:$S$8,X$6,$E$10:$S$10)/X$8,3))</f>
        <v>24.2</v>
      </c>
      <c r="Y10" s="12"/>
    </row>
    <row r="11" spans="2:25" x14ac:dyDescent="0.25">
      <c r="B11" s="11"/>
      <c r="Y11" s="12"/>
    </row>
    <row r="12" spans="2:25" x14ac:dyDescent="0.25">
      <c r="B12" s="11"/>
      <c r="C12" s="13" t="s">
        <v>13</v>
      </c>
      <c r="D12" t="s">
        <v>19</v>
      </c>
      <c r="E12" s="14">
        <v>124</v>
      </c>
      <c r="F12" s="14">
        <v>136</v>
      </c>
      <c r="G12" s="14">
        <v>136</v>
      </c>
      <c r="H12" s="14">
        <v>136</v>
      </c>
      <c r="I12" s="14">
        <v>136</v>
      </c>
      <c r="J12" s="14">
        <v>136</v>
      </c>
      <c r="K12" s="14">
        <v>136</v>
      </c>
      <c r="L12" s="14">
        <v>124</v>
      </c>
      <c r="M12" s="14"/>
      <c r="N12" s="14"/>
      <c r="O12" s="14"/>
      <c r="P12" s="14"/>
      <c r="Q12" s="14"/>
      <c r="R12" s="14"/>
      <c r="S12" s="14"/>
      <c r="U12" s="20">
        <f>ROUND(AVERAGE(E12:S12),0)</f>
        <v>133</v>
      </c>
      <c r="Y12" s="12"/>
    </row>
    <row r="13" spans="2:25" x14ac:dyDescent="0.25">
      <c r="B13" s="11"/>
      <c r="Y13" s="12"/>
    </row>
    <row r="14" spans="2:25" x14ac:dyDescent="0.25">
      <c r="B14" s="11"/>
      <c r="C14" t="s">
        <v>17</v>
      </c>
      <c r="E14" s="21">
        <v>2.5</v>
      </c>
      <c r="G14" s="65" t="s">
        <v>62</v>
      </c>
      <c r="Y14" s="12"/>
    </row>
    <row r="15" spans="2:25" x14ac:dyDescent="0.25">
      <c r="B15" s="11"/>
      <c r="Y15" s="12"/>
    </row>
    <row r="16" spans="2:25" x14ac:dyDescent="0.25">
      <c r="B16" s="11"/>
      <c r="C16" t="s">
        <v>18</v>
      </c>
      <c r="E16" s="22">
        <v>55</v>
      </c>
      <c r="Y16" s="12"/>
    </row>
    <row r="17" spans="2:25" x14ac:dyDescent="0.25">
      <c r="B17" s="11"/>
      <c r="Y17" s="12"/>
    </row>
    <row r="18" spans="2:25" x14ac:dyDescent="0.25">
      <c r="B18" s="11"/>
      <c r="C18" t="s">
        <v>52</v>
      </c>
      <c r="E18" s="21">
        <v>0.1</v>
      </c>
      <c r="Y18" s="12"/>
    </row>
    <row r="19" spans="2:25" x14ac:dyDescent="0.25">
      <c r="B19" s="11"/>
      <c r="Y19" s="12"/>
    </row>
    <row r="20" spans="2:25" x14ac:dyDescent="0.25">
      <c r="B20" s="11"/>
      <c r="C20" t="s">
        <v>53</v>
      </c>
      <c r="E20" s="21">
        <v>0.05</v>
      </c>
      <c r="Y20" s="12"/>
    </row>
    <row r="21" spans="2:25" x14ac:dyDescent="0.25">
      <c r="B21" s="11"/>
      <c r="Y21" s="12"/>
    </row>
    <row r="22" spans="2:25" x14ac:dyDescent="0.25">
      <c r="B22" s="11"/>
      <c r="E22" s="13" t="s">
        <v>47</v>
      </c>
      <c r="F22" s="13" t="s">
        <v>48</v>
      </c>
      <c r="G22" s="13" t="s">
        <v>49</v>
      </c>
      <c r="Y22" s="12"/>
    </row>
    <row r="23" spans="2:25" x14ac:dyDescent="0.25">
      <c r="B23" s="11"/>
      <c r="C23" t="s">
        <v>50</v>
      </c>
      <c r="E23">
        <f>ROUND(0.275+0.076*(MotorcarCount+TrailerCount-1),3)</f>
        <v>0.80700000000000005</v>
      </c>
      <c r="F23">
        <f>ROUND(0.000242*MotorcarCount*MotorcarWeight+0.0000275*TrailerCount*TrailerWeight,2)</f>
        <v>34.22</v>
      </c>
      <c r="G23">
        <f>ROUND(0.0162*MotorcarCount*MotorcarWeight+0.00765*TrailerCount*TrailerWeight,0)</f>
        <v>2853</v>
      </c>
      <c r="Y23" s="12"/>
    </row>
    <row r="24" spans="2:25" ht="15.6" thickBot="1" x14ac:dyDescent="0.3">
      <c r="B24" s="23"/>
      <c r="C24" s="24"/>
      <c r="D24" s="24"/>
      <c r="E24" s="24"/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4"/>
      <c r="V24" s="24"/>
      <c r="W24" s="24"/>
      <c r="X24" s="24"/>
      <c r="Y24" s="25"/>
    </row>
    <row r="25" spans="2:25" ht="15.6" thickTop="1" x14ac:dyDescent="0.25"/>
    <row r="26" spans="2:25" x14ac:dyDescent="0.25">
      <c r="B26" s="27" t="s">
        <v>21</v>
      </c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26"/>
    </row>
    <row r="27" spans="2:25" x14ac:dyDescent="0.25">
      <c r="B27" s="11"/>
      <c r="Y27" s="12"/>
    </row>
    <row r="28" spans="2:25" x14ac:dyDescent="0.25">
      <c r="B28" s="11"/>
      <c r="C28" t="s">
        <v>22</v>
      </c>
      <c r="Y28" s="12"/>
    </row>
    <row r="29" spans="2:25" x14ac:dyDescent="0.25">
      <c r="B29" s="11"/>
      <c r="C29" t="str">
        <f>U29&amp;" = "&amp;MotorcarWeight</f>
        <v>MotorcarWeight = 32600</v>
      </c>
      <c r="U29" s="6" t="s">
        <v>23</v>
      </c>
      <c r="Y29" s="12"/>
    </row>
    <row r="30" spans="2:25" x14ac:dyDescent="0.25">
      <c r="B30" s="11"/>
      <c r="C30" t="str">
        <f>U30&amp;" = "&amp;MotorcarWeight</f>
        <v>TrailerWeight = 32600</v>
      </c>
      <c r="U30" s="6" t="s">
        <v>24</v>
      </c>
      <c r="Y30" s="12"/>
    </row>
    <row r="31" spans="2:25" x14ac:dyDescent="0.25">
      <c r="B31" s="11"/>
      <c r="C31" t="str">
        <f>U31&amp;" = "&amp;MotorcarWeight</f>
        <v>MotorcarCount = 32600</v>
      </c>
      <c r="U31" s="6" t="s">
        <v>25</v>
      </c>
      <c r="Y31" s="12"/>
    </row>
    <row r="32" spans="2:25" x14ac:dyDescent="0.25">
      <c r="B32" s="11"/>
      <c r="C32" t="str">
        <f>U32&amp;" = "&amp;MotorcarWeight</f>
        <v>TrailerCount = 32600</v>
      </c>
      <c r="U32" s="6" t="s">
        <v>26</v>
      </c>
      <c r="Y32" s="12"/>
    </row>
    <row r="33" spans="2:25" x14ac:dyDescent="0.25">
      <c r="B33" s="11"/>
      <c r="C33" t="str">
        <f>U33&amp;" = "&amp;MotorcarWeight</f>
        <v>MotorcarInertiaFactor = 32600</v>
      </c>
      <c r="U33" s="6" t="s">
        <v>55</v>
      </c>
      <c r="Y33" s="12"/>
    </row>
    <row r="34" spans="2:25" x14ac:dyDescent="0.25">
      <c r="B34" s="11"/>
      <c r="C34" t="str">
        <f>U34&amp;" = "&amp;MotorcarWeight</f>
        <v>TrailerInertiaFactor = 32600</v>
      </c>
      <c r="U34" s="6" t="s">
        <v>54</v>
      </c>
      <c r="Y34" s="12"/>
    </row>
    <row r="35" spans="2:25" x14ac:dyDescent="0.25">
      <c r="B35" s="11"/>
      <c r="D35" s="5" t="s">
        <v>27</v>
      </c>
      <c r="Y35" s="12"/>
    </row>
    <row r="36" spans="2:25" x14ac:dyDescent="0.25">
      <c r="B36" s="11"/>
      <c r="Y36" s="12"/>
    </row>
    <row r="37" spans="2:25" x14ac:dyDescent="0.25">
      <c r="B37" s="11"/>
      <c r="C37" t="s">
        <v>28</v>
      </c>
      <c r="Y37" s="12"/>
    </row>
    <row r="38" spans="2:25" x14ac:dyDescent="0.25">
      <c r="B38" s="11"/>
      <c r="C38" t="str">
        <f>U38&amp;" = "&amp;U12</f>
        <v>Capacity = 133</v>
      </c>
      <c r="U38" s="6" t="s">
        <v>29</v>
      </c>
      <c r="Y38" s="12"/>
    </row>
    <row r="39" spans="2:25" x14ac:dyDescent="0.25">
      <c r="B39" s="11"/>
      <c r="C39" t="str">
        <f>U39&amp;" = "&amp;E16</f>
        <v>BodyWeight = 55</v>
      </c>
      <c r="U39" s="6" t="s">
        <v>30</v>
      </c>
      <c r="Y39" s="12"/>
    </row>
    <row r="40" spans="2:25" x14ac:dyDescent="0.25">
      <c r="B40" s="11"/>
      <c r="D40" s="5" t="s">
        <v>27</v>
      </c>
      <c r="Y40" s="12"/>
    </row>
    <row r="41" spans="2:25" ht="15.6" thickBot="1" x14ac:dyDescent="0.3">
      <c r="B41" s="23"/>
      <c r="C41" s="24"/>
      <c r="D41" s="24"/>
      <c r="E41" s="24"/>
      <c r="F41" s="24"/>
      <c r="G41" s="24"/>
      <c r="H41" s="24"/>
      <c r="I41" s="24"/>
      <c r="J41" s="24"/>
      <c r="K41" s="24"/>
      <c r="L41" s="24"/>
      <c r="M41" s="24"/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5"/>
    </row>
    <row r="42" spans="2:25" ht="15.6" thickTop="1" x14ac:dyDescent="0.25"/>
    <row r="43" spans="2:25" x14ac:dyDescent="0.25">
      <c r="B43" s="28" t="s">
        <v>31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30"/>
    </row>
    <row r="44" spans="2:25" x14ac:dyDescent="0.25">
      <c r="B44" s="31"/>
      <c r="C44" s="32"/>
      <c r="D44" s="32"/>
      <c r="E44" s="32"/>
      <c r="F44" s="32"/>
      <c r="G44" s="32"/>
      <c r="H44" s="32"/>
      <c r="I44" s="32"/>
      <c r="J44" s="32"/>
      <c r="K44" s="32"/>
      <c r="L44" s="32"/>
      <c r="M44" s="32"/>
      <c r="N44" s="32"/>
      <c r="O44" s="32"/>
      <c r="P44" s="32"/>
      <c r="Q44" s="32"/>
      <c r="R44" s="32"/>
      <c r="S44" s="32"/>
      <c r="T44" s="32"/>
      <c r="U44" s="32"/>
      <c r="V44" s="32"/>
      <c r="W44" s="32"/>
      <c r="X44" s="32"/>
      <c r="Y44" s="33"/>
    </row>
    <row r="45" spans="2:25" x14ac:dyDescent="0.25">
      <c r="B45" s="31"/>
      <c r="C45" s="32"/>
      <c r="D45" s="32"/>
      <c r="E45" s="34" t="b">
        <f t="shared" ref="E45:S45" si="0">AND(NOT(ISBLANK(E8)),ISNUMBER(E10),ISNUMBER(E12))</f>
        <v>1</v>
      </c>
      <c r="F45" s="34" t="b">
        <f t="shared" si="0"/>
        <v>1</v>
      </c>
      <c r="G45" s="34" t="b">
        <f t="shared" si="0"/>
        <v>1</v>
      </c>
      <c r="H45" s="34" t="b">
        <f t="shared" si="0"/>
        <v>1</v>
      </c>
      <c r="I45" s="34" t="b">
        <f t="shared" si="0"/>
        <v>1</v>
      </c>
      <c r="J45" s="34" t="b">
        <f t="shared" si="0"/>
        <v>1</v>
      </c>
      <c r="K45" s="34" t="b">
        <f t="shared" si="0"/>
        <v>1</v>
      </c>
      <c r="L45" s="34" t="b">
        <f t="shared" si="0"/>
        <v>1</v>
      </c>
      <c r="M45" s="34" t="b">
        <f t="shared" si="0"/>
        <v>0</v>
      </c>
      <c r="N45" s="34" t="b">
        <f t="shared" si="0"/>
        <v>0</v>
      </c>
      <c r="O45" s="34" t="b">
        <f t="shared" si="0"/>
        <v>0</v>
      </c>
      <c r="P45" s="34" t="b">
        <f t="shared" si="0"/>
        <v>0</v>
      </c>
      <c r="Q45" s="34" t="b">
        <f t="shared" si="0"/>
        <v>0</v>
      </c>
      <c r="R45" s="34" t="b">
        <f t="shared" si="0"/>
        <v>0</v>
      </c>
      <c r="S45" s="34" t="b">
        <f t="shared" si="0"/>
        <v>0</v>
      </c>
      <c r="T45" s="32"/>
      <c r="U45" s="35" t="s">
        <v>59</v>
      </c>
      <c r="V45" s="35"/>
      <c r="W45" s="35" t="s">
        <v>61</v>
      </c>
      <c r="X45" s="32"/>
      <c r="Y45" s="33"/>
    </row>
    <row r="46" spans="2:25" x14ac:dyDescent="0.25">
      <c r="B46" s="31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  <c r="Q46" s="32"/>
      <c r="R46" s="32"/>
      <c r="S46" s="32"/>
      <c r="T46" s="32"/>
      <c r="U46" s="32"/>
      <c r="V46" s="32"/>
      <c r="W46" s="32"/>
      <c r="X46" s="32"/>
      <c r="Y46" s="33"/>
    </row>
    <row r="47" spans="2:25" x14ac:dyDescent="0.25">
      <c r="B47" s="31"/>
      <c r="C47" s="32" t="s">
        <v>58</v>
      </c>
      <c r="D47" s="32"/>
      <c r="E47" s="36">
        <f>IF(E$45,E10*10^3,0)</f>
        <v>25600</v>
      </c>
      <c r="F47" s="36">
        <f t="shared" ref="F47:S47" si="1">IF(F$45,F10*10^3,0)</f>
        <v>32700.000000000004</v>
      </c>
      <c r="G47" s="36">
        <f t="shared" si="1"/>
        <v>32500</v>
      </c>
      <c r="H47" s="36">
        <f t="shared" si="1"/>
        <v>22700</v>
      </c>
      <c r="I47" s="36">
        <f t="shared" si="1"/>
        <v>22900</v>
      </c>
      <c r="J47" s="36">
        <f t="shared" si="1"/>
        <v>32500</v>
      </c>
      <c r="K47" s="36">
        <f t="shared" si="1"/>
        <v>32700.000000000004</v>
      </c>
      <c r="L47" s="36">
        <f t="shared" si="1"/>
        <v>25600</v>
      </c>
      <c r="M47" s="36">
        <f t="shared" si="1"/>
        <v>0</v>
      </c>
      <c r="N47" s="36">
        <f t="shared" si="1"/>
        <v>0</v>
      </c>
      <c r="O47" s="36">
        <f t="shared" si="1"/>
        <v>0</v>
      </c>
      <c r="P47" s="36">
        <f t="shared" si="1"/>
        <v>0</v>
      </c>
      <c r="Q47" s="36">
        <f t="shared" si="1"/>
        <v>0</v>
      </c>
      <c r="R47" s="36">
        <f t="shared" si="1"/>
        <v>0</v>
      </c>
      <c r="S47" s="36">
        <f t="shared" si="1"/>
        <v>0</v>
      </c>
      <c r="T47" s="36"/>
      <c r="U47" s="37">
        <f>SUM(E47:S47)</f>
        <v>227200</v>
      </c>
      <c r="V47" s="37"/>
      <c r="W47" s="37"/>
      <c r="X47" s="32"/>
      <c r="Y47" s="33"/>
    </row>
    <row r="48" spans="2:25" x14ac:dyDescent="0.25">
      <c r="B48" s="31"/>
      <c r="C48" s="32" t="s">
        <v>60</v>
      </c>
      <c r="D48" s="32"/>
      <c r="E48" s="36">
        <f>IF(E$45,$U$12*$E$14*$E$16,0)+E47</f>
        <v>43887.5</v>
      </c>
      <c r="F48" s="36">
        <f t="shared" ref="F48:S48" si="2">IF(F$45,$U$12*$E$14*$E$16,0)+F47</f>
        <v>50987.5</v>
      </c>
      <c r="G48" s="36">
        <f t="shared" si="2"/>
        <v>50787.5</v>
      </c>
      <c r="H48" s="36">
        <f t="shared" si="2"/>
        <v>40987.5</v>
      </c>
      <c r="I48" s="36">
        <f t="shared" si="2"/>
        <v>41187.5</v>
      </c>
      <c r="J48" s="36">
        <f t="shared" si="2"/>
        <v>50787.5</v>
      </c>
      <c r="K48" s="36">
        <f t="shared" si="2"/>
        <v>50987.5</v>
      </c>
      <c r="L48" s="36">
        <f t="shared" si="2"/>
        <v>43887.5</v>
      </c>
      <c r="M48" s="36">
        <f t="shared" si="2"/>
        <v>0</v>
      </c>
      <c r="N48" s="36">
        <f t="shared" si="2"/>
        <v>0</v>
      </c>
      <c r="O48" s="36">
        <f t="shared" si="2"/>
        <v>0</v>
      </c>
      <c r="P48" s="36">
        <f t="shared" si="2"/>
        <v>0</v>
      </c>
      <c r="Q48" s="36">
        <f t="shared" si="2"/>
        <v>0</v>
      </c>
      <c r="R48" s="36">
        <f t="shared" si="2"/>
        <v>0</v>
      </c>
      <c r="S48" s="36">
        <f t="shared" si="2"/>
        <v>0</v>
      </c>
      <c r="T48" s="36"/>
      <c r="U48" s="37">
        <f>SUM(E48:S48)</f>
        <v>373500</v>
      </c>
      <c r="V48" s="37"/>
      <c r="W48" s="37"/>
      <c r="X48" s="32"/>
      <c r="Y48" s="33"/>
    </row>
    <row r="49" spans="2:25" x14ac:dyDescent="0.25">
      <c r="B49" s="31"/>
      <c r="C49" s="32"/>
      <c r="D49" s="32"/>
      <c r="E49" s="36"/>
      <c r="F49" s="36"/>
      <c r="G49" s="36"/>
      <c r="H49" s="36"/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37"/>
      <c r="V49" s="37"/>
      <c r="W49" s="37"/>
      <c r="X49" s="32"/>
      <c r="Y49" s="33"/>
    </row>
    <row r="50" spans="2:25" x14ac:dyDescent="0.25">
      <c r="B50" s="31"/>
      <c r="C50" s="32" t="s">
        <v>56</v>
      </c>
      <c r="D50" s="32"/>
      <c r="E50" s="36">
        <f t="shared" ref="E50:S50" si="3">IF(E8="M",E47/(1-MotorcarInertiaFactor),E47/(1-TrailerInertiaFactor))</f>
        <v>26947.368421052633</v>
      </c>
      <c r="F50" s="36">
        <f t="shared" si="3"/>
        <v>36333.333333333336</v>
      </c>
      <c r="G50" s="36">
        <f t="shared" si="3"/>
        <v>36111.111111111109</v>
      </c>
      <c r="H50" s="36">
        <f t="shared" si="3"/>
        <v>23894.736842105263</v>
      </c>
      <c r="I50" s="36">
        <f t="shared" si="3"/>
        <v>24105.263157894737</v>
      </c>
      <c r="J50" s="36">
        <f t="shared" si="3"/>
        <v>36111.111111111109</v>
      </c>
      <c r="K50" s="36">
        <f t="shared" si="3"/>
        <v>36333.333333333336</v>
      </c>
      <c r="L50" s="36">
        <f t="shared" si="3"/>
        <v>26947.368421052633</v>
      </c>
      <c r="M50" s="36">
        <f t="shared" si="3"/>
        <v>0</v>
      </c>
      <c r="N50" s="36">
        <f t="shared" si="3"/>
        <v>0</v>
      </c>
      <c r="O50" s="36">
        <f t="shared" si="3"/>
        <v>0</v>
      </c>
      <c r="P50" s="36">
        <f t="shared" si="3"/>
        <v>0</v>
      </c>
      <c r="Q50" s="36">
        <f t="shared" si="3"/>
        <v>0</v>
      </c>
      <c r="R50" s="36">
        <f t="shared" si="3"/>
        <v>0</v>
      </c>
      <c r="S50" s="36">
        <f t="shared" si="3"/>
        <v>0</v>
      </c>
      <c r="T50" s="36"/>
      <c r="U50" s="37">
        <f>ROUND(SUM(E50:S50),0)</f>
        <v>246784</v>
      </c>
      <c r="V50" s="37"/>
      <c r="W50" s="37">
        <f>U50/MotorcarCount</f>
        <v>61696</v>
      </c>
      <c r="X50" s="32"/>
      <c r="Y50" s="33"/>
    </row>
    <row r="51" spans="2:25" x14ac:dyDescent="0.25">
      <c r="B51" s="31"/>
      <c r="C51" s="32" t="s">
        <v>57</v>
      </c>
      <c r="D51" s="32"/>
      <c r="E51" s="36">
        <f t="shared" ref="E51:S51" si="4">IF(E9="M",E48/(1-MotorcarInertiaFactor),E48/(1-TrailerInertiaFactor))</f>
        <v>46197.368421052633</v>
      </c>
      <c r="F51" s="36">
        <f t="shared" si="4"/>
        <v>53671.052631578947</v>
      </c>
      <c r="G51" s="36">
        <f t="shared" si="4"/>
        <v>53460.526315789473</v>
      </c>
      <c r="H51" s="36">
        <f t="shared" si="4"/>
        <v>43144.736842105267</v>
      </c>
      <c r="I51" s="36">
        <f t="shared" si="4"/>
        <v>43355.26315789474</v>
      </c>
      <c r="J51" s="36">
        <f t="shared" si="4"/>
        <v>53460.526315789473</v>
      </c>
      <c r="K51" s="36">
        <f t="shared" si="4"/>
        <v>53671.052631578947</v>
      </c>
      <c r="L51" s="36">
        <f t="shared" si="4"/>
        <v>46197.368421052633</v>
      </c>
      <c r="M51" s="36">
        <f t="shared" si="4"/>
        <v>0</v>
      </c>
      <c r="N51" s="36">
        <f t="shared" si="4"/>
        <v>0</v>
      </c>
      <c r="O51" s="36">
        <f t="shared" si="4"/>
        <v>0</v>
      </c>
      <c r="P51" s="36">
        <f t="shared" si="4"/>
        <v>0</v>
      </c>
      <c r="Q51" s="36">
        <f t="shared" si="4"/>
        <v>0</v>
      </c>
      <c r="R51" s="36">
        <f t="shared" si="4"/>
        <v>0</v>
      </c>
      <c r="S51" s="36">
        <f t="shared" si="4"/>
        <v>0</v>
      </c>
      <c r="T51" s="36"/>
      <c r="U51" s="37">
        <f>ROUND(SUM(E51:S51),0)</f>
        <v>393158</v>
      </c>
      <c r="V51" s="37"/>
      <c r="W51" s="37">
        <f>U51/MotorcarCount</f>
        <v>98289.5</v>
      </c>
      <c r="X51" s="38">
        <f>M_full/M_empty</f>
        <v>1.5931259725103735</v>
      </c>
      <c r="Y51" s="33"/>
    </row>
    <row r="52" spans="2:25" ht="15.6" thickBot="1" x14ac:dyDescent="0.3">
      <c r="B52" s="39"/>
      <c r="C52" s="40"/>
      <c r="D52" s="40"/>
      <c r="E52" s="40"/>
      <c r="F52" s="40"/>
      <c r="G52" s="40"/>
      <c r="H52" s="40"/>
      <c r="I52" s="40"/>
      <c r="J52" s="40"/>
      <c r="K52" s="40"/>
      <c r="L52" s="40"/>
      <c r="M52" s="40"/>
      <c r="N52" s="40"/>
      <c r="O52" s="40"/>
      <c r="P52" s="40"/>
      <c r="Q52" s="40"/>
      <c r="R52" s="40"/>
      <c r="S52" s="40"/>
      <c r="T52" s="40"/>
      <c r="U52" s="40"/>
      <c r="V52" s="40"/>
      <c r="W52" s="40"/>
      <c r="X52" s="40"/>
      <c r="Y52" s="41"/>
    </row>
    <row r="53" spans="2:25" ht="15.6" thickTop="1" x14ac:dyDescent="0.25"/>
  </sheetData>
  <phoneticPr fontId="9"/>
  <dataValidations count="2">
    <dataValidation type="list" imeMode="off" allowBlank="1" showInputMessage="1" showErrorMessage="1" errorTitle="無効な入力です" error="MかTを指定してください" sqref="E8:S8" xr:uid="{00000000-0002-0000-0000-000000000000}">
      <formula1>$W$6:$X$6</formula1>
    </dataValidation>
    <dataValidation imeMode="off" allowBlank="1" showInputMessage="1" showErrorMessage="1" sqref="E18 E20 E14 E16 E10:S10 E12:S12" xr:uid="{00000000-0002-0000-0000-000001000000}"/>
  </dataValidations>
  <printOptions horizontalCentered="1" verticalCentered="1"/>
  <pageMargins left="0.31496062992125984" right="0.31496062992125984" top="0.39370078740157483" bottom="0.39370078740157483" header="0.31496062992125984" footer="0.31496062992125984"/>
  <pageSetup paperSize="8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FF00"/>
    <pageSetUpPr fitToPage="1"/>
  </sheetPr>
  <dimension ref="A1:BG206"/>
  <sheetViews>
    <sheetView showGridLines="0" tabSelected="1" zoomScaleNormal="100" workbookViewId="0">
      <pane xSplit="3" topLeftCell="D1" activePane="topRight" state="frozenSplit"/>
      <selection pane="topRight" activeCell="X41" sqref="X41"/>
    </sheetView>
  </sheetViews>
  <sheetFormatPr defaultColWidth="9.125" defaultRowHeight="15" outlineLevelCol="1" x14ac:dyDescent="0.25"/>
  <cols>
    <col min="1" max="1" width="1.375" style="2" customWidth="1"/>
    <col min="2" max="2" width="9.25" bestFit="1" customWidth="1"/>
    <col min="3" max="3" width="8" bestFit="1" customWidth="1"/>
    <col min="4" max="7" width="8.75" style="1" customWidth="1"/>
    <col min="8" max="10" width="8.75" style="1" hidden="1" customWidth="1" outlineLevel="1"/>
    <col min="11" max="12" width="8.75" hidden="1" customWidth="1" outlineLevel="1"/>
    <col min="13" max="13" width="8.75" style="1" customWidth="1" collapsed="1"/>
    <col min="14" max="16" width="8.75" style="1" customWidth="1"/>
    <col min="17" max="19" width="8.75" style="1" hidden="1" customWidth="1" outlineLevel="1"/>
    <col min="20" max="21" width="8.75" hidden="1" customWidth="1" outlineLevel="1"/>
    <col min="22" max="22" width="8.75" style="1" customWidth="1" collapsed="1"/>
    <col min="23" max="25" width="8.75" style="1" customWidth="1"/>
    <col min="26" max="28" width="8.75" style="1" hidden="1" customWidth="1" outlineLevel="1"/>
    <col min="29" max="30" width="8.75" hidden="1" customWidth="1" outlineLevel="1"/>
    <col min="31" max="31" width="8.75" style="1" customWidth="1" collapsed="1"/>
    <col min="32" max="34" width="8.75" style="1" customWidth="1"/>
    <col min="35" max="37" width="8.75" style="1" hidden="1" customWidth="1" outlineLevel="1"/>
    <col min="38" max="39" width="8.75" hidden="1" customWidth="1" outlineLevel="1"/>
    <col min="40" max="40" width="8.75" style="1" customWidth="1" collapsed="1"/>
    <col min="41" max="43" width="8.75" style="1" customWidth="1"/>
    <col min="44" max="46" width="8.75" style="1" hidden="1" customWidth="1" outlineLevel="1"/>
    <col min="47" max="48" width="8.75" hidden="1" customWidth="1" outlineLevel="1"/>
    <col min="49" max="49" width="6.75" hidden="1" customWidth="1" outlineLevel="1" collapsed="1"/>
    <col min="50" max="50" width="9.125" hidden="1" customWidth="1" outlineLevel="1"/>
    <col min="51" max="51" width="1.75" customWidth="1" collapsed="1"/>
    <col min="52" max="53" width="9.25" style="8" bestFit="1" customWidth="1"/>
    <col min="54" max="55" width="9.375" style="8" bestFit="1" customWidth="1"/>
    <col min="56" max="58" width="9.125" style="8"/>
    <col min="59" max="59" width="5.875" style="8" customWidth="1"/>
  </cols>
  <sheetData>
    <row r="1" spans="2:59" s="68" customFormat="1" ht="10.199999999999999" x14ac:dyDescent="0.25">
      <c r="D1" s="1"/>
      <c r="E1" s="1"/>
      <c r="F1" s="1"/>
      <c r="G1" s="1"/>
      <c r="H1" s="1"/>
      <c r="I1" s="1"/>
      <c r="J1" s="1"/>
      <c r="M1" s="1"/>
      <c r="N1" s="1"/>
      <c r="O1" s="1"/>
      <c r="P1" s="1"/>
      <c r="Q1" s="1"/>
      <c r="R1" s="1"/>
      <c r="S1" s="1"/>
      <c r="V1" s="1"/>
      <c r="W1" s="1"/>
      <c r="X1" s="1"/>
      <c r="Y1" s="1"/>
      <c r="Z1" s="1"/>
      <c r="AA1" s="1"/>
      <c r="AB1" s="1"/>
      <c r="AE1" s="1"/>
      <c r="AF1" s="1"/>
      <c r="AG1" s="1"/>
      <c r="AH1" s="1"/>
      <c r="AI1" s="1"/>
      <c r="AJ1" s="1"/>
      <c r="AK1" s="1"/>
      <c r="AN1" s="1"/>
      <c r="AO1" s="1"/>
      <c r="AP1" s="1"/>
      <c r="AQ1" s="1"/>
      <c r="AR1" s="1"/>
      <c r="AS1" s="1"/>
      <c r="AT1" s="1"/>
      <c r="AZ1" s="97"/>
      <c r="BA1" s="97"/>
      <c r="BB1" s="97"/>
      <c r="BC1" s="97"/>
      <c r="BD1" s="97"/>
      <c r="BE1" s="97"/>
      <c r="BF1" s="97"/>
      <c r="BG1" s="97"/>
    </row>
    <row r="2" spans="2:59" x14ac:dyDescent="0.25">
      <c r="B2" s="67"/>
      <c r="C2" s="67"/>
      <c r="D2" s="70" t="s">
        <v>63</v>
      </c>
      <c r="E2" s="69"/>
    </row>
    <row r="3" spans="2:59" s="68" customFormat="1" ht="10.199999999999999" x14ac:dyDescent="0.25">
      <c r="D3" s="1"/>
      <c r="E3" s="1"/>
      <c r="F3" s="1"/>
      <c r="G3" s="1"/>
      <c r="H3" s="1"/>
      <c r="I3" s="1"/>
      <c r="J3" s="1"/>
      <c r="M3" s="1"/>
      <c r="N3" s="1"/>
      <c r="O3" s="1"/>
      <c r="P3" s="1"/>
      <c r="Q3" s="1"/>
      <c r="R3" s="1"/>
      <c r="S3" s="1"/>
      <c r="V3" s="1"/>
      <c r="W3" s="1"/>
      <c r="X3" s="1"/>
      <c r="Y3" s="1"/>
      <c r="Z3" s="1"/>
      <c r="AA3" s="1"/>
      <c r="AB3" s="1"/>
      <c r="AE3" s="1"/>
      <c r="AF3" s="1"/>
      <c r="AG3" s="1"/>
      <c r="AH3" s="1"/>
      <c r="AI3" s="1"/>
      <c r="AJ3" s="1"/>
      <c r="AK3" s="1"/>
      <c r="AN3" s="1"/>
      <c r="AO3" s="1"/>
      <c r="AP3" s="1"/>
      <c r="AQ3" s="1"/>
      <c r="AR3" s="1"/>
      <c r="AS3" s="1"/>
      <c r="AT3" s="1"/>
      <c r="AZ3" s="97"/>
      <c r="BA3" s="97"/>
      <c r="BB3" s="97"/>
      <c r="BC3" s="97"/>
      <c r="BD3" s="97"/>
      <c r="BE3" s="97"/>
      <c r="BF3" s="97"/>
      <c r="BG3" s="97"/>
    </row>
    <row r="4" spans="2:59" x14ac:dyDescent="0.25">
      <c r="B4" s="54"/>
      <c r="C4" s="42"/>
      <c r="D4" s="42"/>
      <c r="E4" s="42"/>
      <c r="F4" s="42"/>
      <c r="G4" s="42"/>
      <c r="H4" s="72"/>
      <c r="I4" s="72"/>
      <c r="J4" s="72"/>
      <c r="K4" s="42"/>
      <c r="L4" s="42"/>
      <c r="M4" s="42"/>
      <c r="N4" s="42"/>
      <c r="O4" s="42"/>
      <c r="P4" s="42"/>
      <c r="Q4" s="72"/>
      <c r="R4" s="72"/>
      <c r="S4" s="72"/>
      <c r="T4" s="42"/>
      <c r="U4" s="42"/>
      <c r="V4" s="42"/>
      <c r="W4" s="42"/>
      <c r="X4" s="42"/>
      <c r="Y4" s="42"/>
      <c r="Z4" s="72"/>
      <c r="AA4" s="72"/>
      <c r="AB4" s="72"/>
      <c r="AC4" s="42"/>
      <c r="AD4" s="42"/>
      <c r="AE4" s="42"/>
      <c r="AF4" s="42"/>
      <c r="AG4" s="42"/>
      <c r="AH4" s="42"/>
      <c r="AI4" s="72"/>
      <c r="AJ4" s="72"/>
      <c r="AK4" s="72"/>
      <c r="AL4" s="42"/>
      <c r="AM4" s="42"/>
      <c r="AN4" s="42"/>
      <c r="AO4" s="42"/>
      <c r="AP4" s="42"/>
      <c r="AQ4" s="42"/>
      <c r="AR4" s="72"/>
      <c r="AS4" s="72"/>
      <c r="AT4" s="72"/>
      <c r="AU4" s="42"/>
      <c r="AV4" s="73"/>
      <c r="AZ4" s="101" t="s">
        <v>117</v>
      </c>
      <c r="BA4" s="42"/>
      <c r="BB4" s="42"/>
      <c r="BC4" s="42"/>
      <c r="BD4" s="42"/>
      <c r="BE4" s="42"/>
      <c r="BF4" s="42"/>
      <c r="BG4" s="42"/>
    </row>
    <row r="5" spans="2:59" x14ac:dyDescent="0.25">
      <c r="B5" s="55"/>
      <c r="D5"/>
      <c r="E5"/>
      <c r="F5"/>
      <c r="G5"/>
      <c r="M5"/>
      <c r="N5"/>
      <c r="O5"/>
      <c r="P5"/>
      <c r="V5"/>
      <c r="W5"/>
      <c r="X5"/>
      <c r="Y5"/>
      <c r="AE5"/>
      <c r="AF5"/>
      <c r="AG5"/>
      <c r="AH5"/>
      <c r="AN5"/>
      <c r="AO5"/>
      <c r="AP5"/>
      <c r="AQ5"/>
      <c r="AV5" s="74"/>
    </row>
    <row r="6" spans="2:59" x14ac:dyDescent="0.25">
      <c r="B6" s="55"/>
      <c r="D6"/>
      <c r="E6"/>
      <c r="F6"/>
      <c r="G6"/>
      <c r="M6"/>
      <c r="N6"/>
      <c r="O6"/>
      <c r="P6"/>
      <c r="V6"/>
      <c r="W6"/>
      <c r="X6"/>
      <c r="Y6"/>
      <c r="AE6"/>
      <c r="AF6"/>
      <c r="AG6"/>
      <c r="AH6"/>
      <c r="AN6"/>
      <c r="AO6"/>
      <c r="AP6"/>
      <c r="AQ6"/>
      <c r="AV6" s="1"/>
    </row>
    <row r="7" spans="2:59" x14ac:dyDescent="0.25">
      <c r="B7" s="55"/>
      <c r="D7"/>
      <c r="E7"/>
      <c r="F7"/>
      <c r="G7"/>
      <c r="M7"/>
      <c r="N7"/>
      <c r="O7"/>
      <c r="P7"/>
      <c r="V7"/>
      <c r="W7"/>
      <c r="X7"/>
      <c r="Y7"/>
      <c r="AE7"/>
      <c r="AF7"/>
      <c r="AG7"/>
      <c r="AH7"/>
      <c r="AN7"/>
      <c r="AO7"/>
      <c r="AP7"/>
      <c r="AQ7"/>
      <c r="AV7" s="1"/>
    </row>
    <row r="8" spans="2:59" x14ac:dyDescent="0.25">
      <c r="B8" s="55"/>
      <c r="D8"/>
      <c r="E8"/>
      <c r="F8"/>
      <c r="G8"/>
      <c r="M8"/>
      <c r="N8"/>
      <c r="O8"/>
      <c r="P8"/>
      <c r="V8"/>
      <c r="W8"/>
      <c r="X8"/>
      <c r="Y8"/>
      <c r="AE8"/>
      <c r="AF8"/>
      <c r="AG8"/>
      <c r="AH8"/>
      <c r="AN8"/>
      <c r="AO8"/>
      <c r="AP8"/>
      <c r="AQ8"/>
      <c r="AV8" s="1"/>
    </row>
    <row r="9" spans="2:59" x14ac:dyDescent="0.25">
      <c r="B9" s="55"/>
      <c r="D9"/>
      <c r="E9"/>
      <c r="F9"/>
      <c r="G9"/>
      <c r="M9"/>
      <c r="N9"/>
      <c r="O9"/>
      <c r="P9"/>
      <c r="V9"/>
      <c r="W9"/>
      <c r="X9"/>
      <c r="Y9"/>
      <c r="AE9"/>
      <c r="AF9"/>
      <c r="AG9"/>
      <c r="AH9"/>
      <c r="AN9"/>
      <c r="AO9"/>
      <c r="AP9"/>
      <c r="AQ9"/>
      <c r="AV9" s="1"/>
    </row>
    <row r="10" spans="2:59" x14ac:dyDescent="0.25">
      <c r="B10" s="55"/>
      <c r="D10"/>
      <c r="E10"/>
      <c r="F10"/>
      <c r="G10"/>
      <c r="M10"/>
      <c r="N10"/>
      <c r="O10"/>
      <c r="P10"/>
      <c r="V10"/>
      <c r="W10"/>
      <c r="X10"/>
      <c r="Y10"/>
      <c r="AE10"/>
      <c r="AF10"/>
      <c r="AG10"/>
      <c r="AH10"/>
      <c r="AN10"/>
      <c r="AO10"/>
      <c r="AP10"/>
      <c r="AQ10"/>
      <c r="AV10" s="1"/>
    </row>
    <row r="11" spans="2:59" x14ac:dyDescent="0.25">
      <c r="B11" s="55"/>
      <c r="D11"/>
      <c r="E11"/>
      <c r="F11"/>
      <c r="G11"/>
      <c r="M11"/>
      <c r="N11"/>
      <c r="O11"/>
      <c r="P11"/>
      <c r="V11"/>
      <c r="W11"/>
      <c r="X11"/>
      <c r="Y11"/>
      <c r="AE11"/>
      <c r="AF11"/>
      <c r="AG11"/>
      <c r="AH11"/>
      <c r="AN11"/>
      <c r="AO11"/>
      <c r="AP11"/>
      <c r="AQ11"/>
      <c r="AV11" s="1"/>
    </row>
    <row r="12" spans="2:59" x14ac:dyDescent="0.25">
      <c r="B12" s="55"/>
      <c r="D12"/>
      <c r="E12"/>
      <c r="F12"/>
      <c r="G12"/>
      <c r="M12"/>
      <c r="N12"/>
      <c r="O12"/>
      <c r="P12"/>
      <c r="V12"/>
      <c r="W12"/>
      <c r="X12"/>
      <c r="Y12"/>
      <c r="AE12"/>
      <c r="AF12"/>
      <c r="AG12"/>
      <c r="AH12"/>
      <c r="AN12"/>
      <c r="AO12"/>
      <c r="AP12"/>
      <c r="AQ12"/>
      <c r="AV12" s="1"/>
    </row>
    <row r="13" spans="2:59" x14ac:dyDescent="0.25">
      <c r="B13" s="55"/>
      <c r="D13"/>
      <c r="E13"/>
      <c r="F13"/>
      <c r="G13"/>
      <c r="M13"/>
      <c r="N13"/>
      <c r="O13"/>
      <c r="P13"/>
      <c r="V13"/>
      <c r="W13"/>
      <c r="X13"/>
      <c r="Y13"/>
      <c r="AE13"/>
      <c r="AF13"/>
      <c r="AG13"/>
      <c r="AH13"/>
      <c r="AN13"/>
      <c r="AO13"/>
      <c r="AP13"/>
      <c r="AQ13"/>
      <c r="AV13" s="1"/>
    </row>
    <row r="14" spans="2:59" x14ac:dyDescent="0.25">
      <c r="B14" s="55"/>
      <c r="D14"/>
      <c r="E14"/>
      <c r="F14"/>
      <c r="G14"/>
      <c r="M14"/>
      <c r="N14"/>
      <c r="O14"/>
      <c r="P14"/>
      <c r="V14"/>
      <c r="W14"/>
      <c r="X14"/>
      <c r="Y14"/>
      <c r="AE14"/>
      <c r="AF14"/>
      <c r="AG14"/>
      <c r="AH14"/>
      <c r="AN14"/>
      <c r="AO14"/>
      <c r="AP14"/>
      <c r="AQ14"/>
      <c r="AV14" s="1"/>
    </row>
    <row r="15" spans="2:59" x14ac:dyDescent="0.25">
      <c r="B15" s="55"/>
      <c r="D15"/>
      <c r="E15"/>
      <c r="F15"/>
      <c r="G15"/>
      <c r="M15"/>
      <c r="N15"/>
      <c r="O15"/>
      <c r="P15"/>
      <c r="V15"/>
      <c r="W15"/>
      <c r="X15"/>
      <c r="Y15"/>
      <c r="AE15"/>
      <c r="AF15"/>
      <c r="AG15"/>
      <c r="AH15"/>
      <c r="AN15"/>
      <c r="AO15"/>
      <c r="AP15"/>
      <c r="AQ15"/>
      <c r="AV15" s="1"/>
    </row>
    <row r="16" spans="2:59" x14ac:dyDescent="0.25">
      <c r="B16" s="55"/>
      <c r="D16"/>
      <c r="E16"/>
      <c r="F16"/>
      <c r="G16"/>
      <c r="M16"/>
      <c r="N16"/>
      <c r="O16"/>
      <c r="P16"/>
      <c r="V16"/>
      <c r="W16"/>
      <c r="X16"/>
      <c r="Y16"/>
      <c r="AE16"/>
      <c r="AF16"/>
      <c r="AG16"/>
      <c r="AH16"/>
      <c r="AN16"/>
      <c r="AO16"/>
      <c r="AP16"/>
      <c r="AQ16"/>
      <c r="AV16" s="1"/>
    </row>
    <row r="17" spans="2:53" x14ac:dyDescent="0.25">
      <c r="B17" s="55"/>
      <c r="D17"/>
      <c r="E17"/>
      <c r="F17"/>
      <c r="G17"/>
      <c r="M17"/>
      <c r="N17"/>
      <c r="O17"/>
      <c r="P17"/>
      <c r="V17"/>
      <c r="W17"/>
      <c r="X17"/>
      <c r="Y17"/>
      <c r="AE17"/>
      <c r="AF17"/>
      <c r="AG17"/>
      <c r="AH17"/>
      <c r="AN17"/>
      <c r="AO17"/>
      <c r="AP17"/>
      <c r="AQ17"/>
      <c r="AV17" s="1"/>
    </row>
    <row r="18" spans="2:53" x14ac:dyDescent="0.25">
      <c r="B18" s="55"/>
      <c r="D18"/>
      <c r="E18"/>
      <c r="F18"/>
      <c r="G18"/>
      <c r="M18"/>
      <c r="N18"/>
      <c r="O18"/>
      <c r="P18"/>
      <c r="V18"/>
      <c r="W18"/>
      <c r="X18"/>
      <c r="Y18"/>
      <c r="AE18"/>
      <c r="AF18"/>
      <c r="AG18"/>
      <c r="AH18"/>
      <c r="AN18"/>
      <c r="AO18"/>
      <c r="AP18"/>
      <c r="AQ18"/>
      <c r="AV18" s="1"/>
    </row>
    <row r="19" spans="2:53" x14ac:dyDescent="0.25">
      <c r="B19" s="55"/>
      <c r="D19"/>
      <c r="E19"/>
      <c r="F19"/>
      <c r="G19"/>
      <c r="M19"/>
      <c r="N19"/>
      <c r="O19"/>
      <c r="P19"/>
      <c r="V19"/>
      <c r="W19"/>
      <c r="X19"/>
      <c r="Y19"/>
      <c r="AE19"/>
      <c r="AF19"/>
      <c r="AG19"/>
      <c r="AH19"/>
      <c r="AN19"/>
      <c r="AO19"/>
      <c r="AP19"/>
      <c r="AQ19"/>
      <c r="AV19" s="1"/>
    </row>
    <row r="20" spans="2:53" x14ac:dyDescent="0.25">
      <c r="B20" s="55"/>
      <c r="D20"/>
      <c r="E20"/>
      <c r="F20"/>
      <c r="G20"/>
      <c r="M20"/>
      <c r="N20"/>
      <c r="O20"/>
      <c r="P20"/>
      <c r="V20"/>
      <c r="W20"/>
      <c r="X20"/>
      <c r="Y20"/>
      <c r="AE20"/>
      <c r="AF20"/>
      <c r="AG20"/>
      <c r="AH20"/>
      <c r="AN20"/>
      <c r="AO20"/>
      <c r="AP20"/>
      <c r="AQ20"/>
      <c r="AV20" s="1"/>
    </row>
    <row r="21" spans="2:53" x14ac:dyDescent="0.25">
      <c r="B21" s="55"/>
      <c r="D21"/>
      <c r="E21"/>
      <c r="F21"/>
      <c r="G21"/>
      <c r="M21"/>
      <c r="N21"/>
      <c r="O21"/>
      <c r="P21"/>
      <c r="V21"/>
      <c r="W21"/>
      <c r="X21"/>
      <c r="Y21"/>
      <c r="AE21"/>
      <c r="AF21"/>
      <c r="AG21"/>
      <c r="AH21"/>
      <c r="AN21"/>
      <c r="AO21"/>
      <c r="AP21"/>
      <c r="AQ21"/>
      <c r="AV21" s="1"/>
    </row>
    <row r="22" spans="2:53" x14ac:dyDescent="0.25">
      <c r="B22" s="55"/>
      <c r="D22"/>
      <c r="E22"/>
      <c r="F22"/>
      <c r="G22"/>
      <c r="M22"/>
      <c r="N22"/>
      <c r="O22"/>
      <c r="P22"/>
      <c r="V22"/>
      <c r="W22"/>
      <c r="X22"/>
      <c r="Y22"/>
      <c r="AE22"/>
      <c r="AF22"/>
      <c r="AG22"/>
      <c r="AH22"/>
      <c r="AN22"/>
      <c r="AO22"/>
      <c r="AP22"/>
      <c r="AQ22"/>
      <c r="AV22" s="1"/>
    </row>
    <row r="23" spans="2:53" x14ac:dyDescent="0.25">
      <c r="B23" s="55"/>
      <c r="D23"/>
      <c r="E23"/>
      <c r="F23"/>
      <c r="G23"/>
      <c r="M23"/>
      <c r="N23"/>
      <c r="O23"/>
      <c r="P23"/>
      <c r="V23"/>
      <c r="W23"/>
      <c r="X23"/>
      <c r="Y23"/>
      <c r="AE23"/>
      <c r="AF23"/>
      <c r="AG23"/>
      <c r="AH23"/>
      <c r="AN23"/>
      <c r="AO23"/>
      <c r="AP23"/>
      <c r="AQ23"/>
      <c r="AV23" s="1"/>
    </row>
    <row r="24" spans="2:53" x14ac:dyDescent="0.25">
      <c r="B24" s="55"/>
      <c r="D24"/>
      <c r="E24"/>
      <c r="F24"/>
      <c r="G24"/>
      <c r="M24"/>
      <c r="N24"/>
      <c r="O24"/>
      <c r="P24"/>
      <c r="V24"/>
      <c r="W24"/>
      <c r="X24"/>
      <c r="Y24"/>
      <c r="AE24"/>
      <c r="AF24"/>
      <c r="AG24"/>
      <c r="AH24"/>
      <c r="AN24"/>
      <c r="AO24"/>
      <c r="AP24"/>
      <c r="AQ24"/>
      <c r="AV24" s="1"/>
    </row>
    <row r="25" spans="2:53" x14ac:dyDescent="0.25">
      <c r="B25" s="55"/>
      <c r="D25"/>
      <c r="E25"/>
      <c r="F25"/>
      <c r="G25"/>
      <c r="M25"/>
      <c r="N25"/>
      <c r="O25"/>
      <c r="P25"/>
      <c r="V25"/>
      <c r="W25"/>
      <c r="X25"/>
      <c r="Y25"/>
      <c r="AE25"/>
      <c r="AF25"/>
      <c r="AG25"/>
      <c r="AH25"/>
      <c r="AN25"/>
      <c r="AO25"/>
      <c r="AP25"/>
      <c r="AQ25"/>
      <c r="AV25" s="1"/>
    </row>
    <row r="26" spans="2:53" x14ac:dyDescent="0.25">
      <c r="B26" s="55"/>
      <c r="D26"/>
      <c r="E26"/>
      <c r="F26"/>
      <c r="G26"/>
      <c r="M26"/>
      <c r="N26"/>
      <c r="O26"/>
      <c r="P26"/>
      <c r="V26"/>
      <c r="W26"/>
      <c r="X26"/>
      <c r="Y26"/>
      <c r="AE26"/>
      <c r="AF26"/>
      <c r="AG26"/>
      <c r="AH26"/>
      <c r="AN26"/>
      <c r="AO26"/>
      <c r="AP26"/>
      <c r="AQ26"/>
      <c r="AV26" s="1"/>
    </row>
    <row r="27" spans="2:53" x14ac:dyDescent="0.25">
      <c r="B27" s="55"/>
      <c r="D27"/>
      <c r="E27"/>
      <c r="F27"/>
      <c r="G27"/>
      <c r="M27"/>
      <c r="N27"/>
      <c r="O27"/>
      <c r="P27"/>
      <c r="V27"/>
      <c r="W27"/>
      <c r="X27"/>
      <c r="Y27"/>
      <c r="AE27"/>
      <c r="AF27"/>
      <c r="AG27"/>
      <c r="AH27"/>
      <c r="AN27"/>
      <c r="AO27"/>
      <c r="AP27"/>
      <c r="AQ27"/>
      <c r="AV27" s="1"/>
    </row>
    <row r="28" spans="2:53" x14ac:dyDescent="0.25">
      <c r="B28" s="55"/>
      <c r="D28"/>
      <c r="E28"/>
      <c r="F28"/>
      <c r="G28"/>
      <c r="M28"/>
      <c r="N28"/>
      <c r="O28"/>
      <c r="P28"/>
      <c r="V28"/>
      <c r="W28"/>
      <c r="X28"/>
      <c r="Y28"/>
      <c r="AE28"/>
      <c r="AF28"/>
      <c r="AG28"/>
      <c r="AH28"/>
      <c r="AN28"/>
      <c r="AO28"/>
      <c r="AP28"/>
      <c r="AQ28"/>
      <c r="AV28" s="1"/>
    </row>
    <row r="29" spans="2:53" x14ac:dyDescent="0.25">
      <c r="B29" s="55"/>
      <c r="D29"/>
      <c r="E29"/>
      <c r="F29"/>
      <c r="G29"/>
      <c r="M29"/>
      <c r="N29"/>
      <c r="O29"/>
      <c r="P29"/>
      <c r="V29"/>
      <c r="W29"/>
      <c r="X29"/>
      <c r="Y29"/>
      <c r="AE29"/>
      <c r="AF29"/>
      <c r="AG29"/>
      <c r="AH29"/>
      <c r="AN29"/>
      <c r="AO29"/>
      <c r="AP29"/>
      <c r="AQ29"/>
      <c r="AV29" s="1"/>
    </row>
    <row r="30" spans="2:53" x14ac:dyDescent="0.25">
      <c r="B30" s="55"/>
      <c r="D30"/>
      <c r="E30"/>
      <c r="F30"/>
      <c r="G30"/>
      <c r="M30"/>
      <c r="N30"/>
      <c r="O30"/>
      <c r="P30"/>
      <c r="V30"/>
      <c r="W30"/>
      <c r="X30"/>
      <c r="Y30"/>
      <c r="AE30"/>
      <c r="AF30"/>
      <c r="AG30"/>
      <c r="AH30"/>
      <c r="AN30"/>
      <c r="AO30"/>
      <c r="AP30"/>
      <c r="AQ30"/>
      <c r="AV30" s="1"/>
    </row>
    <row r="31" spans="2:53" x14ac:dyDescent="0.25">
      <c r="B31" s="55"/>
      <c r="D31"/>
      <c r="E31"/>
      <c r="F31"/>
      <c r="G31"/>
      <c r="M31"/>
      <c r="N31"/>
      <c r="O31"/>
      <c r="P31"/>
      <c r="V31"/>
      <c r="W31"/>
      <c r="X31"/>
      <c r="Y31"/>
      <c r="AE31"/>
      <c r="AF31"/>
      <c r="AG31"/>
      <c r="AH31"/>
      <c r="AN31"/>
      <c r="AO31"/>
      <c r="AP31"/>
      <c r="AQ31"/>
      <c r="AV31" s="1"/>
      <c r="AZ31" s="8" t="s">
        <v>114</v>
      </c>
    </row>
    <row r="32" spans="2:53" x14ac:dyDescent="0.25">
      <c r="B32" s="55"/>
      <c r="D32" s="91" t="s">
        <v>2</v>
      </c>
      <c r="E32" s="91"/>
      <c r="F32" s="91"/>
      <c r="G32" s="91"/>
      <c r="H32" s="91"/>
      <c r="I32" s="91"/>
      <c r="J32" s="91"/>
      <c r="K32" s="91"/>
      <c r="L32" s="91"/>
      <c r="M32" s="88" t="s">
        <v>81</v>
      </c>
      <c r="N32" s="88"/>
      <c r="O32" s="88"/>
      <c r="P32" s="88"/>
      <c r="Q32" s="88"/>
      <c r="R32" s="88"/>
      <c r="S32" s="88"/>
      <c r="T32" s="88"/>
      <c r="U32" s="88"/>
      <c r="V32" s="87" t="s">
        <v>80</v>
      </c>
      <c r="W32" s="87"/>
      <c r="X32" s="87"/>
      <c r="Y32" s="87"/>
      <c r="Z32" s="87"/>
      <c r="AA32" s="87"/>
      <c r="AB32" s="87"/>
      <c r="AC32" s="87"/>
      <c r="AD32" s="87"/>
      <c r="AE32" s="86" t="s">
        <v>79</v>
      </c>
      <c r="AF32" s="86"/>
      <c r="AG32" s="86"/>
      <c r="AH32" s="86"/>
      <c r="AI32" s="86"/>
      <c r="AJ32" s="86"/>
      <c r="AK32" s="86"/>
      <c r="AL32" s="86"/>
      <c r="AM32" s="86"/>
      <c r="AN32" s="84" t="s">
        <v>3</v>
      </c>
      <c r="AO32" s="84"/>
      <c r="AP32" s="84"/>
      <c r="AQ32" s="84"/>
      <c r="AR32" s="84"/>
      <c r="AS32" s="84"/>
      <c r="AT32" s="84"/>
      <c r="AU32" s="84"/>
      <c r="AV32" s="84"/>
      <c r="AZ32" s="95">
        <v>4</v>
      </c>
      <c r="BA32" s="8" t="s">
        <v>118</v>
      </c>
    </row>
    <row r="33" spans="2:48" x14ac:dyDescent="0.25">
      <c r="B33" s="55"/>
      <c r="D33" s="79" t="s">
        <v>69</v>
      </c>
      <c r="E33" s="79" t="s">
        <v>72</v>
      </c>
      <c r="F33"/>
      <c r="G33"/>
      <c r="M33" s="79" t="s">
        <v>69</v>
      </c>
      <c r="N33" s="79" t="s">
        <v>72</v>
      </c>
      <c r="O33"/>
      <c r="P33"/>
      <c r="V33" s="79" t="s">
        <v>69</v>
      </c>
      <c r="W33" s="79" t="s">
        <v>72</v>
      </c>
      <c r="X33"/>
      <c r="Y33"/>
      <c r="AE33" s="79" t="s">
        <v>69</v>
      </c>
      <c r="AF33" s="79" t="s">
        <v>72</v>
      </c>
      <c r="AG33"/>
      <c r="AH33"/>
      <c r="AN33" s="79" t="s">
        <v>69</v>
      </c>
      <c r="AO33" s="79" t="s">
        <v>72</v>
      </c>
      <c r="AP33"/>
      <c r="AQ33"/>
      <c r="AV33" s="74"/>
    </row>
    <row r="34" spans="2:48" x14ac:dyDescent="0.25">
      <c r="B34" s="55"/>
      <c r="D34" s="46"/>
      <c r="E34" s="46"/>
      <c r="F34"/>
      <c r="G34"/>
      <c r="M34" s="46"/>
      <c r="N34" s="46"/>
      <c r="O34"/>
      <c r="P34"/>
      <c r="V34" s="46"/>
      <c r="W34" s="46"/>
      <c r="X34"/>
      <c r="Y34"/>
      <c r="AE34" s="46"/>
      <c r="AF34" s="46"/>
      <c r="AG34"/>
      <c r="AH34"/>
      <c r="AN34" s="46"/>
      <c r="AO34" s="46"/>
      <c r="AP34"/>
      <c r="AQ34"/>
      <c r="AV34" s="74"/>
    </row>
    <row r="35" spans="2:48" x14ac:dyDescent="0.25">
      <c r="B35" s="57" t="s">
        <v>112</v>
      </c>
      <c r="C35" s="43"/>
      <c r="D35" s="48"/>
      <c r="E35" s="48"/>
      <c r="F35" s="48"/>
      <c r="G35" s="43"/>
      <c r="H35" s="75"/>
      <c r="I35" s="75"/>
      <c r="J35" s="75"/>
      <c r="K35" s="43"/>
      <c r="L35" s="43"/>
      <c r="M35" s="48"/>
      <c r="N35" s="48"/>
      <c r="O35" s="48"/>
      <c r="P35" s="43"/>
      <c r="Q35" s="75"/>
      <c r="R35" s="75"/>
      <c r="S35" s="75"/>
      <c r="T35" s="43"/>
      <c r="U35" s="43"/>
      <c r="V35" s="48"/>
      <c r="W35" s="48"/>
      <c r="X35" s="48"/>
      <c r="Y35" s="43"/>
      <c r="Z35" s="75"/>
      <c r="AA35" s="75"/>
      <c r="AB35" s="75"/>
      <c r="AC35" s="43"/>
      <c r="AD35" s="43"/>
      <c r="AE35" s="48"/>
      <c r="AF35" s="48"/>
      <c r="AG35" s="48"/>
      <c r="AH35" s="43"/>
      <c r="AI35" s="75"/>
      <c r="AJ35" s="75"/>
      <c r="AK35" s="75"/>
      <c r="AL35" s="43"/>
      <c r="AM35" s="43"/>
      <c r="AN35" s="48"/>
      <c r="AO35" s="48"/>
      <c r="AP35" s="48"/>
      <c r="AQ35" s="43"/>
      <c r="AR35" s="75"/>
      <c r="AS35" s="75"/>
      <c r="AT35" s="75"/>
      <c r="AU35" s="43"/>
      <c r="AV35" s="76"/>
    </row>
    <row r="36" spans="2:48" x14ac:dyDescent="0.25">
      <c r="B36" s="55"/>
      <c r="D36" s="46"/>
      <c r="E36" s="46"/>
      <c r="F36"/>
      <c r="G36"/>
      <c r="M36" s="46"/>
      <c r="N36" s="46"/>
      <c r="O36"/>
      <c r="P36"/>
      <c r="V36" s="46"/>
      <c r="W36" s="46"/>
      <c r="X36"/>
      <c r="Y36"/>
      <c r="AE36" s="46"/>
      <c r="AF36" s="46"/>
      <c r="AG36"/>
      <c r="AH36"/>
      <c r="AN36" s="46"/>
      <c r="AO36" s="46"/>
      <c r="AP36"/>
      <c r="AQ36"/>
      <c r="AV36" s="74"/>
    </row>
    <row r="37" spans="2:48" x14ac:dyDescent="0.25">
      <c r="B37" s="56" t="s">
        <v>8</v>
      </c>
      <c r="D37" s="51">
        <v>0.75</v>
      </c>
      <c r="E37" s="61">
        <f>D37</f>
        <v>0.75</v>
      </c>
      <c r="F37" s="46" t="s">
        <v>1</v>
      </c>
      <c r="G37"/>
      <c r="M37" s="51">
        <v>1.65</v>
      </c>
      <c r="N37" s="61">
        <f>M37</f>
        <v>1.65</v>
      </c>
      <c r="O37" s="46" t="s">
        <v>1</v>
      </c>
      <c r="P37"/>
      <c r="V37" s="51">
        <v>2.5</v>
      </c>
      <c r="W37" s="61">
        <f>V37</f>
        <v>2.5</v>
      </c>
      <c r="X37" s="46" t="s">
        <v>1</v>
      </c>
      <c r="Y37"/>
      <c r="AE37" s="51">
        <v>3.3</v>
      </c>
      <c r="AF37" s="61">
        <f>AE37</f>
        <v>3.3</v>
      </c>
      <c r="AG37" s="46" t="s">
        <v>1</v>
      </c>
      <c r="AH37"/>
      <c r="AN37" s="51">
        <v>2.5</v>
      </c>
      <c r="AO37" s="61">
        <f>AN37</f>
        <v>2.5</v>
      </c>
      <c r="AP37" s="46" t="s">
        <v>1</v>
      </c>
      <c r="AQ37"/>
      <c r="AV37" s="74"/>
    </row>
    <row r="38" spans="2:48" x14ac:dyDescent="0.25">
      <c r="B38" s="56" t="s">
        <v>46</v>
      </c>
      <c r="D38" s="61">
        <f>IF(ISNA(VLOOKUP(D$40,$B$56:$AX$206,COLUMNS($B:$AX),0)),$AX$56,VLOOKUP(D$40,$B$56:$AX$206,COLUMNS($B:$AX),0))/M_empty*3.6</f>
        <v>2.3179784751037345E-2</v>
      </c>
      <c r="E38" s="61">
        <f>IF(ISNA(VLOOKUP(E$40,$B$56:$AX$206,COLUMNS($B:$AX),0)),$AX$56,VLOOKUP(E$40,$B$56:$AX$206,COLUMNS($B:$AX),0))/M_empty*3.6</f>
        <v>2.3179784751037345E-2</v>
      </c>
      <c r="F38" s="46" t="s">
        <v>1</v>
      </c>
      <c r="G38"/>
      <c r="M38" s="61">
        <f>IF(ISNA(VLOOKUP(M$40,$B$56:$AX$206,COLUMNS($B:$AX),0)),$AX$56,VLOOKUP(M$40,$B$56:$AX$206,COLUMNS($B:$AX),0))/M_empty*3.6</f>
        <v>3.0728896524896264E-2</v>
      </c>
      <c r="N38" s="61">
        <f>IF(ISNA(VLOOKUP(N$40,$B$56:$AX$206,COLUMNS($B:$AX),0)),$AX$56,VLOOKUP(N$40,$B$56:$AX$206,COLUMNS($B:$AX),0))/M_empty*3.6</f>
        <v>3.0728896524896264E-2</v>
      </c>
      <c r="O38" s="46" t="s">
        <v>1</v>
      </c>
      <c r="P38"/>
      <c r="V38" s="61">
        <f>IF(ISNA(VLOOKUP(V$40,$B$56:$AX$206,COLUMNS($B:$AX),0)),$AX$56,VLOOKUP(V$40,$B$56:$AX$206,COLUMNS($B:$AX),0))/M_empty*3.6</f>
        <v>3.6753598288381747E-2</v>
      </c>
      <c r="W38" s="61">
        <f>IF(ISNA(VLOOKUP(W$40,$B$56:$AX$206,COLUMNS($B:$AX),0)),$AX$56,VLOOKUP(W$40,$B$56:$AX$206,COLUMNS($B:$AX),0))/M_empty*3.6</f>
        <v>3.6753598288381747E-2</v>
      </c>
      <c r="X38" s="46" t="s">
        <v>1</v>
      </c>
      <c r="Y38"/>
      <c r="AE38" s="61">
        <f>IF(ISNA(VLOOKUP(AE$40,$B$56:$AX$206,COLUMNS($B:$AX),0)),$AX$56,VLOOKUP(AE$40,$B$56:$AX$206,COLUMNS($B:$AX),0))/M_empty*3.6</f>
        <v>4.8007974585062237E-2</v>
      </c>
      <c r="AF38" s="61">
        <f>IF(ISNA(VLOOKUP(AF$40,$B$56:$AX$206,COLUMNS($B:$AX),0)),$AX$56,VLOOKUP(AF$40,$B$56:$AX$206,COLUMNS($B:$AX),0))/M_empty*3.6</f>
        <v>4.8007974585062237E-2</v>
      </c>
      <c r="AG38" s="46" t="s">
        <v>1</v>
      </c>
      <c r="AH38"/>
      <c r="AN38" s="61">
        <f>IF(ISNA(VLOOKUP(AN$40,$B$56:$AX$206,COLUMNS($B:$AX),0)),$AX$56,VLOOKUP(AN$40,$B$56:$AX$206,COLUMNS($B:$AX),0))/M_empty*3.6</f>
        <v>3.8795870072614105E-2</v>
      </c>
      <c r="AO38" s="61">
        <f>IF(ISNA(VLOOKUP(AO$40,$B$56:$AX$206,COLUMNS($B:$AX),0)),$AX$56,VLOOKUP(AO$40,$B$56:$AX$206,COLUMNS($B:$AX),0))/M_empty*3.6</f>
        <v>3.8795870072614105E-2</v>
      </c>
      <c r="AP38" s="46" t="s">
        <v>1</v>
      </c>
      <c r="AQ38"/>
      <c r="AV38" s="74"/>
    </row>
    <row r="39" spans="2:48" x14ac:dyDescent="0.25">
      <c r="B39" s="56" t="s">
        <v>67</v>
      </c>
      <c r="D39" s="47">
        <f>ROUNDUP((D37+D38)*M_empty/3.6,0)</f>
        <v>13251</v>
      </c>
      <c r="E39" s="47">
        <f>ROUNDUP((D37+D38)*M_full/3.6,0)</f>
        <v>21110</v>
      </c>
      <c r="F39" s="46" t="s">
        <v>7</v>
      </c>
      <c r="G39"/>
      <c r="M39" s="47">
        <f>ROUNDUP((M37+M38)*M_empty/3.6,0)</f>
        <v>28804</v>
      </c>
      <c r="N39" s="47">
        <f>ROUNDUP((M37+M38)*M_full/3.6,0)</f>
        <v>45889</v>
      </c>
      <c r="O39" s="46" t="s">
        <v>7</v>
      </c>
      <c r="P39"/>
      <c r="V39" s="47">
        <f>ROUNDUP((V37+V38)*M_empty/3.6,0)</f>
        <v>43475</v>
      </c>
      <c r="W39" s="47">
        <f>ROUNDUP((V37+V38)*M_full/3.6,0)</f>
        <v>69261</v>
      </c>
      <c r="X39" s="46" t="s">
        <v>7</v>
      </c>
      <c r="Y39"/>
      <c r="AE39" s="47">
        <f>ROUNDUP((AE37+AE38)*M_empty/3.6,0)</f>
        <v>57378</v>
      </c>
      <c r="AF39" s="47">
        <f>ROUNDUP((AE37+AE38)*M_full/3.6,0)</f>
        <v>91410</v>
      </c>
      <c r="AG39" s="46" t="s">
        <v>7</v>
      </c>
      <c r="AH39"/>
      <c r="AN39" s="47">
        <f>ROUNDUP((AN37+AN38)*M_empty/3.6,0)</f>
        <v>43510</v>
      </c>
      <c r="AO39" s="47">
        <f>ROUNDUP((AN37+AN38)*M_full/3.6,0)</f>
        <v>69316</v>
      </c>
      <c r="AP39" s="46" t="s">
        <v>7</v>
      </c>
      <c r="AQ39"/>
      <c r="AV39" s="74"/>
    </row>
    <row r="40" spans="2:48" x14ac:dyDescent="0.25">
      <c r="B40" s="56" t="s">
        <v>32</v>
      </c>
      <c r="D40" s="52">
        <v>8</v>
      </c>
      <c r="E40" s="47">
        <f>D40</f>
        <v>8</v>
      </c>
      <c r="F40" s="46" t="s">
        <v>4</v>
      </c>
      <c r="G40"/>
      <c r="M40" s="52">
        <v>25</v>
      </c>
      <c r="N40" s="47">
        <f>M40</f>
        <v>25</v>
      </c>
      <c r="O40" s="46" t="s">
        <v>4</v>
      </c>
      <c r="P40"/>
      <c r="V40" s="52">
        <v>35</v>
      </c>
      <c r="W40" s="47">
        <f>V40</f>
        <v>35</v>
      </c>
      <c r="X40" s="46" t="s">
        <v>4</v>
      </c>
      <c r="Y40"/>
      <c r="AE40" s="52">
        <v>50</v>
      </c>
      <c r="AF40" s="47">
        <f>AE40</f>
        <v>50</v>
      </c>
      <c r="AG40" s="46" t="s">
        <v>4</v>
      </c>
      <c r="AH40"/>
      <c r="AN40" s="52">
        <v>38</v>
      </c>
      <c r="AO40" s="47">
        <f>AN40</f>
        <v>38</v>
      </c>
      <c r="AP40" s="46" t="s">
        <v>4</v>
      </c>
      <c r="AQ40"/>
      <c r="AV40" s="74"/>
    </row>
    <row r="41" spans="2:48" x14ac:dyDescent="0.25">
      <c r="B41" s="56" t="s">
        <v>71</v>
      </c>
      <c r="D41" s="47">
        <f>$V41*D39/$V$39</f>
        <v>27.431627372052905</v>
      </c>
      <c r="E41" s="47">
        <f>D41*E39/D39</f>
        <v>43.700977573317999</v>
      </c>
      <c r="F41" s="46" t="s">
        <v>5</v>
      </c>
      <c r="G41"/>
      <c r="M41" s="47">
        <f>$V41*M39/$V$39</f>
        <v>59.628752156411728</v>
      </c>
      <c r="N41" s="47">
        <f>M41*N39/M39</f>
        <v>94.997354801610115</v>
      </c>
      <c r="O41" s="46" t="s">
        <v>5</v>
      </c>
      <c r="P41"/>
      <c r="V41" s="53">
        <v>90</v>
      </c>
      <c r="W41" s="47">
        <f>V41*W39/V39</f>
        <v>143.38102357676826</v>
      </c>
      <c r="X41" s="46" t="s">
        <v>5</v>
      </c>
      <c r="Y41"/>
      <c r="AE41" s="47">
        <f>$V41*AE39/$V$39</f>
        <v>118.7813686026452</v>
      </c>
      <c r="AF41" s="47">
        <f>AE41*AF39/AE39</f>
        <v>189.23289246693503</v>
      </c>
      <c r="AG41" s="46" t="s">
        <v>5</v>
      </c>
      <c r="AH41"/>
      <c r="AN41" s="47">
        <f>$V41*AN39/$V$39</f>
        <v>90.072455434157561</v>
      </c>
      <c r="AO41" s="47">
        <f>AN41*AO39/AN39</f>
        <v>143.49488211615869</v>
      </c>
      <c r="AP41" s="46" t="s">
        <v>5</v>
      </c>
      <c r="AQ41"/>
      <c r="AV41" s="74"/>
    </row>
    <row r="42" spans="2:48" x14ac:dyDescent="0.25">
      <c r="B42" s="55"/>
      <c r="D42" s="46"/>
      <c r="E42" s="46"/>
      <c r="F42" s="46"/>
      <c r="G42"/>
      <c r="M42" s="46"/>
      <c r="N42" s="46"/>
      <c r="O42" s="46"/>
      <c r="P42"/>
      <c r="V42" s="46"/>
      <c r="W42" s="46"/>
      <c r="X42" s="46"/>
      <c r="Y42"/>
      <c r="AE42" s="46"/>
      <c r="AF42" s="46"/>
      <c r="AG42" s="46"/>
      <c r="AH42"/>
      <c r="AN42" s="46"/>
      <c r="AO42" s="46"/>
      <c r="AP42" s="46"/>
      <c r="AQ42"/>
      <c r="AV42" s="74"/>
    </row>
    <row r="43" spans="2:48" x14ac:dyDescent="0.25">
      <c r="B43" s="57" t="s">
        <v>115</v>
      </c>
      <c r="C43" s="43"/>
      <c r="D43" s="48"/>
      <c r="E43" s="48"/>
      <c r="F43" s="48"/>
      <c r="G43" s="43"/>
      <c r="H43" s="75"/>
      <c r="I43" s="75"/>
      <c r="J43" s="75"/>
      <c r="K43" s="43"/>
      <c r="L43" s="43"/>
      <c r="M43" s="48"/>
      <c r="N43" s="48"/>
      <c r="O43" s="48"/>
      <c r="P43" s="43"/>
      <c r="Q43" s="75"/>
      <c r="R43" s="75"/>
      <c r="S43" s="75"/>
      <c r="T43" s="43"/>
      <c r="U43" s="43"/>
      <c r="V43" s="48"/>
      <c r="W43" s="48"/>
      <c r="X43" s="48"/>
      <c r="Y43" s="43"/>
      <c r="Z43" s="75"/>
      <c r="AA43" s="75"/>
      <c r="AB43" s="75"/>
      <c r="AC43" s="43"/>
      <c r="AD43" s="43"/>
      <c r="AE43" s="48"/>
      <c r="AF43" s="48"/>
      <c r="AG43" s="48"/>
      <c r="AH43" s="43"/>
      <c r="AI43" s="75"/>
      <c r="AJ43" s="75"/>
      <c r="AK43" s="75"/>
      <c r="AL43" s="43"/>
      <c r="AM43" s="43"/>
      <c r="AN43" s="48"/>
      <c r="AO43" s="48"/>
      <c r="AP43" s="48"/>
      <c r="AQ43" s="43"/>
      <c r="AR43" s="75"/>
      <c r="AS43" s="75"/>
      <c r="AT43" s="75"/>
      <c r="AU43" s="43"/>
      <c r="AV43" s="76"/>
    </row>
    <row r="44" spans="2:48" x14ac:dyDescent="0.25">
      <c r="B44" s="55"/>
      <c r="D44" s="46"/>
      <c r="E44" s="46"/>
      <c r="F44" s="46"/>
      <c r="G44"/>
      <c r="M44" s="46"/>
      <c r="N44" s="46"/>
      <c r="O44" s="46"/>
      <c r="P44"/>
      <c r="V44" s="46"/>
      <c r="W44" s="46"/>
      <c r="X44" s="46"/>
      <c r="Y44"/>
      <c r="AE44" s="46"/>
      <c r="AF44" s="46"/>
      <c r="AG44" s="46"/>
      <c r="AH44"/>
      <c r="AN44" s="46"/>
      <c r="AO44" s="46"/>
      <c r="AP44" s="46"/>
      <c r="AQ44"/>
      <c r="AV44" s="74"/>
    </row>
    <row r="45" spans="2:48" x14ac:dyDescent="0.25">
      <c r="B45" s="56" t="s">
        <v>32</v>
      </c>
      <c r="D45"/>
      <c r="E45" s="52">
        <v>5</v>
      </c>
      <c r="F45" s="46" t="s">
        <v>4</v>
      </c>
      <c r="G45"/>
      <c r="M45"/>
      <c r="N45" s="52">
        <v>18</v>
      </c>
      <c r="O45" s="46" t="s">
        <v>4</v>
      </c>
      <c r="P45"/>
      <c r="V45"/>
      <c r="W45" s="52">
        <v>38</v>
      </c>
      <c r="X45" s="46" t="s">
        <v>4</v>
      </c>
      <c r="Y45"/>
      <c r="AE45"/>
      <c r="AF45" s="52">
        <v>48</v>
      </c>
      <c r="AG45" s="46" t="s">
        <v>4</v>
      </c>
      <c r="AH45"/>
      <c r="AN45"/>
      <c r="AO45" s="52">
        <v>46</v>
      </c>
      <c r="AP45" s="46" t="s">
        <v>4</v>
      </c>
      <c r="AQ45"/>
      <c r="AV45" s="74"/>
    </row>
    <row r="46" spans="2:48" x14ac:dyDescent="0.25">
      <c r="B46" s="56" t="s">
        <v>113</v>
      </c>
      <c r="D46" s="80">
        <v>0.99</v>
      </c>
      <c r="E46" s="49"/>
      <c r="F46" s="50"/>
      <c r="G46"/>
      <c r="M46" s="80">
        <v>0.99</v>
      </c>
      <c r="N46" s="49"/>
      <c r="O46" s="50"/>
      <c r="P46"/>
      <c r="V46" s="80">
        <v>0.99</v>
      </c>
      <c r="W46" s="49"/>
      <c r="X46" s="50"/>
      <c r="Y46"/>
      <c r="AE46" s="80">
        <v>0.99</v>
      </c>
      <c r="AF46" s="49"/>
      <c r="AG46" s="50"/>
      <c r="AH46"/>
      <c r="AN46" s="80">
        <v>0.99</v>
      </c>
      <c r="AO46" s="49"/>
      <c r="AP46" s="96" t="s">
        <v>116</v>
      </c>
      <c r="AQ46"/>
      <c r="AV46" s="74"/>
    </row>
    <row r="47" spans="2:48" x14ac:dyDescent="0.25">
      <c r="B47" s="56" t="s">
        <v>33</v>
      </c>
      <c r="D47"/>
      <c r="E47" s="81">
        <v>2.5</v>
      </c>
      <c r="F47" s="46" t="s">
        <v>6</v>
      </c>
      <c r="G47"/>
      <c r="M47"/>
      <c r="N47" s="81">
        <v>1.58</v>
      </c>
      <c r="O47" s="46" t="s">
        <v>6</v>
      </c>
      <c r="P47"/>
      <c r="V47"/>
      <c r="W47" s="81">
        <v>2</v>
      </c>
      <c r="X47" s="46" t="s">
        <v>6</v>
      </c>
      <c r="Y47"/>
      <c r="AE47"/>
      <c r="AF47" s="81">
        <v>1.8116549786266773</v>
      </c>
      <c r="AG47" s="46" t="s">
        <v>6</v>
      </c>
      <c r="AH47"/>
      <c r="AN47"/>
      <c r="AO47" s="81">
        <v>1.8116549786266773</v>
      </c>
      <c r="AP47" s="46" t="s">
        <v>6</v>
      </c>
      <c r="AQ47"/>
      <c r="AV47" s="74"/>
    </row>
    <row r="48" spans="2:48" ht="15.6" thickBot="1" x14ac:dyDescent="0.3">
      <c r="B48" s="58"/>
      <c r="C48" s="59"/>
      <c r="D48" s="59"/>
      <c r="E48" s="59"/>
      <c r="F48" s="59"/>
      <c r="G48" s="59"/>
      <c r="H48" s="77"/>
      <c r="I48" s="77"/>
      <c r="J48" s="77"/>
      <c r="K48" s="59"/>
      <c r="L48" s="59"/>
      <c r="M48" s="59"/>
      <c r="N48" s="59"/>
      <c r="O48" s="59"/>
      <c r="P48" s="59"/>
      <c r="Q48" s="77"/>
      <c r="R48" s="77"/>
      <c r="S48" s="77"/>
      <c r="T48" s="59"/>
      <c r="U48" s="59"/>
      <c r="V48" s="59"/>
      <c r="W48" s="59"/>
      <c r="X48" s="59"/>
      <c r="Y48" s="59"/>
      <c r="Z48" s="77"/>
      <c r="AA48" s="77"/>
      <c r="AB48" s="77"/>
      <c r="AC48" s="59"/>
      <c r="AD48" s="59"/>
      <c r="AE48" s="59"/>
      <c r="AF48" s="59"/>
      <c r="AG48" s="59"/>
      <c r="AH48" s="59"/>
      <c r="AI48" s="77"/>
      <c r="AJ48" s="77"/>
      <c r="AK48" s="77"/>
      <c r="AL48" s="59"/>
      <c r="AM48" s="59"/>
      <c r="AN48" s="59"/>
      <c r="AO48" s="59"/>
      <c r="AP48" s="59"/>
      <c r="AQ48" s="59"/>
      <c r="AR48" s="77"/>
      <c r="AS48" s="77"/>
      <c r="AT48" s="77"/>
      <c r="AU48" s="59"/>
      <c r="AV48" s="78"/>
    </row>
    <row r="49" spans="1:59" s="68" customFormat="1" ht="10.8" thickTop="1" x14ac:dyDescent="0.25">
      <c r="D49" s="1"/>
      <c r="E49" s="1"/>
      <c r="F49" s="1"/>
      <c r="G49" s="1"/>
      <c r="H49" s="1"/>
      <c r="I49" s="1"/>
      <c r="J49" s="1"/>
      <c r="M49" s="1"/>
      <c r="N49" s="1"/>
      <c r="O49" s="1"/>
      <c r="P49" s="1"/>
      <c r="Q49" s="1"/>
      <c r="R49" s="1"/>
      <c r="S49" s="1"/>
      <c r="V49" s="1"/>
      <c r="W49" s="1"/>
      <c r="X49" s="1"/>
      <c r="Y49" s="1"/>
      <c r="Z49" s="1"/>
      <c r="AA49" s="1"/>
      <c r="AB49" s="1"/>
      <c r="AE49" s="1"/>
      <c r="AF49" s="1"/>
      <c r="AG49" s="1"/>
      <c r="AH49" s="1"/>
      <c r="AI49" s="1"/>
      <c r="AJ49" s="1"/>
      <c r="AK49" s="1"/>
      <c r="AN49" s="1"/>
      <c r="AO49" s="1"/>
      <c r="AP49" s="1"/>
      <c r="AQ49" s="1"/>
      <c r="AR49" s="1"/>
      <c r="AS49" s="1"/>
      <c r="AT49" s="1"/>
      <c r="AZ49" s="97"/>
      <c r="BA49" s="97"/>
      <c r="BB49" s="97"/>
      <c r="BC49" s="97"/>
      <c r="BD49" s="97"/>
      <c r="BE49" s="97"/>
      <c r="BF49" s="97"/>
      <c r="BG49" s="97"/>
    </row>
    <row r="50" spans="1:59" x14ac:dyDescent="0.25">
      <c r="A50" s="1"/>
      <c r="B50" s="45" t="s">
        <v>34</v>
      </c>
      <c r="C50" s="8"/>
      <c r="D50" s="8"/>
      <c r="E50" s="8"/>
      <c r="F50" s="8"/>
      <c r="G50" s="8"/>
      <c r="H50" s="8"/>
      <c r="I50" s="8"/>
      <c r="J50" s="8"/>
      <c r="K50" s="8"/>
      <c r="L50" s="44"/>
      <c r="M50" s="8"/>
      <c r="N50" s="8"/>
      <c r="O50" s="8"/>
      <c r="P50" s="8"/>
      <c r="Q50" s="8"/>
      <c r="R50" s="8"/>
      <c r="S50" s="8"/>
      <c r="T50" s="8"/>
      <c r="U50" s="44"/>
      <c r="V50" s="8"/>
      <c r="W50" s="8"/>
      <c r="X50" s="8"/>
      <c r="Y50" s="8"/>
      <c r="Z50" s="8"/>
      <c r="AA50" s="8"/>
      <c r="AB50" s="8"/>
      <c r="AC50" s="8"/>
      <c r="AD50" s="44"/>
      <c r="AE50" s="8"/>
      <c r="AF50" s="8"/>
      <c r="AG50" s="8"/>
      <c r="AH50" s="8"/>
      <c r="AI50" s="8"/>
      <c r="AJ50" s="8"/>
      <c r="AK50" s="8"/>
      <c r="AL50" s="8"/>
      <c r="AM50" s="44"/>
      <c r="AN50" s="8"/>
      <c r="AO50" s="8"/>
      <c r="AP50" s="8"/>
      <c r="AQ50" s="8"/>
      <c r="AR50" s="8"/>
      <c r="AS50" s="8"/>
      <c r="AT50" s="8"/>
      <c r="AU50" s="8"/>
      <c r="AV50" s="44"/>
      <c r="AW50" s="8"/>
      <c r="AX50" s="8"/>
    </row>
    <row r="51" spans="1:59" ht="11.4" x14ac:dyDescent="0.25">
      <c r="A51" s="1"/>
    </row>
    <row r="52" spans="1:59" ht="12" x14ac:dyDescent="0.25">
      <c r="A52" s="7"/>
      <c r="B52" s="7"/>
      <c r="C52" s="1"/>
      <c r="D52" s="91" t="str">
        <f>D32</f>
        <v>1N</v>
      </c>
      <c r="E52" s="91"/>
      <c r="F52" s="91"/>
      <c r="G52" s="91"/>
      <c r="H52" s="91"/>
      <c r="I52" s="91"/>
      <c r="J52" s="91"/>
      <c r="K52" s="91"/>
      <c r="L52" s="91"/>
      <c r="M52" s="88" t="str">
        <f>M32</f>
        <v>2N</v>
      </c>
      <c r="N52" s="88"/>
      <c r="O52" s="88"/>
      <c r="P52" s="88"/>
      <c r="Q52" s="88"/>
      <c r="R52" s="88"/>
      <c r="S52" s="88"/>
      <c r="T52" s="88"/>
      <c r="U52" s="88"/>
      <c r="V52" s="87" t="str">
        <f>V32</f>
        <v>3N</v>
      </c>
      <c r="W52" s="87"/>
      <c r="X52" s="87"/>
      <c r="Y52" s="87"/>
      <c r="Z52" s="87"/>
      <c r="AA52" s="87"/>
      <c r="AB52" s="87"/>
      <c r="AC52" s="87"/>
      <c r="AD52" s="87"/>
      <c r="AE52" s="86" t="str">
        <f>AE32</f>
        <v>4N</v>
      </c>
      <c r="AF52" s="86"/>
      <c r="AG52" s="86"/>
      <c r="AH52" s="86"/>
      <c r="AI52" s="86"/>
      <c r="AJ52" s="86"/>
      <c r="AK52" s="86"/>
      <c r="AL52" s="86"/>
      <c r="AM52" s="86"/>
      <c r="AN52" s="84" t="str">
        <f>AN32</f>
        <v>5N</v>
      </c>
      <c r="AO52" s="84"/>
      <c r="AP52" s="84"/>
      <c r="AQ52" s="84"/>
      <c r="AR52" s="84"/>
      <c r="AS52" s="84"/>
      <c r="AT52" s="84"/>
      <c r="AU52" s="84"/>
      <c r="AV52" s="84"/>
      <c r="AW52" s="1"/>
      <c r="AX52" s="1"/>
    </row>
    <row r="53" spans="1:59" ht="11.4" x14ac:dyDescent="0.25">
      <c r="A53" s="7"/>
      <c r="B53" s="7"/>
      <c r="C53" s="1"/>
      <c r="F53" s="94" t="s">
        <v>99</v>
      </c>
      <c r="G53" s="94" t="s">
        <v>100</v>
      </c>
      <c r="H53" s="94"/>
      <c r="I53" s="94"/>
      <c r="J53" s="94"/>
      <c r="K53" s="94" t="s">
        <v>85</v>
      </c>
      <c r="L53" s="94" t="s">
        <v>86</v>
      </c>
      <c r="O53" s="94" t="s">
        <v>101</v>
      </c>
      <c r="P53" s="94" t="s">
        <v>102</v>
      </c>
      <c r="Q53" s="94"/>
      <c r="R53" s="94"/>
      <c r="S53" s="94"/>
      <c r="T53" s="94" t="s">
        <v>87</v>
      </c>
      <c r="U53" s="94" t="s">
        <v>88</v>
      </c>
      <c r="X53" s="94" t="s">
        <v>103</v>
      </c>
      <c r="Y53" s="94" t="s">
        <v>104</v>
      </c>
      <c r="Z53" s="94"/>
      <c r="AA53" s="94"/>
      <c r="AB53" s="94"/>
      <c r="AC53" s="94" t="s">
        <v>89</v>
      </c>
      <c r="AD53" s="94" t="s">
        <v>90</v>
      </c>
      <c r="AG53" s="94" t="s">
        <v>97</v>
      </c>
      <c r="AH53" s="94" t="s">
        <v>98</v>
      </c>
      <c r="AI53" s="94"/>
      <c r="AJ53" s="94"/>
      <c r="AK53" s="94"/>
      <c r="AL53" s="94" t="s">
        <v>91</v>
      </c>
      <c r="AM53" s="94" t="s">
        <v>92</v>
      </c>
      <c r="AP53" s="94" t="s">
        <v>95</v>
      </c>
      <c r="AQ53" s="94" t="s">
        <v>96</v>
      </c>
      <c r="AR53" s="82"/>
      <c r="AS53" s="82"/>
      <c r="AU53" s="94" t="s">
        <v>93</v>
      </c>
      <c r="AV53" s="94" t="s">
        <v>94</v>
      </c>
      <c r="AW53" s="1"/>
      <c r="AX53" s="1"/>
      <c r="AZ53" s="98" t="s">
        <v>75</v>
      </c>
      <c r="BA53" s="98" t="s">
        <v>76</v>
      </c>
      <c r="BB53" s="98" t="s">
        <v>73</v>
      </c>
      <c r="BC53" s="98" t="s">
        <v>74</v>
      </c>
    </row>
    <row r="54" spans="1:59" ht="11.4" x14ac:dyDescent="0.25">
      <c r="A54" s="7"/>
      <c r="B54" s="7"/>
      <c r="C54" s="63"/>
      <c r="D54" s="93" t="s">
        <v>83</v>
      </c>
      <c r="E54" s="93" t="s">
        <v>84</v>
      </c>
      <c r="F54" s="92" t="s">
        <v>75</v>
      </c>
      <c r="G54" s="92" t="s">
        <v>76</v>
      </c>
      <c r="H54" t="s">
        <v>77</v>
      </c>
      <c r="I54" t="s">
        <v>78</v>
      </c>
      <c r="J54" t="s">
        <v>68</v>
      </c>
      <c r="K54" t="s">
        <v>73</v>
      </c>
      <c r="L54" t="s">
        <v>74</v>
      </c>
      <c r="M54" s="93" t="s">
        <v>83</v>
      </c>
      <c r="N54" s="93" t="s">
        <v>84</v>
      </c>
      <c r="O54" s="92" t="s">
        <v>75</v>
      </c>
      <c r="P54" s="92" t="s">
        <v>76</v>
      </c>
      <c r="Q54" t="s">
        <v>77</v>
      </c>
      <c r="R54" t="s">
        <v>78</v>
      </c>
      <c r="S54" t="s">
        <v>68</v>
      </c>
      <c r="T54" t="s">
        <v>73</v>
      </c>
      <c r="U54" t="s">
        <v>74</v>
      </c>
      <c r="V54" s="93" t="s">
        <v>83</v>
      </c>
      <c r="W54" s="93" t="s">
        <v>84</v>
      </c>
      <c r="X54" s="92" t="s">
        <v>75</v>
      </c>
      <c r="Y54" s="92" t="s">
        <v>76</v>
      </c>
      <c r="Z54" t="s">
        <v>77</v>
      </c>
      <c r="AA54" t="s">
        <v>78</v>
      </c>
      <c r="AB54" t="s">
        <v>68</v>
      </c>
      <c r="AC54" t="s">
        <v>73</v>
      </c>
      <c r="AD54" t="s">
        <v>74</v>
      </c>
      <c r="AE54" s="93" t="s">
        <v>83</v>
      </c>
      <c r="AF54" s="93" t="s">
        <v>84</v>
      </c>
      <c r="AG54" s="92" t="s">
        <v>75</v>
      </c>
      <c r="AH54" s="92" t="s">
        <v>76</v>
      </c>
      <c r="AI54" t="s">
        <v>77</v>
      </c>
      <c r="AJ54" t="s">
        <v>78</v>
      </c>
      <c r="AK54" t="s">
        <v>68</v>
      </c>
      <c r="AL54" t="s">
        <v>73</v>
      </c>
      <c r="AM54" t="s">
        <v>74</v>
      </c>
      <c r="AN54" s="93" t="s">
        <v>83</v>
      </c>
      <c r="AO54" s="93" t="s">
        <v>84</v>
      </c>
      <c r="AP54" s="92" t="s">
        <v>75</v>
      </c>
      <c r="AQ54" s="92" t="s">
        <v>76</v>
      </c>
      <c r="AR54" s="82" t="s">
        <v>77</v>
      </c>
      <c r="AS54" s="82" t="s">
        <v>78</v>
      </c>
      <c r="AT54" s="82" t="s">
        <v>68</v>
      </c>
      <c r="AU54" s="82" t="s">
        <v>73</v>
      </c>
      <c r="AV54" s="82" t="s">
        <v>74</v>
      </c>
      <c r="AW54" s="9"/>
      <c r="AX54" s="63" t="s">
        <v>46</v>
      </c>
      <c r="AZ54" s="98" t="str">
        <f>AZ53&amp;$AZ$32&amp;$BA$32</f>
        <v>空車電流4ノッチ</v>
      </c>
      <c r="BA54" s="98" t="str">
        <f>BA53&amp;$AZ$32&amp;$BA$32</f>
        <v>積車電流4ノッチ</v>
      </c>
      <c r="BB54" s="98" t="str">
        <f>BB53&amp;$AZ$32&amp;$BA$32</f>
        <v>空車トルク4ノッチ</v>
      </c>
      <c r="BC54" s="98" t="str">
        <f>BC53&amp;$AZ$32&amp;$BA$32</f>
        <v>積車トルク4ノッチ</v>
      </c>
    </row>
    <row r="55" spans="1:59" ht="11.4" x14ac:dyDescent="0.25">
      <c r="A55" s="7"/>
      <c r="B55" s="7"/>
      <c r="F55" s="89"/>
      <c r="G55" s="89"/>
      <c r="K55" s="1"/>
      <c r="L55" s="1"/>
      <c r="O55" s="89"/>
      <c r="P55" s="89"/>
      <c r="T55" s="1"/>
      <c r="U55" s="1"/>
      <c r="X55" s="89"/>
      <c r="Y55" s="89"/>
      <c r="AC55" s="1"/>
      <c r="AD55" s="1"/>
      <c r="AG55" s="89"/>
      <c r="AH55" s="89"/>
      <c r="AL55" s="1"/>
      <c r="AM55" s="1"/>
      <c r="AP55" s="89"/>
      <c r="AQ55" s="89"/>
      <c r="AU55" s="1"/>
      <c r="AV55" s="1"/>
      <c r="AW55" s="1"/>
      <c r="AX55" s="1"/>
    </row>
    <row r="56" spans="1:59" ht="11.4" x14ac:dyDescent="0.25">
      <c r="A56" s="1"/>
      <c r="B56" s="1">
        <v>0</v>
      </c>
      <c r="C56" s="66"/>
      <c r="D56" s="83">
        <f t="shared" ref="D56:D87" si="0">MAX((K56-$AX56)/M_empty*3.6,0)</f>
        <v>0.75239480679460591</v>
      </c>
      <c r="E56" s="83">
        <f t="shared" ref="E56:E87" si="1">MAX((L56-$AX56)/M_full*3.6,0)</f>
        <v>0.76012341094420055</v>
      </c>
      <c r="F56" s="90">
        <f>D41</f>
        <v>27.431627372052905</v>
      </c>
      <c r="G56" s="90">
        <f>E41</f>
        <v>43.700977573317999</v>
      </c>
      <c r="J56" s="60"/>
      <c r="K56" s="85">
        <f>D39</f>
        <v>13251</v>
      </c>
      <c r="L56" s="85">
        <f t="shared" ref="L56:L80" si="2">MIN(E$39,I56,J56)</f>
        <v>21110</v>
      </c>
      <c r="M56" s="83">
        <f t="shared" ref="M56:M87" si="3">MAX((T56-$AX56)/M_empty*3.6,0)</f>
        <v>1.6599220370850623</v>
      </c>
      <c r="N56" s="83">
        <f t="shared" ref="N56:N87" si="4">MAX((U56-$AX56)/M_full*3.6,0)</f>
        <v>1.6676913607252046</v>
      </c>
      <c r="O56" s="90">
        <f>M41</f>
        <v>59.628752156411728</v>
      </c>
      <c r="P56" s="90">
        <f>N41</f>
        <v>94.997354801610115</v>
      </c>
      <c r="S56" s="60"/>
      <c r="T56" s="85">
        <f>M39</f>
        <v>28804</v>
      </c>
      <c r="U56" s="85">
        <f t="shared" ref="U56:U80" si="5">MIN(N$39,R56,S56)</f>
        <v>45889</v>
      </c>
      <c r="V56" s="83">
        <f t="shared" ref="V56:V87" si="6">MAX((AC56-$AX56)/M_empty*3.6,0)</f>
        <v>2.5159840184128632</v>
      </c>
      <c r="W56" s="83">
        <f t="shared" ref="W56:W87" si="7">MAX((AD56-$AX56)/M_full*3.6,0)</f>
        <v>2.5237258303277565</v>
      </c>
      <c r="X56" s="90">
        <f>V41</f>
        <v>90</v>
      </c>
      <c r="Y56" s="90">
        <f>W41</f>
        <v>143.38102357676826</v>
      </c>
      <c r="AB56" s="60"/>
      <c r="AC56" s="85">
        <f>V39</f>
        <v>43475</v>
      </c>
      <c r="AD56" s="85">
        <f t="shared" ref="AD56:AD80" si="8">MIN(W$39,AA56,AB56)</f>
        <v>69261</v>
      </c>
      <c r="AE56" s="83">
        <f t="shared" ref="AE56:AE87" si="9">MAX((AL56-$AX56)/M_empty*3.6,0)</f>
        <v>3.327232721732365</v>
      </c>
      <c r="AF56" s="83">
        <f t="shared" ref="AF56:AF87" si="10">MAX((AM56-$AX56)/M_full*3.6,0)</f>
        <v>3.3349660950559321</v>
      </c>
      <c r="AG56" s="90">
        <f>AE41</f>
        <v>118.7813686026452</v>
      </c>
      <c r="AH56" s="90">
        <f>AF41</f>
        <v>189.23289246693503</v>
      </c>
      <c r="AK56" s="60"/>
      <c r="AL56" s="85">
        <f>AE39</f>
        <v>57378</v>
      </c>
      <c r="AM56" s="85">
        <f t="shared" ref="AM56:AM80" si="11">MIN(AF$39,AJ56,AK56)</f>
        <v>91410</v>
      </c>
      <c r="AN56" s="83">
        <f t="shared" ref="AN56:AN87" si="12">MAX((AU56-$AX56)/M_empty*3.6,0)</f>
        <v>2.5180262901970951</v>
      </c>
      <c r="AO56" s="83">
        <f t="shared" ref="AO56:AO87" si="13">MAX((AV56-$AX56)/M_full*3.6,0)</f>
        <v>2.5257402876197355</v>
      </c>
      <c r="AP56" s="90">
        <f>AN41</f>
        <v>90.072455434157561</v>
      </c>
      <c r="AQ56" s="90">
        <f>AO41</f>
        <v>143.49488211615869</v>
      </c>
      <c r="AT56" s="60"/>
      <c r="AU56" s="85">
        <f>AN39</f>
        <v>43510</v>
      </c>
      <c r="AV56" s="85">
        <f t="shared" ref="AV56:AV80" si="14">MIN(AO$39,AS56,AT56)</f>
        <v>69316</v>
      </c>
      <c r="AW56" s="10"/>
      <c r="AX56" s="60">
        <f t="shared" ref="AX56:AX87" si="15">ROUND(RunningResistanceFactor_a*(Speed^2)+RunningResistanceFactor_b*Speed+RunningResistanceFactor_c,0)/(MotorcarCount+TrailerCount)</f>
        <v>356.625</v>
      </c>
      <c r="AZ56" s="99">
        <f ca="1">OFFSET(F56,0,($AZ$32-1)*9)</f>
        <v>118.7813686026452</v>
      </c>
      <c r="BA56" s="99">
        <f ca="1">OFFSET(G56,0,($AZ$32-1)*9)</f>
        <v>189.23289246693503</v>
      </c>
      <c r="BB56" s="100">
        <f ca="1">OFFSET(K56,0,($AZ$32-1)*9)</f>
        <v>57378</v>
      </c>
      <c r="BC56" s="100">
        <f ca="1">OFFSET(L56,0,($AZ$32-1)*9)</f>
        <v>91410</v>
      </c>
    </row>
    <row r="57" spans="1:59" ht="11.4" x14ac:dyDescent="0.25">
      <c r="A57" s="1"/>
      <c r="B57" s="1">
        <v>1</v>
      </c>
      <c r="C57" s="66"/>
      <c r="D57" s="83">
        <f t="shared" si="0"/>
        <v>0.75213952282157681</v>
      </c>
      <c r="E57" s="83">
        <f t="shared" si="1"/>
        <v>0.75996317002324765</v>
      </c>
      <c r="F57" s="90">
        <f t="shared" ref="F57:F88" si="16">MIN(E$41*E$45/Speed,F$56)</f>
        <v>27.431627372052905</v>
      </c>
      <c r="G57" s="90">
        <f t="shared" ref="G57:G88" si="17">MIN(E$41*E$45/Speed,G$56)</f>
        <v>43.700977573317999</v>
      </c>
      <c r="H57" s="10">
        <f t="shared" ref="H57:H88" si="18">D$39*D$40/Speed</f>
        <v>106008</v>
      </c>
      <c r="I57" s="10">
        <f t="shared" ref="I57:I88" si="19">E$39*E$40/Speed</f>
        <v>168880</v>
      </c>
      <c r="J57" s="60">
        <f t="shared" ref="J57:J88" si="20">(E$39*E$40/Speed)*(E$45^(E$47-1)/Speed^(E$47-1))</f>
        <v>1888135.8002008218</v>
      </c>
      <c r="K57" s="85">
        <f t="shared" ref="K57:K88" si="21">MIN(D$39,MAX(H57,L57*F57/G57),J57*D$46)</f>
        <v>13251</v>
      </c>
      <c r="L57" s="85">
        <f t="shared" si="2"/>
        <v>21110</v>
      </c>
      <c r="M57" s="83">
        <f t="shared" si="3"/>
        <v>1.6596667531120333</v>
      </c>
      <c r="N57" s="83">
        <f t="shared" si="4"/>
        <v>1.6675311198042517</v>
      </c>
      <c r="O57" s="90">
        <f t="shared" ref="O57:O88" si="22">MIN(N$41*N$45/Speed,O$56)</f>
        <v>59.628752156411728</v>
      </c>
      <c r="P57" s="90">
        <f t="shared" ref="P57:P88" si="23">MIN(N$41*N$45/Speed,P$56)</f>
        <v>94.997354801610115</v>
      </c>
      <c r="Q57" s="10">
        <f t="shared" ref="Q57:Q88" si="24">M$39*M$40/Speed</f>
        <v>720100</v>
      </c>
      <c r="R57" s="10">
        <f t="shared" ref="R57:R88" si="25">N$39*N$40/Speed</f>
        <v>1147225</v>
      </c>
      <c r="S57" s="60">
        <f t="shared" ref="S57:S88" si="26">(N$39*N$40/Speed)*(N$45^(N$47-1)/Speed^(N$47-1))</f>
        <v>6133475.7905378845</v>
      </c>
      <c r="T57" s="85">
        <f t="shared" ref="T57:T88" si="27">MIN(M$39,MAX(Q57,U57*O57/P57),S57*M$46)</f>
        <v>28804</v>
      </c>
      <c r="U57" s="85">
        <f t="shared" si="5"/>
        <v>45889</v>
      </c>
      <c r="V57" s="83">
        <f t="shared" si="6"/>
        <v>2.515728734439834</v>
      </c>
      <c r="W57" s="83">
        <f t="shared" si="7"/>
        <v>2.5235655894068034</v>
      </c>
      <c r="X57" s="90">
        <f t="shared" ref="X57:X88" si="28">MIN(W$41*W$45/Speed,X$56)</f>
        <v>90</v>
      </c>
      <c r="Y57" s="90">
        <f t="shared" ref="Y57:Y88" si="29">MIN(W$41*W$45/Speed,Y$56)</f>
        <v>143.38102357676826</v>
      </c>
      <c r="Z57" s="10">
        <f t="shared" ref="Z57:Z88" si="30">V$39*V$40/Speed</f>
        <v>1521625</v>
      </c>
      <c r="AA57" s="10">
        <f t="shared" ref="AA57:AA88" si="31">W$39*W$40/Speed</f>
        <v>2424135</v>
      </c>
      <c r="AB57" s="60">
        <f t="shared" ref="AB57:AB88" si="32">(W$39*W$40/Speed)*(W$45^(W$47-1)/Speed^(W$47-1))</f>
        <v>92117130</v>
      </c>
      <c r="AC57" s="85">
        <f t="shared" ref="AC57:AC88" si="33">MIN(V$39,MAX(Z57,AD57*X57/Y57),AB57*V$46)</f>
        <v>43475</v>
      </c>
      <c r="AD57" s="85">
        <f t="shared" si="8"/>
        <v>69261</v>
      </c>
      <c r="AE57" s="83">
        <f t="shared" si="9"/>
        <v>3.3269774377593362</v>
      </c>
      <c r="AF57" s="83">
        <f t="shared" si="10"/>
        <v>3.334805854134979</v>
      </c>
      <c r="AG57" s="90">
        <f t="shared" ref="AG57:AG88" si="34">MIN(AF$41*AF$45/Speed,AG$56)</f>
        <v>118.7813686026452</v>
      </c>
      <c r="AH57" s="90">
        <f t="shared" ref="AH57:AH88" si="35">MIN(AF$41*AF$45/Speed,AH$56)</f>
        <v>189.23289246693503</v>
      </c>
      <c r="AI57" s="10">
        <f t="shared" ref="AI57:AI88" si="36">AE$39*AE$40/Speed</f>
        <v>2868900</v>
      </c>
      <c r="AJ57" s="10">
        <f t="shared" ref="AJ57:AJ88" si="37">AF$39*AF$40/Speed</f>
        <v>4570500</v>
      </c>
      <c r="AK57" s="60">
        <f t="shared" ref="AK57:AK88" si="38">(AF$39*AF$40/Speed)*(AF$45^(AF$47-1)/Speed^(AF$47-1))</f>
        <v>105816047.10463843</v>
      </c>
      <c r="AL57" s="85">
        <f t="shared" ref="AL57:AL88" si="39">MIN(AE$39,MAX(AI57,AM57*AG57/AH57),AK57*AE$46)</f>
        <v>57378</v>
      </c>
      <c r="AM57" s="85">
        <f t="shared" si="11"/>
        <v>91410</v>
      </c>
      <c r="AN57" s="83">
        <f t="shared" si="12"/>
        <v>2.5177710062240664</v>
      </c>
      <c r="AO57" s="83">
        <f t="shared" si="13"/>
        <v>2.5255800466987828</v>
      </c>
      <c r="AP57" s="90">
        <f t="shared" ref="AP57:AP88" si="40">MIN(AO$41*AO$45/Speed,AP$56)</f>
        <v>90.072455434157561</v>
      </c>
      <c r="AQ57" s="90">
        <f t="shared" ref="AQ57:AQ88" si="41">MIN(AO$41*AO$45/Speed,AQ$56)</f>
        <v>143.49488211615869</v>
      </c>
      <c r="AR57" s="10">
        <f t="shared" ref="AR57:AR88" si="42">AN$39*AN$40/Speed</f>
        <v>1653380</v>
      </c>
      <c r="AS57" s="10">
        <f t="shared" ref="AS57:AS88" si="43">AO$39*AO$40/Speed</f>
        <v>2634008</v>
      </c>
      <c r="AT57" s="60">
        <f t="shared" ref="AT57:AT88" si="44">(AO$39*AO$40/Speed)*(AO$45^(AO$47-1)/Speed^(AO$47-1))</f>
        <v>58911863.695943356</v>
      </c>
      <c r="AU57" s="85">
        <f t="shared" ref="AU57:AU88" si="45">MIN(AN$39,MAX(AR57,AV57*AP57/AQ57),AT57*AN$46)</f>
        <v>43510</v>
      </c>
      <c r="AV57" s="85">
        <f t="shared" si="14"/>
        <v>69316</v>
      </c>
      <c r="AW57" s="10"/>
      <c r="AX57" s="60">
        <f t="shared" si="15"/>
        <v>361</v>
      </c>
      <c r="AZ57" s="99">
        <f t="shared" ref="AZ57:AZ120" ca="1" si="46">OFFSET(F57,0,($AZ$32-1)*9)</f>
        <v>118.7813686026452</v>
      </c>
      <c r="BA57" s="99">
        <f t="shared" ref="BA57:BA120" ca="1" si="47">OFFSET(G57,0,($AZ$32-1)*9)</f>
        <v>189.23289246693503</v>
      </c>
      <c r="BB57" s="100">
        <f t="shared" ref="BB57:BB120" ca="1" si="48">OFFSET(K57,0,($AZ$32-1)*9)</f>
        <v>57378</v>
      </c>
      <c r="BC57" s="100">
        <f t="shared" ref="BC57:BC120" ca="1" si="49">OFFSET(L57,0,($AZ$32-1)*9)</f>
        <v>91410</v>
      </c>
    </row>
    <row r="58" spans="1:59" ht="11.4" x14ac:dyDescent="0.25">
      <c r="A58" s="1"/>
      <c r="B58" s="1">
        <v>2</v>
      </c>
      <c r="C58" s="66"/>
      <c r="D58" s="83">
        <f t="shared" si="0"/>
        <v>0.75186965119294602</v>
      </c>
      <c r="E58" s="83">
        <f t="shared" si="1"/>
        <v>0.75979377247824031</v>
      </c>
      <c r="F58" s="90">
        <f t="shared" si="16"/>
        <v>27.431627372052905</v>
      </c>
      <c r="G58" s="90">
        <f t="shared" si="17"/>
        <v>43.700977573317999</v>
      </c>
      <c r="H58" s="10">
        <f t="shared" si="18"/>
        <v>53004</v>
      </c>
      <c r="I58" s="10">
        <f t="shared" si="19"/>
        <v>84440</v>
      </c>
      <c r="J58" s="60">
        <f t="shared" si="20"/>
        <v>333778.40703077242</v>
      </c>
      <c r="K58" s="85">
        <f t="shared" si="21"/>
        <v>13251</v>
      </c>
      <c r="L58" s="85">
        <f t="shared" si="2"/>
        <v>21110</v>
      </c>
      <c r="M58" s="83">
        <f t="shared" si="3"/>
        <v>1.6593968814834024</v>
      </c>
      <c r="N58" s="83">
        <f t="shared" si="4"/>
        <v>1.6673617222592445</v>
      </c>
      <c r="O58" s="90">
        <f t="shared" si="22"/>
        <v>59.628752156411728</v>
      </c>
      <c r="P58" s="90">
        <f t="shared" si="23"/>
        <v>94.997354801610115</v>
      </c>
      <c r="Q58" s="10">
        <f t="shared" si="24"/>
        <v>360050</v>
      </c>
      <c r="R58" s="10">
        <f t="shared" si="25"/>
        <v>573612.5</v>
      </c>
      <c r="S58" s="60">
        <f t="shared" si="26"/>
        <v>2051536.5666935416</v>
      </c>
      <c r="T58" s="85">
        <f t="shared" si="27"/>
        <v>28804</v>
      </c>
      <c r="U58" s="85">
        <f t="shared" si="5"/>
        <v>45889</v>
      </c>
      <c r="V58" s="83">
        <f t="shared" si="6"/>
        <v>2.5154588628112036</v>
      </c>
      <c r="W58" s="83">
        <f t="shared" si="7"/>
        <v>2.5233961918617962</v>
      </c>
      <c r="X58" s="90">
        <f t="shared" si="28"/>
        <v>90</v>
      </c>
      <c r="Y58" s="90">
        <f t="shared" si="29"/>
        <v>143.38102357676826</v>
      </c>
      <c r="Z58" s="10">
        <f t="shared" si="30"/>
        <v>760812.5</v>
      </c>
      <c r="AA58" s="10">
        <f t="shared" si="31"/>
        <v>1212067.5</v>
      </c>
      <c r="AB58" s="60">
        <f t="shared" si="32"/>
        <v>23029282.5</v>
      </c>
      <c r="AC58" s="85">
        <f t="shared" si="33"/>
        <v>43475</v>
      </c>
      <c r="AD58" s="85">
        <f t="shared" si="8"/>
        <v>69261</v>
      </c>
      <c r="AE58" s="83">
        <f t="shared" si="9"/>
        <v>3.3267075661307053</v>
      </c>
      <c r="AF58" s="83">
        <f t="shared" si="10"/>
        <v>3.3346364565899718</v>
      </c>
      <c r="AG58" s="90">
        <f t="shared" si="34"/>
        <v>118.7813686026452</v>
      </c>
      <c r="AH58" s="90">
        <f t="shared" si="35"/>
        <v>189.23289246693503</v>
      </c>
      <c r="AI58" s="10">
        <f t="shared" si="36"/>
        <v>1434450</v>
      </c>
      <c r="AJ58" s="10">
        <f t="shared" si="37"/>
        <v>2285250</v>
      </c>
      <c r="AK58" s="60">
        <f t="shared" si="38"/>
        <v>30143178.373275619</v>
      </c>
      <c r="AL58" s="85">
        <f t="shared" si="39"/>
        <v>57378</v>
      </c>
      <c r="AM58" s="85">
        <f t="shared" si="11"/>
        <v>91410</v>
      </c>
      <c r="AN58" s="83">
        <f t="shared" si="12"/>
        <v>2.5175011345954359</v>
      </c>
      <c r="AO58" s="83">
        <f t="shared" si="13"/>
        <v>2.5254106491537751</v>
      </c>
      <c r="AP58" s="90">
        <f t="shared" si="40"/>
        <v>90.072455434157561</v>
      </c>
      <c r="AQ58" s="90">
        <f t="shared" si="41"/>
        <v>143.49488211615869</v>
      </c>
      <c r="AR58" s="10">
        <f t="shared" si="42"/>
        <v>826690</v>
      </c>
      <c r="AS58" s="10">
        <f t="shared" si="43"/>
        <v>1317004</v>
      </c>
      <c r="AT58" s="60">
        <f t="shared" si="44"/>
        <v>16781866.874434393</v>
      </c>
      <c r="AU58" s="85">
        <f t="shared" si="45"/>
        <v>43510</v>
      </c>
      <c r="AV58" s="85">
        <f t="shared" si="14"/>
        <v>69316</v>
      </c>
      <c r="AW58" s="10"/>
      <c r="AX58" s="60">
        <f t="shared" si="15"/>
        <v>365.625</v>
      </c>
      <c r="AZ58" s="99">
        <f t="shared" ca="1" si="46"/>
        <v>118.7813686026452</v>
      </c>
      <c r="BA58" s="99">
        <f t="shared" ca="1" si="47"/>
        <v>189.23289246693503</v>
      </c>
      <c r="BB58" s="100">
        <f t="shared" ca="1" si="48"/>
        <v>57378</v>
      </c>
      <c r="BC58" s="100">
        <f t="shared" ca="1" si="49"/>
        <v>91410</v>
      </c>
    </row>
    <row r="59" spans="1:59" ht="11.4" x14ac:dyDescent="0.25">
      <c r="A59" s="1"/>
      <c r="B59" s="1">
        <v>3</v>
      </c>
      <c r="C59" s="66"/>
      <c r="D59" s="83">
        <f t="shared" si="0"/>
        <v>0.75159248573651449</v>
      </c>
      <c r="E59" s="83">
        <f t="shared" si="1"/>
        <v>0.75961979662120571</v>
      </c>
      <c r="F59" s="90">
        <f t="shared" si="16"/>
        <v>27.431627372052905</v>
      </c>
      <c r="G59" s="90">
        <f t="shared" si="17"/>
        <v>43.700977573317999</v>
      </c>
      <c r="H59" s="10">
        <f t="shared" si="18"/>
        <v>35336</v>
      </c>
      <c r="I59" s="10">
        <f t="shared" si="19"/>
        <v>56293.333333333336</v>
      </c>
      <c r="J59" s="60">
        <f t="shared" si="20"/>
        <v>121123.96805694602</v>
      </c>
      <c r="K59" s="85">
        <f t="shared" si="21"/>
        <v>13251</v>
      </c>
      <c r="L59" s="85">
        <f t="shared" si="2"/>
        <v>21110</v>
      </c>
      <c r="M59" s="83">
        <f t="shared" si="3"/>
        <v>1.6591197160269711</v>
      </c>
      <c r="N59" s="83">
        <f t="shared" si="4"/>
        <v>1.6671877464022098</v>
      </c>
      <c r="O59" s="90">
        <f t="shared" si="22"/>
        <v>59.628752156411728</v>
      </c>
      <c r="P59" s="90">
        <f t="shared" si="23"/>
        <v>94.997354801610115</v>
      </c>
      <c r="Q59" s="10">
        <f t="shared" si="24"/>
        <v>240033.33333333334</v>
      </c>
      <c r="R59" s="10">
        <f t="shared" si="25"/>
        <v>382408.33333333331</v>
      </c>
      <c r="S59" s="60">
        <f t="shared" si="26"/>
        <v>1081073.1295750826</v>
      </c>
      <c r="T59" s="85">
        <f t="shared" si="27"/>
        <v>28804</v>
      </c>
      <c r="U59" s="85">
        <f t="shared" si="5"/>
        <v>45889</v>
      </c>
      <c r="V59" s="83">
        <f t="shared" si="6"/>
        <v>2.5151816973547718</v>
      </c>
      <c r="W59" s="83">
        <f t="shared" si="7"/>
        <v>2.5232222160047617</v>
      </c>
      <c r="X59" s="90">
        <f t="shared" si="28"/>
        <v>90</v>
      </c>
      <c r="Y59" s="90">
        <f t="shared" si="29"/>
        <v>143.38102357676826</v>
      </c>
      <c r="Z59" s="10">
        <f t="shared" si="30"/>
        <v>507208.33333333331</v>
      </c>
      <c r="AA59" s="10">
        <f t="shared" si="31"/>
        <v>808045</v>
      </c>
      <c r="AB59" s="60">
        <f t="shared" si="32"/>
        <v>10235236.666666666</v>
      </c>
      <c r="AC59" s="85">
        <f t="shared" si="33"/>
        <v>43475</v>
      </c>
      <c r="AD59" s="85">
        <f t="shared" si="8"/>
        <v>69261</v>
      </c>
      <c r="AE59" s="83">
        <f t="shared" si="9"/>
        <v>3.326430400674274</v>
      </c>
      <c r="AF59" s="83">
        <f t="shared" si="10"/>
        <v>3.3344624807329368</v>
      </c>
      <c r="AG59" s="90">
        <f t="shared" si="34"/>
        <v>118.7813686026452</v>
      </c>
      <c r="AH59" s="90">
        <f t="shared" si="35"/>
        <v>189.23289246693503</v>
      </c>
      <c r="AI59" s="10">
        <f t="shared" si="36"/>
        <v>956300</v>
      </c>
      <c r="AJ59" s="10">
        <f t="shared" si="37"/>
        <v>1523500</v>
      </c>
      <c r="AK59" s="60">
        <f t="shared" si="38"/>
        <v>14460137.989591289</v>
      </c>
      <c r="AL59" s="85">
        <f t="shared" si="39"/>
        <v>57378</v>
      </c>
      <c r="AM59" s="85">
        <f t="shared" si="11"/>
        <v>91410</v>
      </c>
      <c r="AN59" s="83">
        <f t="shared" si="12"/>
        <v>2.5172239691390041</v>
      </c>
      <c r="AO59" s="83">
        <f t="shared" si="13"/>
        <v>2.5252366732967411</v>
      </c>
      <c r="AP59" s="90">
        <f t="shared" si="40"/>
        <v>90.072455434157561</v>
      </c>
      <c r="AQ59" s="90">
        <f t="shared" si="41"/>
        <v>143.49488211615869</v>
      </c>
      <c r="AR59" s="10">
        <f t="shared" si="42"/>
        <v>551126.66666666663</v>
      </c>
      <c r="AS59" s="10">
        <f t="shared" si="43"/>
        <v>878002.66666666663</v>
      </c>
      <c r="AT59" s="60">
        <f t="shared" si="44"/>
        <v>8050515.0360128386</v>
      </c>
      <c r="AU59" s="85">
        <f t="shared" si="45"/>
        <v>43510</v>
      </c>
      <c r="AV59" s="85">
        <f t="shared" si="14"/>
        <v>69316</v>
      </c>
      <c r="AW59" s="10"/>
      <c r="AX59" s="60">
        <f t="shared" si="15"/>
        <v>370.375</v>
      </c>
      <c r="AZ59" s="99">
        <f t="shared" ca="1" si="46"/>
        <v>118.7813686026452</v>
      </c>
      <c r="BA59" s="99">
        <f t="shared" ca="1" si="47"/>
        <v>189.23289246693503</v>
      </c>
      <c r="BB59" s="100">
        <f t="shared" ca="1" si="48"/>
        <v>57378</v>
      </c>
      <c r="BC59" s="100">
        <f t="shared" ca="1" si="49"/>
        <v>91410</v>
      </c>
    </row>
    <row r="60" spans="1:59" ht="11.4" x14ac:dyDescent="0.25">
      <c r="A60" s="1"/>
      <c r="B60" s="1">
        <v>4</v>
      </c>
      <c r="C60" s="66"/>
      <c r="D60" s="83">
        <f t="shared" si="0"/>
        <v>0.75130073262448138</v>
      </c>
      <c r="E60" s="83">
        <f t="shared" si="1"/>
        <v>0.75943666414011668</v>
      </c>
      <c r="F60" s="90">
        <f t="shared" si="16"/>
        <v>27.431627372052905</v>
      </c>
      <c r="G60" s="90">
        <f t="shared" si="17"/>
        <v>43.700977573317999</v>
      </c>
      <c r="H60" s="10">
        <f t="shared" si="18"/>
        <v>26502</v>
      </c>
      <c r="I60" s="10">
        <f t="shared" si="19"/>
        <v>42220</v>
      </c>
      <c r="J60" s="60">
        <f t="shared" si="20"/>
        <v>59004.243756275697</v>
      </c>
      <c r="K60" s="85">
        <f t="shared" si="21"/>
        <v>13251</v>
      </c>
      <c r="L60" s="85">
        <f t="shared" si="2"/>
        <v>21110</v>
      </c>
      <c r="M60" s="83">
        <f t="shared" si="3"/>
        <v>1.6588279629149378</v>
      </c>
      <c r="N60" s="83">
        <f t="shared" si="4"/>
        <v>1.6670046139211208</v>
      </c>
      <c r="O60" s="90">
        <f t="shared" si="22"/>
        <v>59.628752156411728</v>
      </c>
      <c r="P60" s="90">
        <f t="shared" si="23"/>
        <v>94.997354801610115</v>
      </c>
      <c r="Q60" s="10">
        <f t="shared" si="24"/>
        <v>180025</v>
      </c>
      <c r="R60" s="10">
        <f t="shared" si="25"/>
        <v>286806.25</v>
      </c>
      <c r="S60" s="60">
        <f t="shared" si="26"/>
        <v>686201.82555764646</v>
      </c>
      <c r="T60" s="85">
        <f t="shared" si="27"/>
        <v>28804</v>
      </c>
      <c r="U60" s="85">
        <f t="shared" si="5"/>
        <v>45889</v>
      </c>
      <c r="V60" s="83">
        <f t="shared" si="6"/>
        <v>2.5148899442427388</v>
      </c>
      <c r="W60" s="83">
        <f t="shared" si="7"/>
        <v>2.5230390835236727</v>
      </c>
      <c r="X60" s="90">
        <f t="shared" si="28"/>
        <v>90</v>
      </c>
      <c r="Y60" s="90">
        <f t="shared" si="29"/>
        <v>143.38102357676826</v>
      </c>
      <c r="Z60" s="10">
        <f t="shared" si="30"/>
        <v>380406.25</v>
      </c>
      <c r="AA60" s="10">
        <f t="shared" si="31"/>
        <v>606033.75</v>
      </c>
      <c r="AB60" s="60">
        <f t="shared" si="32"/>
        <v>5757320.625</v>
      </c>
      <c r="AC60" s="85">
        <f t="shared" si="33"/>
        <v>43475</v>
      </c>
      <c r="AD60" s="85">
        <f t="shared" si="8"/>
        <v>69261</v>
      </c>
      <c r="AE60" s="83">
        <f t="shared" si="9"/>
        <v>3.3261386475622405</v>
      </c>
      <c r="AF60" s="83">
        <f t="shared" si="10"/>
        <v>3.3342793482518482</v>
      </c>
      <c r="AG60" s="90">
        <f t="shared" si="34"/>
        <v>118.7813686026452</v>
      </c>
      <c r="AH60" s="90">
        <f t="shared" si="35"/>
        <v>189.23289246693503</v>
      </c>
      <c r="AI60" s="10">
        <f t="shared" si="36"/>
        <v>717225</v>
      </c>
      <c r="AJ60" s="10">
        <f t="shared" si="37"/>
        <v>1142625</v>
      </c>
      <c r="AK60" s="60">
        <f t="shared" si="38"/>
        <v>8586705.2049734164</v>
      </c>
      <c r="AL60" s="85">
        <f t="shared" si="39"/>
        <v>57378</v>
      </c>
      <c r="AM60" s="85">
        <f t="shared" si="11"/>
        <v>91410</v>
      </c>
      <c r="AN60" s="83">
        <f t="shared" si="12"/>
        <v>2.5169322160269707</v>
      </c>
      <c r="AO60" s="83">
        <f t="shared" si="13"/>
        <v>2.5250535408156516</v>
      </c>
      <c r="AP60" s="90">
        <f t="shared" si="40"/>
        <v>90.072455434157561</v>
      </c>
      <c r="AQ60" s="90">
        <f t="shared" si="41"/>
        <v>143.49488211615869</v>
      </c>
      <c r="AR60" s="10">
        <f t="shared" si="42"/>
        <v>413345</v>
      </c>
      <c r="AS60" s="10">
        <f t="shared" si="43"/>
        <v>658502</v>
      </c>
      <c r="AT60" s="60">
        <f t="shared" si="44"/>
        <v>4780549.079974724</v>
      </c>
      <c r="AU60" s="85">
        <f t="shared" si="45"/>
        <v>43510</v>
      </c>
      <c r="AV60" s="85">
        <f t="shared" si="14"/>
        <v>69316</v>
      </c>
      <c r="AW60" s="10"/>
      <c r="AX60" s="60">
        <f t="shared" si="15"/>
        <v>375.375</v>
      </c>
      <c r="AZ60" s="99">
        <f t="shared" ca="1" si="46"/>
        <v>118.7813686026452</v>
      </c>
      <c r="BA60" s="99">
        <f t="shared" ca="1" si="47"/>
        <v>189.23289246693503</v>
      </c>
      <c r="BB60" s="100">
        <f t="shared" ca="1" si="48"/>
        <v>57378</v>
      </c>
      <c r="BC60" s="100">
        <f t="shared" ca="1" si="49"/>
        <v>91410</v>
      </c>
    </row>
    <row r="61" spans="1:59" ht="11.4" x14ac:dyDescent="0.25">
      <c r="A61" s="1"/>
      <c r="B61" s="1">
        <v>5</v>
      </c>
      <c r="C61" s="66"/>
      <c r="D61" s="83">
        <f t="shared" si="0"/>
        <v>0.75100168568464731</v>
      </c>
      <c r="E61" s="83">
        <f t="shared" si="1"/>
        <v>0.75924895334700038</v>
      </c>
      <c r="F61" s="90">
        <f t="shared" si="16"/>
        <v>27.431627372052905</v>
      </c>
      <c r="G61" s="90">
        <f t="shared" si="17"/>
        <v>43.700977573317999</v>
      </c>
      <c r="H61" s="10">
        <f t="shared" si="18"/>
        <v>21201.599999999999</v>
      </c>
      <c r="I61" s="10">
        <f t="shared" si="19"/>
        <v>33776</v>
      </c>
      <c r="J61" s="60">
        <f t="shared" si="20"/>
        <v>33776</v>
      </c>
      <c r="K61" s="85">
        <f t="shared" si="21"/>
        <v>13251</v>
      </c>
      <c r="L61" s="85">
        <f t="shared" si="2"/>
        <v>21110</v>
      </c>
      <c r="M61" s="83">
        <f t="shared" si="3"/>
        <v>1.6585289159751038</v>
      </c>
      <c r="N61" s="83">
        <f t="shared" si="4"/>
        <v>1.6668169031280047</v>
      </c>
      <c r="O61" s="90">
        <f t="shared" si="22"/>
        <v>59.628752156411728</v>
      </c>
      <c r="P61" s="90">
        <f t="shared" si="23"/>
        <v>94.997354801610115</v>
      </c>
      <c r="Q61" s="10">
        <f t="shared" si="24"/>
        <v>144020</v>
      </c>
      <c r="R61" s="10">
        <f t="shared" si="25"/>
        <v>229445</v>
      </c>
      <c r="S61" s="60">
        <f t="shared" si="26"/>
        <v>482318.6425365482</v>
      </c>
      <c r="T61" s="85">
        <f t="shared" si="27"/>
        <v>28804</v>
      </c>
      <c r="U61" s="85">
        <f t="shared" si="5"/>
        <v>45889</v>
      </c>
      <c r="V61" s="83">
        <f t="shared" si="6"/>
        <v>2.514590897302905</v>
      </c>
      <c r="W61" s="83">
        <f t="shared" si="7"/>
        <v>2.5228513727305564</v>
      </c>
      <c r="X61" s="90">
        <f t="shared" si="28"/>
        <v>90</v>
      </c>
      <c r="Y61" s="90">
        <f t="shared" si="29"/>
        <v>143.38102357676826</v>
      </c>
      <c r="Z61" s="10">
        <f t="shared" si="30"/>
        <v>304325</v>
      </c>
      <c r="AA61" s="10">
        <f t="shared" si="31"/>
        <v>484827</v>
      </c>
      <c r="AB61" s="60">
        <f t="shared" si="32"/>
        <v>3684685.1999999997</v>
      </c>
      <c r="AC61" s="85">
        <f t="shared" si="33"/>
        <v>43475</v>
      </c>
      <c r="AD61" s="85">
        <f t="shared" si="8"/>
        <v>69261</v>
      </c>
      <c r="AE61" s="83">
        <f t="shared" si="9"/>
        <v>3.3258396006224067</v>
      </c>
      <c r="AF61" s="83">
        <f t="shared" si="10"/>
        <v>3.3340916374587315</v>
      </c>
      <c r="AG61" s="90">
        <f t="shared" si="34"/>
        <v>118.7813686026452</v>
      </c>
      <c r="AH61" s="90">
        <f t="shared" si="35"/>
        <v>189.23289246693503</v>
      </c>
      <c r="AI61" s="10">
        <f t="shared" si="36"/>
        <v>573780</v>
      </c>
      <c r="AJ61" s="10">
        <f t="shared" si="37"/>
        <v>914100</v>
      </c>
      <c r="AK61" s="60">
        <f t="shared" si="38"/>
        <v>5731377.9114955226</v>
      </c>
      <c r="AL61" s="85">
        <f t="shared" si="39"/>
        <v>57378</v>
      </c>
      <c r="AM61" s="85">
        <f t="shared" si="11"/>
        <v>91410</v>
      </c>
      <c r="AN61" s="83">
        <f t="shared" si="12"/>
        <v>2.5166331690871369</v>
      </c>
      <c r="AO61" s="83">
        <f t="shared" si="13"/>
        <v>2.5248658300225357</v>
      </c>
      <c r="AP61" s="90">
        <f t="shared" si="40"/>
        <v>90.072455434157561</v>
      </c>
      <c r="AQ61" s="90">
        <f t="shared" si="41"/>
        <v>143.49488211615869</v>
      </c>
      <c r="AR61" s="10">
        <f t="shared" si="42"/>
        <v>330676</v>
      </c>
      <c r="AS61" s="10">
        <f t="shared" si="43"/>
        <v>526801.6</v>
      </c>
      <c r="AT61" s="60">
        <f t="shared" si="44"/>
        <v>3190878.5439516203</v>
      </c>
      <c r="AU61" s="85">
        <f t="shared" si="45"/>
        <v>43510</v>
      </c>
      <c r="AV61" s="85">
        <f t="shared" si="14"/>
        <v>69316</v>
      </c>
      <c r="AW61" s="10"/>
      <c r="AX61" s="60">
        <f t="shared" si="15"/>
        <v>380.5</v>
      </c>
      <c r="AZ61" s="99">
        <f t="shared" ca="1" si="46"/>
        <v>118.7813686026452</v>
      </c>
      <c r="BA61" s="99">
        <f t="shared" ca="1" si="47"/>
        <v>189.23289246693503</v>
      </c>
      <c r="BB61" s="100">
        <f t="shared" ca="1" si="48"/>
        <v>57378</v>
      </c>
      <c r="BC61" s="100">
        <f t="shared" ca="1" si="49"/>
        <v>91410</v>
      </c>
    </row>
    <row r="62" spans="1:59" ht="11.4" x14ac:dyDescent="0.25">
      <c r="A62" s="1"/>
      <c r="B62" s="1">
        <v>6</v>
      </c>
      <c r="C62" s="66"/>
      <c r="D62" s="83">
        <f t="shared" si="0"/>
        <v>0.75068805108921166</v>
      </c>
      <c r="E62" s="83">
        <f t="shared" si="1"/>
        <v>0.75905208592982976</v>
      </c>
      <c r="F62" s="90">
        <f t="shared" si="16"/>
        <v>27.431627372052905</v>
      </c>
      <c r="G62" s="90">
        <f t="shared" si="17"/>
        <v>36.417481311098335</v>
      </c>
      <c r="H62" s="10">
        <f t="shared" si="18"/>
        <v>17668</v>
      </c>
      <c r="I62" s="10">
        <f t="shared" si="19"/>
        <v>28146.666666666668</v>
      </c>
      <c r="J62" s="60">
        <f t="shared" si="20"/>
        <v>21411.894794322317</v>
      </c>
      <c r="K62" s="85">
        <f t="shared" si="21"/>
        <v>13251</v>
      </c>
      <c r="L62" s="85">
        <f t="shared" si="2"/>
        <v>21110</v>
      </c>
      <c r="M62" s="83">
        <f t="shared" si="3"/>
        <v>1.658215281379668</v>
      </c>
      <c r="N62" s="83">
        <f t="shared" si="4"/>
        <v>1.6666200357108338</v>
      </c>
      <c r="O62" s="90">
        <f t="shared" si="22"/>
        <v>59.628752156411728</v>
      </c>
      <c r="P62" s="90">
        <f t="shared" si="23"/>
        <v>94.997354801610115</v>
      </c>
      <c r="Q62" s="10">
        <f t="shared" si="24"/>
        <v>120016.66666666667</v>
      </c>
      <c r="R62" s="10">
        <f t="shared" si="25"/>
        <v>191204.16666666666</v>
      </c>
      <c r="S62" s="60">
        <f t="shared" si="26"/>
        <v>361599.38219933992</v>
      </c>
      <c r="T62" s="85">
        <f t="shared" si="27"/>
        <v>28804</v>
      </c>
      <c r="U62" s="85">
        <f t="shared" si="5"/>
        <v>45889</v>
      </c>
      <c r="V62" s="83">
        <f t="shared" si="6"/>
        <v>2.514277262707469</v>
      </c>
      <c r="W62" s="83">
        <f t="shared" si="7"/>
        <v>2.5226545053133855</v>
      </c>
      <c r="X62" s="90">
        <f t="shared" si="28"/>
        <v>90</v>
      </c>
      <c r="Y62" s="90">
        <f t="shared" si="29"/>
        <v>143.38102357676826</v>
      </c>
      <c r="Z62" s="10">
        <f t="shared" si="30"/>
        <v>253604.16666666666</v>
      </c>
      <c r="AA62" s="10">
        <f t="shared" si="31"/>
        <v>404022.5</v>
      </c>
      <c r="AB62" s="60">
        <f t="shared" si="32"/>
        <v>2558809.1666666665</v>
      </c>
      <c r="AC62" s="85">
        <f t="shared" si="33"/>
        <v>43475</v>
      </c>
      <c r="AD62" s="85">
        <f t="shared" si="8"/>
        <v>69261</v>
      </c>
      <c r="AE62" s="83">
        <f t="shared" si="9"/>
        <v>3.3255259660269707</v>
      </c>
      <c r="AF62" s="83">
        <f t="shared" si="10"/>
        <v>3.3338947700415611</v>
      </c>
      <c r="AG62" s="90">
        <f t="shared" si="34"/>
        <v>118.7813686026452</v>
      </c>
      <c r="AH62" s="90">
        <f t="shared" si="35"/>
        <v>189.23289246693503</v>
      </c>
      <c r="AI62" s="10">
        <f t="shared" si="36"/>
        <v>478150</v>
      </c>
      <c r="AJ62" s="10">
        <f t="shared" si="37"/>
        <v>761750</v>
      </c>
      <c r="AK62" s="60">
        <f t="shared" si="38"/>
        <v>4119172.1922045127</v>
      </c>
      <c r="AL62" s="85">
        <f t="shared" si="39"/>
        <v>57378</v>
      </c>
      <c r="AM62" s="85">
        <f t="shared" si="11"/>
        <v>91410</v>
      </c>
      <c r="AN62" s="83">
        <f t="shared" si="12"/>
        <v>2.5163195344917013</v>
      </c>
      <c r="AO62" s="83">
        <f t="shared" si="13"/>
        <v>2.5246689626053649</v>
      </c>
      <c r="AP62" s="90">
        <f t="shared" si="40"/>
        <v>90.072455434157561</v>
      </c>
      <c r="AQ62" s="90">
        <f t="shared" si="41"/>
        <v>143.49488211615869</v>
      </c>
      <c r="AR62" s="10">
        <f t="shared" si="42"/>
        <v>275563.33333333331</v>
      </c>
      <c r="AS62" s="10">
        <f t="shared" si="43"/>
        <v>439001.33333333331</v>
      </c>
      <c r="AT62" s="60">
        <f t="shared" si="44"/>
        <v>2293301.6056374228</v>
      </c>
      <c r="AU62" s="85">
        <f t="shared" si="45"/>
        <v>43510</v>
      </c>
      <c r="AV62" s="85">
        <f t="shared" si="14"/>
        <v>69316</v>
      </c>
      <c r="AW62" s="10"/>
      <c r="AX62" s="60">
        <f t="shared" si="15"/>
        <v>385.875</v>
      </c>
      <c r="AZ62" s="99">
        <f t="shared" ca="1" si="46"/>
        <v>118.7813686026452</v>
      </c>
      <c r="BA62" s="99">
        <f t="shared" ca="1" si="47"/>
        <v>189.23289246693503</v>
      </c>
      <c r="BB62" s="100">
        <f t="shared" ca="1" si="48"/>
        <v>57378</v>
      </c>
      <c r="BC62" s="100">
        <f t="shared" ca="1" si="49"/>
        <v>91410</v>
      </c>
    </row>
    <row r="63" spans="1:59" ht="11.4" x14ac:dyDescent="0.25">
      <c r="A63" s="1"/>
      <c r="B63" s="1">
        <v>7</v>
      </c>
      <c r="C63" s="66"/>
      <c r="D63" s="83">
        <f t="shared" si="0"/>
        <v>0.75035982883817431</v>
      </c>
      <c r="E63" s="83">
        <f t="shared" si="1"/>
        <v>0.51909817628368626</v>
      </c>
      <c r="F63" s="90">
        <f t="shared" si="16"/>
        <v>27.431627372052905</v>
      </c>
      <c r="G63" s="90">
        <f t="shared" si="17"/>
        <v>31.21498398094143</v>
      </c>
      <c r="H63" s="10">
        <f t="shared" si="18"/>
        <v>15144</v>
      </c>
      <c r="I63" s="10">
        <f t="shared" si="19"/>
        <v>24125.714285714286</v>
      </c>
      <c r="J63" s="60">
        <f t="shared" si="20"/>
        <v>14564.250054954273</v>
      </c>
      <c r="K63" s="85">
        <f t="shared" si="21"/>
        <v>13251</v>
      </c>
      <c r="L63" s="85">
        <f t="shared" si="2"/>
        <v>14564.250054954273</v>
      </c>
      <c r="M63" s="83">
        <f t="shared" si="3"/>
        <v>1.6578870591286308</v>
      </c>
      <c r="N63" s="83">
        <f t="shared" si="4"/>
        <v>1.6664140116696087</v>
      </c>
      <c r="O63" s="90">
        <f t="shared" si="22"/>
        <v>59.628752156411728</v>
      </c>
      <c r="P63" s="90">
        <f t="shared" si="23"/>
        <v>94.997354801610115</v>
      </c>
      <c r="Q63" s="10">
        <f t="shared" si="24"/>
        <v>102871.42857142857</v>
      </c>
      <c r="R63" s="10">
        <f t="shared" si="25"/>
        <v>163889.28571428571</v>
      </c>
      <c r="S63" s="60">
        <f t="shared" si="26"/>
        <v>283433.87359925703</v>
      </c>
      <c r="T63" s="85">
        <f t="shared" si="27"/>
        <v>28804</v>
      </c>
      <c r="U63" s="85">
        <f t="shared" si="5"/>
        <v>45889</v>
      </c>
      <c r="V63" s="83">
        <f t="shared" si="6"/>
        <v>2.5139490404564317</v>
      </c>
      <c r="W63" s="83">
        <f t="shared" si="7"/>
        <v>2.5224484812721606</v>
      </c>
      <c r="X63" s="90">
        <f t="shared" si="28"/>
        <v>90</v>
      </c>
      <c r="Y63" s="90">
        <f t="shared" si="29"/>
        <v>143.38102357676826</v>
      </c>
      <c r="Z63" s="10">
        <f t="shared" si="30"/>
        <v>217375</v>
      </c>
      <c r="AA63" s="10">
        <f t="shared" si="31"/>
        <v>346305</v>
      </c>
      <c r="AB63" s="60">
        <f t="shared" si="32"/>
        <v>1879941.4285714286</v>
      </c>
      <c r="AC63" s="85">
        <f t="shared" si="33"/>
        <v>43475</v>
      </c>
      <c r="AD63" s="85">
        <f t="shared" si="8"/>
        <v>69261</v>
      </c>
      <c r="AE63" s="83">
        <f t="shared" si="9"/>
        <v>3.3251977437759335</v>
      </c>
      <c r="AF63" s="83">
        <f t="shared" si="10"/>
        <v>3.3336887460003357</v>
      </c>
      <c r="AG63" s="90">
        <f t="shared" si="34"/>
        <v>118.7813686026452</v>
      </c>
      <c r="AH63" s="90">
        <f t="shared" si="35"/>
        <v>189.23289246693503</v>
      </c>
      <c r="AI63" s="10">
        <f t="shared" si="36"/>
        <v>409842.85714285716</v>
      </c>
      <c r="AJ63" s="10">
        <f t="shared" si="37"/>
        <v>652928.57142857148</v>
      </c>
      <c r="AK63" s="60">
        <f t="shared" si="38"/>
        <v>3115483.5482761106</v>
      </c>
      <c r="AL63" s="85">
        <f t="shared" si="39"/>
        <v>57378</v>
      </c>
      <c r="AM63" s="85">
        <f t="shared" si="11"/>
        <v>91410</v>
      </c>
      <c r="AN63" s="83">
        <f t="shared" si="12"/>
        <v>2.5159913122406641</v>
      </c>
      <c r="AO63" s="83">
        <f t="shared" si="13"/>
        <v>2.5244629385641395</v>
      </c>
      <c r="AP63" s="90">
        <f t="shared" si="40"/>
        <v>90.072455434157561</v>
      </c>
      <c r="AQ63" s="90">
        <f t="shared" si="41"/>
        <v>143.49488211615869</v>
      </c>
      <c r="AR63" s="10">
        <f t="shared" si="42"/>
        <v>236197.14285714287</v>
      </c>
      <c r="AS63" s="10">
        <f t="shared" si="43"/>
        <v>376286.85714285716</v>
      </c>
      <c r="AT63" s="60">
        <f t="shared" si="44"/>
        <v>1734509.5301235344</v>
      </c>
      <c r="AU63" s="85">
        <f t="shared" si="45"/>
        <v>43510</v>
      </c>
      <c r="AV63" s="85">
        <f t="shared" si="14"/>
        <v>69316</v>
      </c>
      <c r="AW63" s="10"/>
      <c r="AX63" s="60">
        <f t="shared" si="15"/>
        <v>391.5</v>
      </c>
      <c r="AZ63" s="99">
        <f t="shared" ca="1" si="46"/>
        <v>118.7813686026452</v>
      </c>
      <c r="BA63" s="99">
        <f t="shared" ca="1" si="47"/>
        <v>189.23289246693503</v>
      </c>
      <c r="BB63" s="100">
        <f t="shared" ca="1" si="48"/>
        <v>57378</v>
      </c>
      <c r="BC63" s="100">
        <f t="shared" ca="1" si="49"/>
        <v>91410</v>
      </c>
    </row>
    <row r="64" spans="1:59" ht="11.4" x14ac:dyDescent="0.25">
      <c r="A64" s="1"/>
      <c r="B64" s="1">
        <v>8</v>
      </c>
      <c r="C64" s="66"/>
      <c r="D64" s="83">
        <f t="shared" si="0"/>
        <v>0.57936446581710799</v>
      </c>
      <c r="E64" s="83">
        <f t="shared" si="1"/>
        <v>0.36748554821178164</v>
      </c>
      <c r="F64" s="90">
        <f t="shared" si="16"/>
        <v>27.31311098332375</v>
      </c>
      <c r="G64" s="90">
        <f t="shared" si="17"/>
        <v>27.31311098332375</v>
      </c>
      <c r="H64" s="10">
        <f t="shared" si="18"/>
        <v>13251</v>
      </c>
      <c r="I64" s="10">
        <f t="shared" si="19"/>
        <v>21110</v>
      </c>
      <c r="J64" s="60">
        <f t="shared" si="20"/>
        <v>10430.575219711642</v>
      </c>
      <c r="K64" s="85">
        <f t="shared" si="21"/>
        <v>10326.269467514525</v>
      </c>
      <c r="L64" s="85">
        <f t="shared" si="2"/>
        <v>10430.575219711642</v>
      </c>
      <c r="M64" s="83">
        <f t="shared" si="3"/>
        <v>1.6575515430497927</v>
      </c>
      <c r="N64" s="83">
        <f t="shared" si="4"/>
        <v>1.6662034093163562</v>
      </c>
      <c r="O64" s="90">
        <f t="shared" si="22"/>
        <v>59.628752156411728</v>
      </c>
      <c r="P64" s="90">
        <f t="shared" si="23"/>
        <v>94.997354801610115</v>
      </c>
      <c r="Q64" s="10">
        <f t="shared" si="24"/>
        <v>90012.5</v>
      </c>
      <c r="R64" s="10">
        <f t="shared" si="25"/>
        <v>143403.125</v>
      </c>
      <c r="S64" s="60">
        <f t="shared" si="26"/>
        <v>229522.08263952698</v>
      </c>
      <c r="T64" s="85">
        <f t="shared" si="27"/>
        <v>28804</v>
      </c>
      <c r="U64" s="85">
        <f t="shared" si="5"/>
        <v>45889</v>
      </c>
      <c r="V64" s="83">
        <f t="shared" si="6"/>
        <v>2.5136135243775932</v>
      </c>
      <c r="W64" s="83">
        <f t="shared" si="7"/>
        <v>2.5222378789189079</v>
      </c>
      <c r="X64" s="90">
        <f t="shared" si="28"/>
        <v>90</v>
      </c>
      <c r="Y64" s="90">
        <f t="shared" si="29"/>
        <v>143.38102357676826</v>
      </c>
      <c r="Z64" s="10">
        <f t="shared" si="30"/>
        <v>190203.125</v>
      </c>
      <c r="AA64" s="10">
        <f t="shared" si="31"/>
        <v>303016.875</v>
      </c>
      <c r="AB64" s="60">
        <f t="shared" si="32"/>
        <v>1439330.15625</v>
      </c>
      <c r="AC64" s="85">
        <f t="shared" si="33"/>
        <v>43475</v>
      </c>
      <c r="AD64" s="85">
        <f t="shared" si="8"/>
        <v>69261</v>
      </c>
      <c r="AE64" s="83">
        <f t="shared" si="9"/>
        <v>3.3248622276970954</v>
      </c>
      <c r="AF64" s="83">
        <f t="shared" si="10"/>
        <v>3.3334781436470831</v>
      </c>
      <c r="AG64" s="90">
        <f t="shared" si="34"/>
        <v>118.7813686026452</v>
      </c>
      <c r="AH64" s="90">
        <f t="shared" si="35"/>
        <v>189.23289246693503</v>
      </c>
      <c r="AI64" s="10">
        <f t="shared" si="36"/>
        <v>358612.5</v>
      </c>
      <c r="AJ64" s="10">
        <f t="shared" si="37"/>
        <v>571312.5</v>
      </c>
      <c r="AK64" s="60">
        <f t="shared" si="38"/>
        <v>2446042.8613090971</v>
      </c>
      <c r="AL64" s="85">
        <f t="shared" si="39"/>
        <v>57378</v>
      </c>
      <c r="AM64" s="85">
        <f t="shared" si="11"/>
        <v>91410</v>
      </c>
      <c r="AN64" s="83">
        <f t="shared" si="12"/>
        <v>2.515655796161826</v>
      </c>
      <c r="AO64" s="83">
        <f t="shared" si="13"/>
        <v>2.5242523362108873</v>
      </c>
      <c r="AP64" s="90">
        <f t="shared" si="40"/>
        <v>90.072455434157561</v>
      </c>
      <c r="AQ64" s="90">
        <f t="shared" si="41"/>
        <v>143.49488211615869</v>
      </c>
      <c r="AR64" s="10">
        <f t="shared" si="42"/>
        <v>206672.5</v>
      </c>
      <c r="AS64" s="10">
        <f t="shared" si="43"/>
        <v>329251</v>
      </c>
      <c r="AT64" s="60">
        <f t="shared" si="44"/>
        <v>1361806.1492826275</v>
      </c>
      <c r="AU64" s="85">
        <f t="shared" si="45"/>
        <v>43510</v>
      </c>
      <c r="AV64" s="85">
        <f t="shared" si="14"/>
        <v>69316</v>
      </c>
      <c r="AW64" s="10"/>
      <c r="AX64" s="60">
        <f t="shared" si="15"/>
        <v>397.25</v>
      </c>
      <c r="AZ64" s="99">
        <f t="shared" ca="1" si="46"/>
        <v>118.7813686026452</v>
      </c>
      <c r="BA64" s="99">
        <f t="shared" ca="1" si="47"/>
        <v>189.23289246693503</v>
      </c>
      <c r="BB64" s="100">
        <f t="shared" ca="1" si="48"/>
        <v>57378</v>
      </c>
      <c r="BC64" s="100">
        <f t="shared" ca="1" si="49"/>
        <v>91410</v>
      </c>
    </row>
    <row r="65" spans="1:55" ht="11.4" x14ac:dyDescent="0.25">
      <c r="A65" s="1"/>
      <c r="B65" s="1">
        <v>9</v>
      </c>
      <c r="C65" s="66"/>
      <c r="D65" s="83">
        <f t="shared" si="0"/>
        <v>0.4253267375996076</v>
      </c>
      <c r="E65" s="83">
        <f t="shared" si="1"/>
        <v>0.26982212978189291</v>
      </c>
      <c r="F65" s="90">
        <f t="shared" si="16"/>
        <v>24.278320874065557</v>
      </c>
      <c r="G65" s="90">
        <f t="shared" si="17"/>
        <v>24.278320874065557</v>
      </c>
      <c r="H65" s="10">
        <f t="shared" si="18"/>
        <v>11778.666666666666</v>
      </c>
      <c r="I65" s="10">
        <f t="shared" si="19"/>
        <v>18764.444444444445</v>
      </c>
      <c r="J65" s="60">
        <f t="shared" si="20"/>
        <v>7770.106173665934</v>
      </c>
      <c r="K65" s="85">
        <f t="shared" si="21"/>
        <v>7692.4051119292744</v>
      </c>
      <c r="L65" s="85">
        <f t="shared" si="2"/>
        <v>7770.106173665934</v>
      </c>
      <c r="M65" s="83">
        <f t="shared" si="3"/>
        <v>1.6572014393153527</v>
      </c>
      <c r="N65" s="83">
        <f t="shared" si="4"/>
        <v>1.6659836503390495</v>
      </c>
      <c r="O65" s="90">
        <f t="shared" si="22"/>
        <v>59.628752156411728</v>
      </c>
      <c r="P65" s="90">
        <f t="shared" si="23"/>
        <v>94.997354801610115</v>
      </c>
      <c r="Q65" s="10">
        <f t="shared" si="24"/>
        <v>80011.111111111109</v>
      </c>
      <c r="R65" s="10">
        <f t="shared" si="25"/>
        <v>127469.44444444444</v>
      </c>
      <c r="S65" s="60">
        <f t="shared" si="26"/>
        <v>190547.6032516908</v>
      </c>
      <c r="T65" s="85">
        <f t="shared" si="27"/>
        <v>28804</v>
      </c>
      <c r="U65" s="85">
        <f t="shared" si="5"/>
        <v>45889</v>
      </c>
      <c r="V65" s="83">
        <f t="shared" si="6"/>
        <v>2.5132634206431534</v>
      </c>
      <c r="W65" s="83">
        <f t="shared" si="7"/>
        <v>2.5220181199416012</v>
      </c>
      <c r="X65" s="90">
        <f t="shared" si="28"/>
        <v>90</v>
      </c>
      <c r="Y65" s="90">
        <f t="shared" si="29"/>
        <v>143.38102357676826</v>
      </c>
      <c r="Z65" s="10">
        <f t="shared" si="30"/>
        <v>169069.44444444444</v>
      </c>
      <c r="AA65" s="10">
        <f t="shared" si="31"/>
        <v>269348.33333333331</v>
      </c>
      <c r="AB65" s="60">
        <f t="shared" si="32"/>
        <v>1137248.5185185184</v>
      </c>
      <c r="AC65" s="85">
        <f t="shared" si="33"/>
        <v>43475</v>
      </c>
      <c r="AD65" s="85">
        <f t="shared" si="8"/>
        <v>69261</v>
      </c>
      <c r="AE65" s="83">
        <f t="shared" si="9"/>
        <v>3.3245121239626556</v>
      </c>
      <c r="AF65" s="83">
        <f t="shared" si="10"/>
        <v>3.3332583846697763</v>
      </c>
      <c r="AG65" s="90">
        <f t="shared" si="34"/>
        <v>118.7813686026452</v>
      </c>
      <c r="AH65" s="90">
        <f t="shared" si="35"/>
        <v>189.23289246693503</v>
      </c>
      <c r="AI65" s="10">
        <f t="shared" si="36"/>
        <v>318766.66666666669</v>
      </c>
      <c r="AJ65" s="10">
        <f t="shared" si="37"/>
        <v>507833.33333333331</v>
      </c>
      <c r="AK65" s="60">
        <f t="shared" si="38"/>
        <v>1976029.1222299454</v>
      </c>
      <c r="AL65" s="85">
        <f t="shared" si="39"/>
        <v>57378</v>
      </c>
      <c r="AM65" s="85">
        <f t="shared" si="11"/>
        <v>91410</v>
      </c>
      <c r="AN65" s="83">
        <f t="shared" si="12"/>
        <v>2.5153056924273862</v>
      </c>
      <c r="AO65" s="83">
        <f t="shared" si="13"/>
        <v>2.5240325772335805</v>
      </c>
      <c r="AP65" s="90">
        <f t="shared" si="40"/>
        <v>90.072455434157561</v>
      </c>
      <c r="AQ65" s="90">
        <f t="shared" si="41"/>
        <v>143.49488211615869</v>
      </c>
      <c r="AR65" s="10">
        <f t="shared" si="42"/>
        <v>183708.88888888888</v>
      </c>
      <c r="AS65" s="10">
        <f t="shared" si="43"/>
        <v>292667.55555555556</v>
      </c>
      <c r="AT65" s="60">
        <f t="shared" si="44"/>
        <v>1100131.4213987708</v>
      </c>
      <c r="AU65" s="85">
        <f t="shared" si="45"/>
        <v>43510</v>
      </c>
      <c r="AV65" s="85">
        <f t="shared" si="14"/>
        <v>69316</v>
      </c>
      <c r="AW65" s="10"/>
      <c r="AX65" s="60">
        <f t="shared" si="15"/>
        <v>403.25</v>
      </c>
      <c r="AZ65" s="99">
        <f t="shared" ca="1" si="46"/>
        <v>118.7813686026452</v>
      </c>
      <c r="BA65" s="99">
        <f t="shared" ca="1" si="47"/>
        <v>189.23289246693503</v>
      </c>
      <c r="BB65" s="100">
        <f t="shared" ca="1" si="48"/>
        <v>57378</v>
      </c>
      <c r="BC65" s="100">
        <f t="shared" ca="1" si="49"/>
        <v>91410</v>
      </c>
    </row>
    <row r="66" spans="1:55" ht="11.4" x14ac:dyDescent="0.25">
      <c r="A66" s="1"/>
      <c r="B66" s="1">
        <v>10</v>
      </c>
      <c r="C66" s="66"/>
      <c r="D66" s="83">
        <f t="shared" si="0"/>
        <v>0.32102187547732308</v>
      </c>
      <c r="E66" s="83">
        <f t="shared" si="1"/>
        <v>0.2036912872404594</v>
      </c>
      <c r="F66" s="90">
        <f t="shared" si="16"/>
        <v>21.850488786659</v>
      </c>
      <c r="G66" s="90">
        <f t="shared" si="17"/>
        <v>21.850488786659</v>
      </c>
      <c r="H66" s="10">
        <f t="shared" si="18"/>
        <v>10600.8</v>
      </c>
      <c r="I66" s="10">
        <f t="shared" si="19"/>
        <v>16888</v>
      </c>
      <c r="J66" s="60">
        <f t="shared" si="20"/>
        <v>5970.8096603392041</v>
      </c>
      <c r="K66" s="85">
        <f t="shared" si="21"/>
        <v>5911.1015637358123</v>
      </c>
      <c r="L66" s="85">
        <f t="shared" si="2"/>
        <v>5970.8096603392041</v>
      </c>
      <c r="M66" s="83">
        <f t="shared" si="3"/>
        <v>1.6568367479253112</v>
      </c>
      <c r="N66" s="83">
        <f t="shared" si="4"/>
        <v>1.6657547347376882</v>
      </c>
      <c r="O66" s="90">
        <f t="shared" si="22"/>
        <v>59.628752156411728</v>
      </c>
      <c r="P66" s="90">
        <f t="shared" si="23"/>
        <v>94.997354801610115</v>
      </c>
      <c r="Q66" s="10">
        <f t="shared" si="24"/>
        <v>72010</v>
      </c>
      <c r="R66" s="10">
        <f t="shared" si="25"/>
        <v>114722.5</v>
      </c>
      <c r="S66" s="60">
        <f t="shared" si="26"/>
        <v>161326.85050917015</v>
      </c>
      <c r="T66" s="85">
        <f t="shared" si="27"/>
        <v>28804</v>
      </c>
      <c r="U66" s="85">
        <f t="shared" si="5"/>
        <v>45889</v>
      </c>
      <c r="V66" s="83">
        <f t="shared" si="6"/>
        <v>2.512898729253112</v>
      </c>
      <c r="W66" s="83">
        <f t="shared" si="7"/>
        <v>2.5217892043402399</v>
      </c>
      <c r="X66" s="90">
        <f t="shared" si="28"/>
        <v>90</v>
      </c>
      <c r="Y66" s="90">
        <f t="shared" si="29"/>
        <v>143.38102357676826</v>
      </c>
      <c r="Z66" s="10">
        <f t="shared" si="30"/>
        <v>152162.5</v>
      </c>
      <c r="AA66" s="10">
        <f t="shared" si="31"/>
        <v>242413.5</v>
      </c>
      <c r="AB66" s="60">
        <f t="shared" si="32"/>
        <v>921171.29999999993</v>
      </c>
      <c r="AC66" s="85">
        <f t="shared" si="33"/>
        <v>43475</v>
      </c>
      <c r="AD66" s="85">
        <f t="shared" si="8"/>
        <v>69261</v>
      </c>
      <c r="AE66" s="83">
        <f t="shared" si="9"/>
        <v>3.3241474325726141</v>
      </c>
      <c r="AF66" s="83">
        <f t="shared" si="10"/>
        <v>3.3330294690684155</v>
      </c>
      <c r="AG66" s="90">
        <f t="shared" si="34"/>
        <v>118.7813686026452</v>
      </c>
      <c r="AH66" s="90">
        <f t="shared" si="35"/>
        <v>189.23289246693503</v>
      </c>
      <c r="AI66" s="10">
        <f t="shared" si="36"/>
        <v>286890</v>
      </c>
      <c r="AJ66" s="10">
        <f t="shared" si="37"/>
        <v>457050</v>
      </c>
      <c r="AK66" s="60">
        <f t="shared" si="38"/>
        <v>1632663.0169809889</v>
      </c>
      <c r="AL66" s="85">
        <f t="shared" si="39"/>
        <v>57378</v>
      </c>
      <c r="AM66" s="85">
        <f t="shared" si="11"/>
        <v>91410</v>
      </c>
      <c r="AN66" s="83">
        <f t="shared" si="12"/>
        <v>2.5149410010373447</v>
      </c>
      <c r="AO66" s="83">
        <f t="shared" si="13"/>
        <v>2.5238036616322193</v>
      </c>
      <c r="AP66" s="90">
        <f t="shared" si="40"/>
        <v>90.072455434157561</v>
      </c>
      <c r="AQ66" s="90">
        <f t="shared" si="41"/>
        <v>143.49488211615869</v>
      </c>
      <c r="AR66" s="10">
        <f t="shared" si="42"/>
        <v>165338</v>
      </c>
      <c r="AS66" s="10">
        <f t="shared" si="43"/>
        <v>263400.8</v>
      </c>
      <c r="AT66" s="60">
        <f t="shared" si="44"/>
        <v>908966.30283948197</v>
      </c>
      <c r="AU66" s="85">
        <f t="shared" si="45"/>
        <v>43510</v>
      </c>
      <c r="AV66" s="85">
        <f t="shared" si="14"/>
        <v>69316</v>
      </c>
      <c r="AW66" s="10"/>
      <c r="AX66" s="60">
        <f t="shared" si="15"/>
        <v>409.5</v>
      </c>
      <c r="AZ66" s="99">
        <f t="shared" ca="1" si="46"/>
        <v>118.7813686026452</v>
      </c>
      <c r="BA66" s="99">
        <f t="shared" ca="1" si="47"/>
        <v>189.23289246693503</v>
      </c>
      <c r="BB66" s="100">
        <f t="shared" ca="1" si="48"/>
        <v>57378</v>
      </c>
      <c r="BC66" s="100">
        <f t="shared" ca="1" si="49"/>
        <v>91410</v>
      </c>
    </row>
    <row r="67" spans="1:55" ht="11.4" x14ac:dyDescent="0.25">
      <c r="A67" s="1"/>
      <c r="B67" s="1">
        <v>11</v>
      </c>
      <c r="C67" s="66"/>
      <c r="D67" s="83">
        <f t="shared" si="0"/>
        <v>0.24752263870344252</v>
      </c>
      <c r="E67" s="83">
        <f t="shared" si="1"/>
        <v>0.15709240104972924</v>
      </c>
      <c r="F67" s="90">
        <f t="shared" si="16"/>
        <v>19.864080715144546</v>
      </c>
      <c r="G67" s="90">
        <f t="shared" si="17"/>
        <v>19.864080715144546</v>
      </c>
      <c r="H67" s="10">
        <f t="shared" si="18"/>
        <v>9637.0909090909099</v>
      </c>
      <c r="I67" s="10">
        <f t="shared" si="19"/>
        <v>15352.727272727272</v>
      </c>
      <c r="J67" s="60">
        <f t="shared" si="20"/>
        <v>4704.9120980492671</v>
      </c>
      <c r="K67" s="85">
        <f t="shared" si="21"/>
        <v>4657.8629770687749</v>
      </c>
      <c r="L67" s="85">
        <f t="shared" si="2"/>
        <v>4704.9120980492671</v>
      </c>
      <c r="M67" s="83">
        <f t="shared" si="3"/>
        <v>1.6564647627074689</v>
      </c>
      <c r="N67" s="83">
        <f t="shared" si="4"/>
        <v>1.6655212408242996</v>
      </c>
      <c r="O67" s="90">
        <f t="shared" si="22"/>
        <v>59.628752156411728</v>
      </c>
      <c r="P67" s="90">
        <f t="shared" si="23"/>
        <v>94.997354801610115</v>
      </c>
      <c r="Q67" s="10">
        <f t="shared" si="24"/>
        <v>65463.63636363636</v>
      </c>
      <c r="R67" s="10">
        <f t="shared" si="25"/>
        <v>104293.18181818182</v>
      </c>
      <c r="S67" s="60">
        <f t="shared" si="26"/>
        <v>138773.39490706223</v>
      </c>
      <c r="T67" s="85">
        <f t="shared" si="27"/>
        <v>28804</v>
      </c>
      <c r="U67" s="85">
        <f t="shared" si="5"/>
        <v>45889</v>
      </c>
      <c r="V67" s="83">
        <f t="shared" si="6"/>
        <v>2.5125267440352701</v>
      </c>
      <c r="W67" s="83">
        <f t="shared" si="7"/>
        <v>2.5215557104268513</v>
      </c>
      <c r="X67" s="90">
        <f t="shared" si="28"/>
        <v>90</v>
      </c>
      <c r="Y67" s="90">
        <f t="shared" si="29"/>
        <v>143.38102357676826</v>
      </c>
      <c r="Z67" s="10">
        <f t="shared" si="30"/>
        <v>138329.54545454544</v>
      </c>
      <c r="AA67" s="10">
        <f t="shared" si="31"/>
        <v>220375.90909090909</v>
      </c>
      <c r="AB67" s="60">
        <f t="shared" si="32"/>
        <v>761298.59504132229</v>
      </c>
      <c r="AC67" s="85">
        <f t="shared" si="33"/>
        <v>43475</v>
      </c>
      <c r="AD67" s="85">
        <f t="shared" si="8"/>
        <v>69261</v>
      </c>
      <c r="AE67" s="83">
        <f t="shared" si="9"/>
        <v>3.3237754473547718</v>
      </c>
      <c r="AF67" s="83">
        <f t="shared" si="10"/>
        <v>3.3327959751550269</v>
      </c>
      <c r="AG67" s="90">
        <f t="shared" si="34"/>
        <v>118.7813686026452</v>
      </c>
      <c r="AH67" s="90">
        <f t="shared" si="35"/>
        <v>189.23289246693503</v>
      </c>
      <c r="AI67" s="10">
        <f t="shared" si="36"/>
        <v>260809.09090909091</v>
      </c>
      <c r="AJ67" s="10">
        <f t="shared" si="37"/>
        <v>415500</v>
      </c>
      <c r="AK67" s="60">
        <f t="shared" si="38"/>
        <v>1373748.6893792672</v>
      </c>
      <c r="AL67" s="85">
        <f t="shared" si="39"/>
        <v>57378</v>
      </c>
      <c r="AM67" s="85">
        <f t="shared" si="11"/>
        <v>91410</v>
      </c>
      <c r="AN67" s="83">
        <f t="shared" si="12"/>
        <v>2.514569015819502</v>
      </c>
      <c r="AO67" s="83">
        <f t="shared" si="13"/>
        <v>2.5235701677188307</v>
      </c>
      <c r="AP67" s="90">
        <f t="shared" si="40"/>
        <v>90.072455434157561</v>
      </c>
      <c r="AQ67" s="90">
        <f t="shared" si="41"/>
        <v>143.49488211615869</v>
      </c>
      <c r="AR67" s="10">
        <f t="shared" si="42"/>
        <v>150307.27272727274</v>
      </c>
      <c r="AS67" s="10">
        <f t="shared" si="43"/>
        <v>239455.27272727274</v>
      </c>
      <c r="AT67" s="60">
        <f t="shared" si="44"/>
        <v>764818.73738075665</v>
      </c>
      <c r="AU67" s="85">
        <f t="shared" si="45"/>
        <v>43510</v>
      </c>
      <c r="AV67" s="85">
        <f t="shared" si="14"/>
        <v>69316</v>
      </c>
      <c r="AW67" s="10"/>
      <c r="AX67" s="60">
        <f t="shared" si="15"/>
        <v>415.875</v>
      </c>
      <c r="AZ67" s="99">
        <f t="shared" ca="1" si="46"/>
        <v>118.7813686026452</v>
      </c>
      <c r="BA67" s="99">
        <f t="shared" ca="1" si="47"/>
        <v>189.23289246693503</v>
      </c>
      <c r="BB67" s="100">
        <f t="shared" ca="1" si="48"/>
        <v>57378</v>
      </c>
      <c r="BC67" s="100">
        <f t="shared" ca="1" si="49"/>
        <v>91410</v>
      </c>
    </row>
    <row r="68" spans="1:55" ht="11.4" x14ac:dyDescent="0.25">
      <c r="A68" s="1"/>
      <c r="B68" s="1">
        <v>12</v>
      </c>
      <c r="C68" s="66"/>
      <c r="D68" s="83">
        <f t="shared" si="0"/>
        <v>0.19400256000943913</v>
      </c>
      <c r="E68" s="83">
        <f t="shared" si="1"/>
        <v>0.12316113528308131</v>
      </c>
      <c r="F68" s="90">
        <f t="shared" si="16"/>
        <v>18.208740655549168</v>
      </c>
      <c r="G68" s="90">
        <f t="shared" si="17"/>
        <v>18.208740655549168</v>
      </c>
      <c r="H68" s="10">
        <f t="shared" si="18"/>
        <v>8834</v>
      </c>
      <c r="I68" s="10">
        <f t="shared" si="19"/>
        <v>14073.333333333334</v>
      </c>
      <c r="J68" s="60">
        <f t="shared" si="20"/>
        <v>3785.1240017795612</v>
      </c>
      <c r="K68" s="85">
        <f t="shared" si="21"/>
        <v>3747.2727617617657</v>
      </c>
      <c r="L68" s="85">
        <f t="shared" si="2"/>
        <v>3785.1240017795612</v>
      </c>
      <c r="M68" s="83">
        <f t="shared" si="3"/>
        <v>1.6560781898340249</v>
      </c>
      <c r="N68" s="83">
        <f t="shared" si="4"/>
        <v>1.6652785902868568</v>
      </c>
      <c r="O68" s="90">
        <f t="shared" si="22"/>
        <v>59.628752156411728</v>
      </c>
      <c r="P68" s="90">
        <f t="shared" si="23"/>
        <v>94.997354801610115</v>
      </c>
      <c r="Q68" s="10">
        <f t="shared" si="24"/>
        <v>60008.333333333336</v>
      </c>
      <c r="R68" s="10">
        <f t="shared" si="25"/>
        <v>95602.083333333328</v>
      </c>
      <c r="S68" s="60">
        <f t="shared" si="26"/>
        <v>120948.44430953292</v>
      </c>
      <c r="T68" s="85">
        <f t="shared" si="27"/>
        <v>28804</v>
      </c>
      <c r="U68" s="85">
        <f t="shared" si="5"/>
        <v>45889</v>
      </c>
      <c r="V68" s="83">
        <f t="shared" si="6"/>
        <v>2.5121401711618261</v>
      </c>
      <c r="W68" s="83">
        <f t="shared" si="7"/>
        <v>2.5213130598894082</v>
      </c>
      <c r="X68" s="90">
        <f t="shared" si="28"/>
        <v>90</v>
      </c>
      <c r="Y68" s="90">
        <f t="shared" si="29"/>
        <v>143.38102357676826</v>
      </c>
      <c r="Z68" s="10">
        <f t="shared" si="30"/>
        <v>126802.08333333333</v>
      </c>
      <c r="AA68" s="10">
        <f t="shared" si="31"/>
        <v>202011.25</v>
      </c>
      <c r="AB68" s="60">
        <f t="shared" si="32"/>
        <v>639702.29166666663</v>
      </c>
      <c r="AC68" s="85">
        <f t="shared" si="33"/>
        <v>43475</v>
      </c>
      <c r="AD68" s="85">
        <f t="shared" si="8"/>
        <v>69261</v>
      </c>
      <c r="AE68" s="83">
        <f t="shared" si="9"/>
        <v>3.3233888744813278</v>
      </c>
      <c r="AF68" s="83">
        <f t="shared" si="10"/>
        <v>3.3325533246175838</v>
      </c>
      <c r="AG68" s="90">
        <f t="shared" si="34"/>
        <v>118.7813686026452</v>
      </c>
      <c r="AH68" s="90">
        <f t="shared" si="35"/>
        <v>189.23289246693503</v>
      </c>
      <c r="AI68" s="10">
        <f t="shared" si="36"/>
        <v>239075</v>
      </c>
      <c r="AJ68" s="10">
        <f t="shared" si="37"/>
        <v>380875</v>
      </c>
      <c r="AK68" s="60">
        <f t="shared" si="38"/>
        <v>1173403.708958002</v>
      </c>
      <c r="AL68" s="85">
        <f t="shared" si="39"/>
        <v>57378</v>
      </c>
      <c r="AM68" s="85">
        <f t="shared" si="11"/>
        <v>91410</v>
      </c>
      <c r="AN68" s="83">
        <f t="shared" si="12"/>
        <v>2.514182442946058</v>
      </c>
      <c r="AO68" s="83">
        <f t="shared" si="13"/>
        <v>2.523327517181388</v>
      </c>
      <c r="AP68" s="90">
        <f t="shared" si="40"/>
        <v>90.072455434157561</v>
      </c>
      <c r="AQ68" s="90">
        <f t="shared" si="41"/>
        <v>143.49488211615869</v>
      </c>
      <c r="AR68" s="10">
        <f t="shared" si="42"/>
        <v>137781.66666666666</v>
      </c>
      <c r="AS68" s="10">
        <f t="shared" si="43"/>
        <v>219500.66666666666</v>
      </c>
      <c r="AT68" s="60">
        <f t="shared" si="44"/>
        <v>653278.98039973201</v>
      </c>
      <c r="AU68" s="85">
        <f t="shared" si="45"/>
        <v>43510</v>
      </c>
      <c r="AV68" s="85">
        <f t="shared" si="14"/>
        <v>69316</v>
      </c>
      <c r="AW68" s="10"/>
      <c r="AX68" s="60">
        <f t="shared" si="15"/>
        <v>422.5</v>
      </c>
      <c r="AZ68" s="99">
        <f t="shared" ca="1" si="46"/>
        <v>118.7813686026452</v>
      </c>
      <c r="BA68" s="99">
        <f t="shared" ca="1" si="47"/>
        <v>189.23289246693503</v>
      </c>
      <c r="BB68" s="100">
        <f t="shared" ca="1" si="48"/>
        <v>57378</v>
      </c>
      <c r="BC68" s="100">
        <f t="shared" ca="1" si="49"/>
        <v>91410</v>
      </c>
    </row>
    <row r="69" spans="1:55" ht="11.4" x14ac:dyDescent="0.25">
      <c r="A69" s="1"/>
      <c r="B69" s="1">
        <v>13</v>
      </c>
      <c r="C69" s="66"/>
      <c r="D69" s="83">
        <f t="shared" si="0"/>
        <v>0.15395402678648559</v>
      </c>
      <c r="E69" s="83">
        <f t="shared" si="1"/>
        <v>9.777137571102204E-2</v>
      </c>
      <c r="F69" s="90">
        <f t="shared" si="16"/>
        <v>16.808068297430001</v>
      </c>
      <c r="G69" s="90">
        <f t="shared" si="17"/>
        <v>16.808068297430001</v>
      </c>
      <c r="H69" s="10">
        <f t="shared" si="18"/>
        <v>8154.4615384615381</v>
      </c>
      <c r="I69" s="10">
        <f t="shared" si="19"/>
        <v>12990.76923076923</v>
      </c>
      <c r="J69" s="60">
        <f t="shared" si="20"/>
        <v>3098.6665647079167</v>
      </c>
      <c r="K69" s="85">
        <f t="shared" si="21"/>
        <v>3067.6798990608377</v>
      </c>
      <c r="L69" s="85">
        <f t="shared" si="2"/>
        <v>3098.6665647079167</v>
      </c>
      <c r="M69" s="83">
        <f t="shared" si="3"/>
        <v>1.6556843231327802</v>
      </c>
      <c r="N69" s="83">
        <f t="shared" si="4"/>
        <v>1.6650313614373866</v>
      </c>
      <c r="O69" s="90">
        <f t="shared" si="22"/>
        <v>59.628752156411728</v>
      </c>
      <c r="P69" s="90">
        <f t="shared" si="23"/>
        <v>94.997354801610115</v>
      </c>
      <c r="Q69" s="10">
        <f t="shared" si="24"/>
        <v>55392.307692307695</v>
      </c>
      <c r="R69" s="10">
        <f t="shared" si="25"/>
        <v>88248.076923076922</v>
      </c>
      <c r="S69" s="60">
        <f t="shared" si="26"/>
        <v>106580.10868175975</v>
      </c>
      <c r="T69" s="85">
        <f t="shared" si="27"/>
        <v>28804</v>
      </c>
      <c r="U69" s="85">
        <f t="shared" si="5"/>
        <v>45889</v>
      </c>
      <c r="V69" s="83">
        <f t="shared" si="6"/>
        <v>2.5117463044605808</v>
      </c>
      <c r="W69" s="83">
        <f t="shared" si="7"/>
        <v>2.5210658310399383</v>
      </c>
      <c r="X69" s="90">
        <f t="shared" si="28"/>
        <v>90</v>
      </c>
      <c r="Y69" s="90">
        <f t="shared" si="29"/>
        <v>143.38102357676826</v>
      </c>
      <c r="Z69" s="10">
        <f t="shared" si="30"/>
        <v>117048.07692307692</v>
      </c>
      <c r="AA69" s="10">
        <f t="shared" si="31"/>
        <v>186471.92307692306</v>
      </c>
      <c r="AB69" s="60">
        <f t="shared" si="32"/>
        <v>545071.77514792897</v>
      </c>
      <c r="AC69" s="85">
        <f t="shared" si="33"/>
        <v>43475</v>
      </c>
      <c r="AD69" s="85">
        <f t="shared" si="8"/>
        <v>69261</v>
      </c>
      <c r="AE69" s="83">
        <f t="shared" si="9"/>
        <v>3.3229950077800829</v>
      </c>
      <c r="AF69" s="83">
        <f t="shared" si="10"/>
        <v>3.3323060957681134</v>
      </c>
      <c r="AG69" s="90">
        <f t="shared" si="34"/>
        <v>118.7813686026452</v>
      </c>
      <c r="AH69" s="90">
        <f t="shared" si="35"/>
        <v>189.23289246693503</v>
      </c>
      <c r="AI69" s="10">
        <f t="shared" si="36"/>
        <v>220684.61538461538</v>
      </c>
      <c r="AJ69" s="10">
        <f t="shared" si="37"/>
        <v>351576.92307692306</v>
      </c>
      <c r="AK69" s="60">
        <f t="shared" si="38"/>
        <v>1015010.4505095434</v>
      </c>
      <c r="AL69" s="85">
        <f t="shared" si="39"/>
        <v>57378</v>
      </c>
      <c r="AM69" s="85">
        <f t="shared" si="11"/>
        <v>91410</v>
      </c>
      <c r="AN69" s="83">
        <f t="shared" si="12"/>
        <v>2.5137885762448136</v>
      </c>
      <c r="AO69" s="83">
        <f t="shared" si="13"/>
        <v>2.5230802883319177</v>
      </c>
      <c r="AP69" s="90">
        <f t="shared" si="40"/>
        <v>90.072455434157561</v>
      </c>
      <c r="AQ69" s="90">
        <f t="shared" si="41"/>
        <v>143.49488211615869</v>
      </c>
      <c r="AR69" s="10">
        <f t="shared" si="42"/>
        <v>127183.07692307692</v>
      </c>
      <c r="AS69" s="10">
        <f t="shared" si="43"/>
        <v>202616</v>
      </c>
      <c r="AT69" s="60">
        <f t="shared" si="44"/>
        <v>565095.36073716299</v>
      </c>
      <c r="AU69" s="85">
        <f t="shared" si="45"/>
        <v>43510</v>
      </c>
      <c r="AV69" s="85">
        <f t="shared" si="14"/>
        <v>69316</v>
      </c>
      <c r="AW69" s="10"/>
      <c r="AX69" s="60">
        <f t="shared" si="15"/>
        <v>429.25</v>
      </c>
      <c r="AZ69" s="99">
        <f t="shared" ca="1" si="46"/>
        <v>118.7813686026452</v>
      </c>
      <c r="BA69" s="99">
        <f t="shared" ca="1" si="47"/>
        <v>189.23289246693503</v>
      </c>
      <c r="BB69" s="100">
        <f t="shared" ca="1" si="48"/>
        <v>57378</v>
      </c>
      <c r="BC69" s="100">
        <f t="shared" ca="1" si="49"/>
        <v>91410</v>
      </c>
    </row>
    <row r="70" spans="1:55" ht="11.4" x14ac:dyDescent="0.25">
      <c r="A70" s="1"/>
      <c r="B70" s="1">
        <v>14</v>
      </c>
      <c r="C70" s="66"/>
      <c r="D70" s="83">
        <f t="shared" si="0"/>
        <v>0.12327291330537561</v>
      </c>
      <c r="E70" s="83">
        <f t="shared" si="1"/>
        <v>7.8321000504420576E-2</v>
      </c>
      <c r="F70" s="90">
        <f t="shared" si="16"/>
        <v>15.607491990470715</v>
      </c>
      <c r="G70" s="90">
        <f t="shared" si="17"/>
        <v>15.607491990470715</v>
      </c>
      <c r="H70" s="10">
        <f t="shared" si="18"/>
        <v>7572</v>
      </c>
      <c r="I70" s="10">
        <f t="shared" si="19"/>
        <v>12062.857142857143</v>
      </c>
      <c r="J70" s="60">
        <f t="shared" si="20"/>
        <v>2574.6199941886794</v>
      </c>
      <c r="K70" s="85">
        <f t="shared" si="21"/>
        <v>2548.8737942467924</v>
      </c>
      <c r="L70" s="85">
        <f t="shared" si="2"/>
        <v>2574.6199941886794</v>
      </c>
      <c r="M70" s="83">
        <f t="shared" si="3"/>
        <v>1.6552758687759335</v>
      </c>
      <c r="N70" s="83">
        <f t="shared" si="4"/>
        <v>1.6647749759638619</v>
      </c>
      <c r="O70" s="90">
        <f t="shared" si="22"/>
        <v>59.628752156411728</v>
      </c>
      <c r="P70" s="90">
        <f t="shared" si="23"/>
        <v>94.997354801610115</v>
      </c>
      <c r="Q70" s="10">
        <f t="shared" si="24"/>
        <v>51435.714285714283</v>
      </c>
      <c r="R70" s="10">
        <f t="shared" si="25"/>
        <v>81944.642857142855</v>
      </c>
      <c r="S70" s="60">
        <f t="shared" si="26"/>
        <v>94803.497362052483</v>
      </c>
      <c r="T70" s="85">
        <f t="shared" si="27"/>
        <v>28804</v>
      </c>
      <c r="U70" s="85">
        <f t="shared" si="5"/>
        <v>45889</v>
      </c>
      <c r="V70" s="83">
        <f t="shared" si="6"/>
        <v>2.5113378501037347</v>
      </c>
      <c r="W70" s="83">
        <f t="shared" si="7"/>
        <v>2.5208094455664134</v>
      </c>
      <c r="X70" s="90">
        <f t="shared" si="28"/>
        <v>90</v>
      </c>
      <c r="Y70" s="90">
        <f t="shared" si="29"/>
        <v>143.38102357676826</v>
      </c>
      <c r="Z70" s="10">
        <f t="shared" si="30"/>
        <v>108687.5</v>
      </c>
      <c r="AA70" s="10">
        <f t="shared" si="31"/>
        <v>173152.5</v>
      </c>
      <c r="AB70" s="60">
        <f t="shared" si="32"/>
        <v>469985.35714285716</v>
      </c>
      <c r="AC70" s="85">
        <f t="shared" si="33"/>
        <v>43475</v>
      </c>
      <c r="AD70" s="85">
        <f t="shared" si="8"/>
        <v>69261</v>
      </c>
      <c r="AE70" s="83">
        <f t="shared" si="9"/>
        <v>3.3225865534232364</v>
      </c>
      <c r="AF70" s="83">
        <f t="shared" si="10"/>
        <v>3.3320497102945894</v>
      </c>
      <c r="AG70" s="90">
        <f t="shared" si="34"/>
        <v>118.7813686026452</v>
      </c>
      <c r="AH70" s="90">
        <f t="shared" si="35"/>
        <v>189.23289246693503</v>
      </c>
      <c r="AI70" s="10">
        <f t="shared" si="36"/>
        <v>204921.42857142858</v>
      </c>
      <c r="AJ70" s="10">
        <f t="shared" si="37"/>
        <v>326464.28571428574</v>
      </c>
      <c r="AK70" s="60">
        <f t="shared" si="38"/>
        <v>887488.98569067707</v>
      </c>
      <c r="AL70" s="85">
        <f t="shared" si="39"/>
        <v>57378</v>
      </c>
      <c r="AM70" s="85">
        <f t="shared" si="11"/>
        <v>91410</v>
      </c>
      <c r="AN70" s="83">
        <f t="shared" si="12"/>
        <v>2.513380121887967</v>
      </c>
      <c r="AO70" s="83">
        <f t="shared" si="13"/>
        <v>2.5228239028583928</v>
      </c>
      <c r="AP70" s="90">
        <f t="shared" si="40"/>
        <v>90.072455434157561</v>
      </c>
      <c r="AQ70" s="90">
        <f t="shared" si="41"/>
        <v>143.49488211615869</v>
      </c>
      <c r="AR70" s="10">
        <f t="shared" si="42"/>
        <v>118098.57142857143</v>
      </c>
      <c r="AS70" s="10">
        <f t="shared" si="43"/>
        <v>188143.42857142858</v>
      </c>
      <c r="AT70" s="60">
        <f t="shared" si="44"/>
        <v>494099.2560888087</v>
      </c>
      <c r="AU70" s="85">
        <f t="shared" si="45"/>
        <v>43510</v>
      </c>
      <c r="AV70" s="85">
        <f t="shared" si="14"/>
        <v>69316</v>
      </c>
      <c r="AW70" s="10"/>
      <c r="AX70" s="60">
        <f t="shared" si="15"/>
        <v>436.25</v>
      </c>
      <c r="AZ70" s="99">
        <f t="shared" ca="1" si="46"/>
        <v>118.7813686026452</v>
      </c>
      <c r="BA70" s="99">
        <f t="shared" ca="1" si="47"/>
        <v>189.23289246693503</v>
      </c>
      <c r="BB70" s="100">
        <f t="shared" ca="1" si="48"/>
        <v>57378</v>
      </c>
      <c r="BC70" s="100">
        <f t="shared" ca="1" si="49"/>
        <v>91410</v>
      </c>
    </row>
    <row r="71" spans="1:55" ht="11.4" x14ac:dyDescent="0.25">
      <c r="A71" s="1"/>
      <c r="B71" s="1">
        <v>15</v>
      </c>
      <c r="C71" s="66"/>
      <c r="D71" s="83">
        <f t="shared" si="0"/>
        <v>9.9287324074347191E-2</v>
      </c>
      <c r="E71" s="83">
        <f t="shared" si="1"/>
        <v>6.3115928729513535E-2</v>
      </c>
      <c r="F71" s="90">
        <f t="shared" si="16"/>
        <v>14.566992524439334</v>
      </c>
      <c r="G71" s="90">
        <f t="shared" si="17"/>
        <v>14.566992524439334</v>
      </c>
      <c r="H71" s="10">
        <f t="shared" si="18"/>
        <v>7067.2</v>
      </c>
      <c r="I71" s="10">
        <f t="shared" si="19"/>
        <v>11258.666666666666</v>
      </c>
      <c r="J71" s="60">
        <f t="shared" si="20"/>
        <v>2166.7314102387554</v>
      </c>
      <c r="K71" s="85">
        <f t="shared" si="21"/>
        <v>2145.0640961363679</v>
      </c>
      <c r="L71" s="85">
        <f t="shared" si="2"/>
        <v>2166.7314102387554</v>
      </c>
      <c r="M71" s="83">
        <f t="shared" si="3"/>
        <v>1.6548528267634854</v>
      </c>
      <c r="N71" s="83">
        <f t="shared" si="4"/>
        <v>1.6645094338662827</v>
      </c>
      <c r="O71" s="90">
        <f t="shared" si="22"/>
        <v>59.628752156411728</v>
      </c>
      <c r="P71" s="90">
        <f t="shared" si="23"/>
        <v>94.997354801610115</v>
      </c>
      <c r="Q71" s="10">
        <f t="shared" si="24"/>
        <v>48006.666666666664</v>
      </c>
      <c r="R71" s="10">
        <f t="shared" si="25"/>
        <v>76481.666666666672</v>
      </c>
      <c r="S71" s="60">
        <f t="shared" si="26"/>
        <v>85012.437017162316</v>
      </c>
      <c r="T71" s="85">
        <f t="shared" si="27"/>
        <v>28804</v>
      </c>
      <c r="U71" s="85">
        <f t="shared" si="5"/>
        <v>45889</v>
      </c>
      <c r="V71" s="83">
        <f t="shared" si="6"/>
        <v>2.5109148080912864</v>
      </c>
      <c r="W71" s="83">
        <f t="shared" si="7"/>
        <v>2.5205439034688344</v>
      </c>
      <c r="X71" s="90">
        <f t="shared" si="28"/>
        <v>90</v>
      </c>
      <c r="Y71" s="90">
        <f t="shared" si="29"/>
        <v>143.38102357676826</v>
      </c>
      <c r="Z71" s="10">
        <f t="shared" si="30"/>
        <v>101441.66666666667</v>
      </c>
      <c r="AA71" s="10">
        <f t="shared" si="31"/>
        <v>161609</v>
      </c>
      <c r="AB71" s="60">
        <f t="shared" si="32"/>
        <v>409409.46666666667</v>
      </c>
      <c r="AC71" s="85">
        <f t="shared" si="33"/>
        <v>43475</v>
      </c>
      <c r="AD71" s="85">
        <f t="shared" si="8"/>
        <v>69261</v>
      </c>
      <c r="AE71" s="83">
        <f t="shared" si="9"/>
        <v>3.3221635114107886</v>
      </c>
      <c r="AF71" s="83">
        <f t="shared" si="10"/>
        <v>3.33178416819701</v>
      </c>
      <c r="AG71" s="90">
        <f t="shared" si="34"/>
        <v>118.7813686026452</v>
      </c>
      <c r="AH71" s="90">
        <f t="shared" si="35"/>
        <v>189.23289246693503</v>
      </c>
      <c r="AI71" s="10">
        <f t="shared" si="36"/>
        <v>191260</v>
      </c>
      <c r="AJ71" s="10">
        <f t="shared" si="37"/>
        <v>304700</v>
      </c>
      <c r="AK71" s="60">
        <f t="shared" si="38"/>
        <v>783213.1112284566</v>
      </c>
      <c r="AL71" s="85">
        <f t="shared" si="39"/>
        <v>57378</v>
      </c>
      <c r="AM71" s="85">
        <f t="shared" si="11"/>
        <v>91410</v>
      </c>
      <c r="AN71" s="83">
        <f t="shared" si="12"/>
        <v>2.5129570798755188</v>
      </c>
      <c r="AO71" s="83">
        <f t="shared" si="13"/>
        <v>2.5225583607608137</v>
      </c>
      <c r="AP71" s="90">
        <f t="shared" si="40"/>
        <v>90.072455434157561</v>
      </c>
      <c r="AQ71" s="90">
        <f t="shared" si="41"/>
        <v>143.49488211615869</v>
      </c>
      <c r="AR71" s="10">
        <f t="shared" si="42"/>
        <v>110225.33333333333</v>
      </c>
      <c r="AS71" s="10">
        <f t="shared" si="43"/>
        <v>175600.53333333333</v>
      </c>
      <c r="AT71" s="60">
        <f t="shared" si="44"/>
        <v>436044.86574649223</v>
      </c>
      <c r="AU71" s="85">
        <f t="shared" si="45"/>
        <v>43510</v>
      </c>
      <c r="AV71" s="85">
        <f t="shared" si="14"/>
        <v>69316</v>
      </c>
      <c r="AW71" s="10"/>
      <c r="AX71" s="60">
        <f t="shared" si="15"/>
        <v>443.5</v>
      </c>
      <c r="AZ71" s="99">
        <f t="shared" ca="1" si="46"/>
        <v>118.7813686026452</v>
      </c>
      <c r="BA71" s="99">
        <f t="shared" ca="1" si="47"/>
        <v>189.23289246693503</v>
      </c>
      <c r="BB71" s="100">
        <f t="shared" ca="1" si="48"/>
        <v>57378</v>
      </c>
      <c r="BC71" s="100">
        <f t="shared" ca="1" si="49"/>
        <v>91410</v>
      </c>
    </row>
    <row r="72" spans="1:55" ht="11.4" x14ac:dyDescent="0.25">
      <c r="A72" s="1"/>
      <c r="B72" s="1">
        <v>16</v>
      </c>
      <c r="C72" s="66"/>
      <c r="D72" s="83">
        <f t="shared" si="0"/>
        <v>8.020694450783207E-2</v>
      </c>
      <c r="E72" s="83">
        <f t="shared" si="1"/>
        <v>5.1020988229475345E-2</v>
      </c>
      <c r="F72" s="90">
        <f t="shared" si="16"/>
        <v>13.656555491661875</v>
      </c>
      <c r="G72" s="90">
        <f t="shared" si="17"/>
        <v>13.656555491661875</v>
      </c>
      <c r="H72" s="10">
        <f t="shared" si="18"/>
        <v>6625.5</v>
      </c>
      <c r="I72" s="10">
        <f t="shared" si="19"/>
        <v>10555</v>
      </c>
      <c r="J72" s="60">
        <f t="shared" si="20"/>
        <v>1843.8826173836158</v>
      </c>
      <c r="K72" s="85">
        <f t="shared" si="21"/>
        <v>1825.4437912097796</v>
      </c>
      <c r="L72" s="85">
        <f t="shared" si="2"/>
        <v>1843.8826173836158</v>
      </c>
      <c r="M72" s="83">
        <f t="shared" si="3"/>
        <v>1.6544224909232366</v>
      </c>
      <c r="N72" s="83">
        <f t="shared" si="4"/>
        <v>1.6642393134566766</v>
      </c>
      <c r="O72" s="90">
        <f t="shared" si="22"/>
        <v>59.628752156411728</v>
      </c>
      <c r="P72" s="90">
        <f t="shared" si="23"/>
        <v>94.997354801610115</v>
      </c>
      <c r="Q72" s="10">
        <f t="shared" si="24"/>
        <v>45006.25</v>
      </c>
      <c r="R72" s="10">
        <f t="shared" si="25"/>
        <v>71701.5625</v>
      </c>
      <c r="S72" s="60">
        <f t="shared" si="26"/>
        <v>76770.979698829571</v>
      </c>
      <c r="T72" s="85">
        <f t="shared" si="27"/>
        <v>28804</v>
      </c>
      <c r="U72" s="85">
        <f t="shared" si="5"/>
        <v>45889</v>
      </c>
      <c r="V72" s="83">
        <f t="shared" si="6"/>
        <v>2.5104844722510373</v>
      </c>
      <c r="W72" s="83">
        <f t="shared" si="7"/>
        <v>2.5202737830592286</v>
      </c>
      <c r="X72" s="90">
        <f t="shared" si="28"/>
        <v>90</v>
      </c>
      <c r="Y72" s="90">
        <f t="shared" si="29"/>
        <v>143.38102357676826</v>
      </c>
      <c r="Z72" s="10">
        <f t="shared" si="30"/>
        <v>95101.5625</v>
      </c>
      <c r="AA72" s="10">
        <f t="shared" si="31"/>
        <v>151508.4375</v>
      </c>
      <c r="AB72" s="60">
        <f t="shared" si="32"/>
        <v>359832.5390625</v>
      </c>
      <c r="AC72" s="85">
        <f t="shared" si="33"/>
        <v>43475</v>
      </c>
      <c r="AD72" s="85">
        <f t="shared" si="8"/>
        <v>69261</v>
      </c>
      <c r="AE72" s="83">
        <f t="shared" si="9"/>
        <v>3.3217331755705395</v>
      </c>
      <c r="AF72" s="83">
        <f t="shared" si="10"/>
        <v>3.3315140477874037</v>
      </c>
      <c r="AG72" s="90">
        <f t="shared" si="34"/>
        <v>118.7813686026452</v>
      </c>
      <c r="AH72" s="90">
        <f t="shared" si="35"/>
        <v>189.23289246693503</v>
      </c>
      <c r="AI72" s="10">
        <f t="shared" si="36"/>
        <v>179306.25</v>
      </c>
      <c r="AJ72" s="10">
        <f t="shared" si="37"/>
        <v>285656.25</v>
      </c>
      <c r="AK72" s="60">
        <f t="shared" si="38"/>
        <v>696789.45958174579</v>
      </c>
      <c r="AL72" s="85">
        <f t="shared" si="39"/>
        <v>57378</v>
      </c>
      <c r="AM72" s="85">
        <f t="shared" si="11"/>
        <v>91410</v>
      </c>
      <c r="AN72" s="83">
        <f t="shared" si="12"/>
        <v>2.5125267440352701</v>
      </c>
      <c r="AO72" s="83">
        <f t="shared" si="13"/>
        <v>2.5222882403512075</v>
      </c>
      <c r="AP72" s="90">
        <f t="shared" si="40"/>
        <v>90.072455434157561</v>
      </c>
      <c r="AQ72" s="90">
        <f t="shared" si="41"/>
        <v>143.49488211615869</v>
      </c>
      <c r="AR72" s="10">
        <f t="shared" si="42"/>
        <v>103336.25</v>
      </c>
      <c r="AS72" s="10">
        <f t="shared" si="43"/>
        <v>164625.5</v>
      </c>
      <c r="AT72" s="60">
        <f t="shared" si="44"/>
        <v>387929.49454119662</v>
      </c>
      <c r="AU72" s="85">
        <f t="shared" si="45"/>
        <v>43510</v>
      </c>
      <c r="AV72" s="85">
        <f t="shared" si="14"/>
        <v>69316</v>
      </c>
      <c r="AW72" s="10"/>
      <c r="AX72" s="60">
        <f t="shared" si="15"/>
        <v>450.875</v>
      </c>
      <c r="AZ72" s="99">
        <f t="shared" ca="1" si="46"/>
        <v>118.7813686026452</v>
      </c>
      <c r="BA72" s="99">
        <f t="shared" ca="1" si="47"/>
        <v>189.23289246693503</v>
      </c>
      <c r="BB72" s="100">
        <f t="shared" ca="1" si="48"/>
        <v>57378</v>
      </c>
      <c r="BC72" s="100">
        <f t="shared" ca="1" si="49"/>
        <v>91410</v>
      </c>
    </row>
    <row r="73" spans="1:55" ht="11.4" x14ac:dyDescent="0.25">
      <c r="A73" s="1"/>
      <c r="B73" s="1">
        <v>17</v>
      </c>
      <c r="C73" s="66"/>
      <c r="D73" s="83">
        <f t="shared" si="0"/>
        <v>6.4782172267720983E-2</v>
      </c>
      <c r="E73" s="83">
        <f t="shared" si="1"/>
        <v>4.1243930977031974E-2</v>
      </c>
      <c r="F73" s="90">
        <f t="shared" si="16"/>
        <v>12.853228698034705</v>
      </c>
      <c r="G73" s="90">
        <f t="shared" si="17"/>
        <v>12.853228698034705</v>
      </c>
      <c r="H73" s="10">
        <f t="shared" si="18"/>
        <v>6235.7647058823532</v>
      </c>
      <c r="I73" s="10">
        <f t="shared" si="19"/>
        <v>9934.1176470588234</v>
      </c>
      <c r="J73" s="60">
        <f t="shared" si="20"/>
        <v>1584.5681538241622</v>
      </c>
      <c r="K73" s="85">
        <f t="shared" si="21"/>
        <v>1568.7224722859205</v>
      </c>
      <c r="L73" s="85">
        <f t="shared" si="2"/>
        <v>1584.5681538241622</v>
      </c>
      <c r="M73" s="83">
        <f t="shared" si="3"/>
        <v>1.653977567427386</v>
      </c>
      <c r="N73" s="83">
        <f t="shared" si="4"/>
        <v>1.6639600364230156</v>
      </c>
      <c r="O73" s="90">
        <f t="shared" si="22"/>
        <v>59.628752156411728</v>
      </c>
      <c r="P73" s="90">
        <f t="shared" si="23"/>
        <v>94.997354801610115</v>
      </c>
      <c r="Q73" s="10">
        <f t="shared" si="24"/>
        <v>42358.823529411762</v>
      </c>
      <c r="R73" s="10">
        <f t="shared" si="25"/>
        <v>67483.823529411762</v>
      </c>
      <c r="S73" s="60">
        <f t="shared" si="26"/>
        <v>69758.536322742395</v>
      </c>
      <c r="T73" s="85">
        <f t="shared" si="27"/>
        <v>28804</v>
      </c>
      <c r="U73" s="85">
        <f t="shared" si="5"/>
        <v>45889</v>
      </c>
      <c r="V73" s="83">
        <f t="shared" si="6"/>
        <v>2.5100395487551865</v>
      </c>
      <c r="W73" s="83">
        <f t="shared" si="7"/>
        <v>2.5199945060255673</v>
      </c>
      <c r="X73" s="90">
        <f t="shared" si="28"/>
        <v>90</v>
      </c>
      <c r="Y73" s="90">
        <f t="shared" si="29"/>
        <v>143.38102357676826</v>
      </c>
      <c r="Z73" s="10">
        <f t="shared" si="30"/>
        <v>89507.352941176476</v>
      </c>
      <c r="AA73" s="10">
        <f t="shared" si="31"/>
        <v>142596.17647058822</v>
      </c>
      <c r="AB73" s="60">
        <f t="shared" si="32"/>
        <v>318744.39446366782</v>
      </c>
      <c r="AC73" s="85">
        <f t="shared" si="33"/>
        <v>43475</v>
      </c>
      <c r="AD73" s="85">
        <f t="shared" si="8"/>
        <v>69261</v>
      </c>
      <c r="AE73" s="83">
        <f t="shared" si="9"/>
        <v>3.3212882520746891</v>
      </c>
      <c r="AF73" s="83">
        <f t="shared" si="10"/>
        <v>3.3312347707537429</v>
      </c>
      <c r="AG73" s="90">
        <f t="shared" si="34"/>
        <v>118.7813686026452</v>
      </c>
      <c r="AH73" s="90">
        <f t="shared" si="35"/>
        <v>189.23289246693503</v>
      </c>
      <c r="AI73" s="10">
        <f t="shared" si="36"/>
        <v>168758.82352941178</v>
      </c>
      <c r="AJ73" s="10">
        <f t="shared" si="37"/>
        <v>268852.9411764706</v>
      </c>
      <c r="AK73" s="60">
        <f t="shared" si="38"/>
        <v>624313.34675470635</v>
      </c>
      <c r="AL73" s="85">
        <f t="shared" si="39"/>
        <v>57378</v>
      </c>
      <c r="AM73" s="85">
        <f t="shared" si="11"/>
        <v>91410</v>
      </c>
      <c r="AN73" s="83">
        <f t="shared" si="12"/>
        <v>2.5120818205394193</v>
      </c>
      <c r="AO73" s="83">
        <f t="shared" si="13"/>
        <v>2.5220089633175466</v>
      </c>
      <c r="AP73" s="90">
        <f t="shared" si="40"/>
        <v>90.072455434157561</v>
      </c>
      <c r="AQ73" s="90">
        <f t="shared" si="41"/>
        <v>143.49488211615869</v>
      </c>
      <c r="AR73" s="10">
        <f t="shared" si="42"/>
        <v>97257.647058823524</v>
      </c>
      <c r="AS73" s="10">
        <f t="shared" si="43"/>
        <v>154941.64705882352</v>
      </c>
      <c r="AT73" s="60">
        <f t="shared" si="44"/>
        <v>347579.25469660881</v>
      </c>
      <c r="AU73" s="85">
        <f t="shared" si="45"/>
        <v>43510</v>
      </c>
      <c r="AV73" s="85">
        <f t="shared" si="14"/>
        <v>69316</v>
      </c>
      <c r="AW73" s="10"/>
      <c r="AX73" s="60">
        <f t="shared" si="15"/>
        <v>458.5</v>
      </c>
      <c r="AZ73" s="99">
        <f t="shared" ca="1" si="46"/>
        <v>118.7813686026452</v>
      </c>
      <c r="BA73" s="99">
        <f t="shared" ca="1" si="47"/>
        <v>189.23289246693503</v>
      </c>
      <c r="BB73" s="100">
        <f t="shared" ca="1" si="48"/>
        <v>57378</v>
      </c>
      <c r="BC73" s="100">
        <f t="shared" ca="1" si="49"/>
        <v>91410</v>
      </c>
    </row>
    <row r="74" spans="1:55" ht="11.4" x14ac:dyDescent="0.25">
      <c r="A74" s="1"/>
      <c r="B74" s="1">
        <v>18</v>
      </c>
      <c r="C74" s="66"/>
      <c r="D74" s="83">
        <f t="shared" si="0"/>
        <v>5.214141332422411E-2</v>
      </c>
      <c r="E74" s="83">
        <f t="shared" si="1"/>
        <v>3.3232087754488313E-2</v>
      </c>
      <c r="F74" s="90">
        <f t="shared" si="16"/>
        <v>12.139160437032778</v>
      </c>
      <c r="G74" s="90">
        <f t="shared" si="17"/>
        <v>12.139160437032778</v>
      </c>
      <c r="H74" s="10">
        <f t="shared" si="18"/>
        <v>5889.333333333333</v>
      </c>
      <c r="I74" s="10">
        <f t="shared" si="19"/>
        <v>9382.2222222222226</v>
      </c>
      <c r="J74" s="60">
        <f t="shared" si="20"/>
        <v>1373.5736914846607</v>
      </c>
      <c r="K74" s="85">
        <f t="shared" si="21"/>
        <v>1359.837954569814</v>
      </c>
      <c r="L74" s="85">
        <f t="shared" si="2"/>
        <v>1373.5736914846607</v>
      </c>
      <c r="M74" s="83">
        <f t="shared" si="3"/>
        <v>1.6535253501037346</v>
      </c>
      <c r="N74" s="83">
        <f t="shared" si="4"/>
        <v>1.6636761810773277</v>
      </c>
      <c r="O74" s="90">
        <f t="shared" si="22"/>
        <v>59.628752156411728</v>
      </c>
      <c r="P74" s="90">
        <f t="shared" si="23"/>
        <v>94.997354801610115</v>
      </c>
      <c r="Q74" s="10">
        <f t="shared" si="24"/>
        <v>40005.555555555555</v>
      </c>
      <c r="R74" s="10">
        <f t="shared" si="25"/>
        <v>63734.722222222219</v>
      </c>
      <c r="S74" s="60">
        <f t="shared" si="26"/>
        <v>63734.722222222219</v>
      </c>
      <c r="T74" s="85">
        <f t="shared" si="27"/>
        <v>28804</v>
      </c>
      <c r="U74" s="85">
        <f t="shared" si="5"/>
        <v>45889</v>
      </c>
      <c r="V74" s="83">
        <f t="shared" si="6"/>
        <v>2.5095873314315353</v>
      </c>
      <c r="W74" s="83">
        <f t="shared" si="7"/>
        <v>2.5197106506798796</v>
      </c>
      <c r="X74" s="90">
        <f t="shared" si="28"/>
        <v>90</v>
      </c>
      <c r="Y74" s="90">
        <f t="shared" si="29"/>
        <v>143.38102357676826</v>
      </c>
      <c r="Z74" s="10">
        <f t="shared" si="30"/>
        <v>84534.722222222219</v>
      </c>
      <c r="AA74" s="10">
        <f t="shared" si="31"/>
        <v>134674.16666666666</v>
      </c>
      <c r="AB74" s="60">
        <f t="shared" si="32"/>
        <v>284312.12962962961</v>
      </c>
      <c r="AC74" s="85">
        <f t="shared" si="33"/>
        <v>43475</v>
      </c>
      <c r="AD74" s="85">
        <f t="shared" si="8"/>
        <v>69261</v>
      </c>
      <c r="AE74" s="83">
        <f t="shared" si="9"/>
        <v>3.3208360347510375</v>
      </c>
      <c r="AF74" s="83">
        <f t="shared" si="10"/>
        <v>3.3309509154080552</v>
      </c>
      <c r="AG74" s="90">
        <f t="shared" si="34"/>
        <v>118.7813686026452</v>
      </c>
      <c r="AH74" s="90">
        <f t="shared" si="35"/>
        <v>189.23289246693503</v>
      </c>
      <c r="AI74" s="10">
        <f t="shared" si="36"/>
        <v>159383.33333333334</v>
      </c>
      <c r="AJ74" s="10">
        <f t="shared" si="37"/>
        <v>253916.66666666666</v>
      </c>
      <c r="AK74" s="60">
        <f t="shared" si="38"/>
        <v>562899.48388701014</v>
      </c>
      <c r="AL74" s="85">
        <f t="shared" si="39"/>
        <v>57378</v>
      </c>
      <c r="AM74" s="85">
        <f t="shared" si="11"/>
        <v>91410</v>
      </c>
      <c r="AN74" s="83">
        <f t="shared" si="12"/>
        <v>2.5116296032157677</v>
      </c>
      <c r="AO74" s="83">
        <f t="shared" si="13"/>
        <v>2.5217251079718586</v>
      </c>
      <c r="AP74" s="90">
        <f t="shared" si="40"/>
        <v>90.072455434157561</v>
      </c>
      <c r="AQ74" s="90">
        <f t="shared" si="41"/>
        <v>143.49488211615869</v>
      </c>
      <c r="AR74" s="10">
        <f t="shared" si="42"/>
        <v>91854.444444444438</v>
      </c>
      <c r="AS74" s="10">
        <f t="shared" si="43"/>
        <v>146333.77777777778</v>
      </c>
      <c r="AT74" s="60">
        <f t="shared" si="44"/>
        <v>313387.79491995199</v>
      </c>
      <c r="AU74" s="85">
        <f t="shared" si="45"/>
        <v>43510</v>
      </c>
      <c r="AV74" s="85">
        <f t="shared" si="14"/>
        <v>69316</v>
      </c>
      <c r="AW74" s="10"/>
      <c r="AX74" s="60">
        <f t="shared" si="15"/>
        <v>466.25</v>
      </c>
      <c r="AZ74" s="99">
        <f t="shared" ca="1" si="46"/>
        <v>118.7813686026452</v>
      </c>
      <c r="BA74" s="99">
        <f t="shared" ca="1" si="47"/>
        <v>189.23289246693503</v>
      </c>
      <c r="BB74" s="100">
        <f t="shared" ca="1" si="48"/>
        <v>57378</v>
      </c>
      <c r="BC74" s="100">
        <f t="shared" ca="1" si="49"/>
        <v>91410</v>
      </c>
    </row>
    <row r="75" spans="1:55" ht="11.4" x14ac:dyDescent="0.25">
      <c r="A75" s="1"/>
      <c r="B75" s="1">
        <v>19</v>
      </c>
      <c r="C75" s="66"/>
      <c r="D75" s="83">
        <f t="shared" si="0"/>
        <v>4.1635351925384416E-2</v>
      </c>
      <c r="E75" s="83">
        <f t="shared" si="1"/>
        <v>2.6573860760926934E-2</v>
      </c>
      <c r="F75" s="90">
        <f t="shared" si="16"/>
        <v>11.500257256136315</v>
      </c>
      <c r="G75" s="90">
        <f t="shared" si="17"/>
        <v>11.500257256136315</v>
      </c>
      <c r="H75" s="10">
        <f t="shared" si="18"/>
        <v>5579.3684210526317</v>
      </c>
      <c r="I75" s="10">
        <f t="shared" si="19"/>
        <v>8888.4210526315783</v>
      </c>
      <c r="J75" s="60">
        <f t="shared" si="20"/>
        <v>1199.9115242392022</v>
      </c>
      <c r="K75" s="85">
        <f t="shared" si="21"/>
        <v>1187.9124089968102</v>
      </c>
      <c r="L75" s="85">
        <f t="shared" si="2"/>
        <v>1199.9115242392022</v>
      </c>
      <c r="M75" s="83">
        <f t="shared" si="3"/>
        <v>1.6530512512966804</v>
      </c>
      <c r="N75" s="83">
        <f t="shared" si="4"/>
        <v>1.6633785907955581</v>
      </c>
      <c r="O75" s="90">
        <f t="shared" si="22"/>
        <v>59.628752156411728</v>
      </c>
      <c r="P75" s="90">
        <f t="shared" si="23"/>
        <v>89.997494022577996</v>
      </c>
      <c r="Q75" s="10">
        <f t="shared" si="24"/>
        <v>37900</v>
      </c>
      <c r="R75" s="10">
        <f t="shared" si="25"/>
        <v>60380.26315789474</v>
      </c>
      <c r="S75" s="60">
        <f t="shared" si="26"/>
        <v>58516.179830392299</v>
      </c>
      <c r="T75" s="85">
        <f t="shared" si="27"/>
        <v>28804</v>
      </c>
      <c r="U75" s="85">
        <f t="shared" si="5"/>
        <v>45889</v>
      </c>
      <c r="V75" s="83">
        <f t="shared" si="6"/>
        <v>2.5091132326244816</v>
      </c>
      <c r="W75" s="83">
        <f t="shared" si="7"/>
        <v>2.5194130603981097</v>
      </c>
      <c r="X75" s="90">
        <f t="shared" si="28"/>
        <v>90</v>
      </c>
      <c r="Y75" s="90">
        <f t="shared" si="29"/>
        <v>143.38102357676826</v>
      </c>
      <c r="Z75" s="10">
        <f t="shared" si="30"/>
        <v>80085.526315789481</v>
      </c>
      <c r="AA75" s="10">
        <f t="shared" si="31"/>
        <v>127586.05263157895</v>
      </c>
      <c r="AB75" s="60">
        <f t="shared" si="32"/>
        <v>255172.10526315789</v>
      </c>
      <c r="AC75" s="85">
        <f t="shared" si="33"/>
        <v>43475</v>
      </c>
      <c r="AD75" s="85">
        <f t="shared" si="8"/>
        <v>69261</v>
      </c>
      <c r="AE75" s="83">
        <f t="shared" si="9"/>
        <v>3.3203619359439833</v>
      </c>
      <c r="AF75" s="83">
        <f t="shared" si="10"/>
        <v>3.3306533251262853</v>
      </c>
      <c r="AG75" s="90">
        <f t="shared" si="34"/>
        <v>118.7813686026452</v>
      </c>
      <c r="AH75" s="90">
        <f t="shared" si="35"/>
        <v>189.23289246693503</v>
      </c>
      <c r="AI75" s="10">
        <f t="shared" si="36"/>
        <v>150994.73684210525</v>
      </c>
      <c r="AJ75" s="10">
        <f t="shared" si="37"/>
        <v>240552.63157894736</v>
      </c>
      <c r="AK75" s="60">
        <f t="shared" si="38"/>
        <v>510377.13100014266</v>
      </c>
      <c r="AL75" s="85">
        <f t="shared" si="39"/>
        <v>57378</v>
      </c>
      <c r="AM75" s="85">
        <f t="shared" si="11"/>
        <v>91410</v>
      </c>
      <c r="AN75" s="83">
        <f t="shared" si="12"/>
        <v>2.5111555044087139</v>
      </c>
      <c r="AO75" s="83">
        <f t="shared" si="13"/>
        <v>2.5214275176900887</v>
      </c>
      <c r="AP75" s="90">
        <f t="shared" si="40"/>
        <v>90.072455434157561</v>
      </c>
      <c r="AQ75" s="90">
        <f t="shared" si="41"/>
        <v>143.49488211615869</v>
      </c>
      <c r="AR75" s="10">
        <f t="shared" si="42"/>
        <v>87020</v>
      </c>
      <c r="AS75" s="10">
        <f t="shared" si="43"/>
        <v>138632</v>
      </c>
      <c r="AT75" s="60">
        <f t="shared" si="44"/>
        <v>284146.58076647279</v>
      </c>
      <c r="AU75" s="85">
        <f t="shared" si="45"/>
        <v>43510</v>
      </c>
      <c r="AV75" s="85">
        <f t="shared" si="14"/>
        <v>69316</v>
      </c>
      <c r="AW75" s="10"/>
      <c r="AX75" s="60">
        <f t="shared" si="15"/>
        <v>474.375</v>
      </c>
      <c r="AZ75" s="99">
        <f t="shared" ca="1" si="46"/>
        <v>118.7813686026452</v>
      </c>
      <c r="BA75" s="99">
        <f t="shared" ca="1" si="47"/>
        <v>189.23289246693503</v>
      </c>
      <c r="BB75" s="100">
        <f t="shared" ca="1" si="48"/>
        <v>57378</v>
      </c>
      <c r="BC75" s="100">
        <f t="shared" ca="1" si="49"/>
        <v>91410</v>
      </c>
    </row>
    <row r="76" spans="1:55" ht="11.4" x14ac:dyDescent="0.25">
      <c r="A76" s="1"/>
      <c r="B76" s="1">
        <v>20</v>
      </c>
      <c r="C76" s="66"/>
      <c r="D76" s="83">
        <f t="shared" si="0"/>
        <v>3.281901581950205E-2</v>
      </c>
      <c r="E76" s="83">
        <f t="shared" si="1"/>
        <v>2.0986982332802571E-2</v>
      </c>
      <c r="F76" s="90">
        <f t="shared" si="16"/>
        <v>10.9252443933295</v>
      </c>
      <c r="G76" s="90">
        <f t="shared" si="17"/>
        <v>10.9252443933295</v>
      </c>
      <c r="H76" s="10">
        <f t="shared" si="18"/>
        <v>5300.4</v>
      </c>
      <c r="I76" s="10">
        <f t="shared" si="19"/>
        <v>8444</v>
      </c>
      <c r="J76" s="60">
        <f t="shared" si="20"/>
        <v>1055.4999999999995</v>
      </c>
      <c r="K76" s="85">
        <f t="shared" si="21"/>
        <v>1044.9449999999995</v>
      </c>
      <c r="L76" s="85">
        <f t="shared" si="2"/>
        <v>1055.4999999999995</v>
      </c>
      <c r="M76" s="83">
        <f t="shared" si="3"/>
        <v>1.6525771524896267</v>
      </c>
      <c r="N76" s="83">
        <f t="shared" si="4"/>
        <v>1.6630810005137884</v>
      </c>
      <c r="O76" s="90">
        <f t="shared" si="22"/>
        <v>59.628752156411728</v>
      </c>
      <c r="P76" s="90">
        <f t="shared" si="23"/>
        <v>85.497619321449093</v>
      </c>
      <c r="Q76" s="10">
        <f t="shared" si="24"/>
        <v>36005</v>
      </c>
      <c r="R76" s="10">
        <f t="shared" si="25"/>
        <v>57361.25</v>
      </c>
      <c r="S76" s="60">
        <f t="shared" si="26"/>
        <v>53960.909655769668</v>
      </c>
      <c r="T76" s="85">
        <f t="shared" si="27"/>
        <v>28804</v>
      </c>
      <c r="U76" s="85">
        <f t="shared" si="5"/>
        <v>45889</v>
      </c>
      <c r="V76" s="83">
        <f t="shared" si="6"/>
        <v>2.5086391338174274</v>
      </c>
      <c r="W76" s="83">
        <f t="shared" si="7"/>
        <v>2.5191154701163398</v>
      </c>
      <c r="X76" s="90">
        <f t="shared" si="28"/>
        <v>90</v>
      </c>
      <c r="Y76" s="90">
        <f t="shared" si="29"/>
        <v>143.38102357676826</v>
      </c>
      <c r="Z76" s="10">
        <f t="shared" si="30"/>
        <v>76081.25</v>
      </c>
      <c r="AA76" s="10">
        <f t="shared" si="31"/>
        <v>121206.75</v>
      </c>
      <c r="AB76" s="60">
        <f t="shared" si="32"/>
        <v>230292.82499999998</v>
      </c>
      <c r="AC76" s="85">
        <f t="shared" si="33"/>
        <v>43475</v>
      </c>
      <c r="AD76" s="85">
        <f t="shared" si="8"/>
        <v>69261</v>
      </c>
      <c r="AE76" s="83">
        <f t="shared" si="9"/>
        <v>3.3198878371369296</v>
      </c>
      <c r="AF76" s="83">
        <f t="shared" si="10"/>
        <v>3.3303557348445154</v>
      </c>
      <c r="AG76" s="90">
        <f t="shared" si="34"/>
        <v>118.7813686026452</v>
      </c>
      <c r="AH76" s="90">
        <f t="shared" si="35"/>
        <v>189.23289246693503</v>
      </c>
      <c r="AI76" s="10">
        <f t="shared" si="36"/>
        <v>143445</v>
      </c>
      <c r="AJ76" s="10">
        <f t="shared" si="37"/>
        <v>228525</v>
      </c>
      <c r="AK76" s="60">
        <f t="shared" si="38"/>
        <v>465086.85488546302</v>
      </c>
      <c r="AL76" s="85">
        <f t="shared" si="39"/>
        <v>57378</v>
      </c>
      <c r="AM76" s="85">
        <f t="shared" si="11"/>
        <v>91410</v>
      </c>
      <c r="AN76" s="83">
        <f t="shared" si="12"/>
        <v>2.5106814056016598</v>
      </c>
      <c r="AO76" s="83">
        <f t="shared" si="13"/>
        <v>2.5211299274083196</v>
      </c>
      <c r="AP76" s="90">
        <f t="shared" si="40"/>
        <v>90.072455434157561</v>
      </c>
      <c r="AQ76" s="90">
        <f t="shared" si="41"/>
        <v>143.49488211615869</v>
      </c>
      <c r="AR76" s="10">
        <f t="shared" si="42"/>
        <v>82669</v>
      </c>
      <c r="AS76" s="10">
        <f t="shared" si="43"/>
        <v>131700.4</v>
      </c>
      <c r="AT76" s="60">
        <f t="shared" si="44"/>
        <v>258931.74193790447</v>
      </c>
      <c r="AU76" s="85">
        <f t="shared" si="45"/>
        <v>43510</v>
      </c>
      <c r="AV76" s="85">
        <f t="shared" si="14"/>
        <v>69316</v>
      </c>
      <c r="AW76" s="10"/>
      <c r="AX76" s="60">
        <f t="shared" si="15"/>
        <v>482.5</v>
      </c>
      <c r="AZ76" s="99">
        <f t="shared" ca="1" si="46"/>
        <v>118.7813686026452</v>
      </c>
      <c r="BA76" s="99">
        <f t="shared" ca="1" si="47"/>
        <v>189.23289246693503</v>
      </c>
      <c r="BB76" s="100">
        <f t="shared" ca="1" si="48"/>
        <v>57378</v>
      </c>
      <c r="BC76" s="100">
        <f t="shared" ca="1" si="49"/>
        <v>91410</v>
      </c>
    </row>
    <row r="77" spans="1:55" ht="11.4" x14ac:dyDescent="0.25">
      <c r="A77" s="1"/>
      <c r="B77" s="1">
        <v>21</v>
      </c>
      <c r="C77" s="66"/>
      <c r="D77" s="83">
        <f t="shared" si="0"/>
        <v>2.5321492173723665E-2</v>
      </c>
      <c r="E77" s="83">
        <f t="shared" si="1"/>
        <v>1.6236418700971585E-2</v>
      </c>
      <c r="F77" s="90">
        <f t="shared" si="16"/>
        <v>10.404994660313809</v>
      </c>
      <c r="G77" s="90">
        <f t="shared" si="17"/>
        <v>10.404994660313809</v>
      </c>
      <c r="H77" s="10">
        <f t="shared" si="18"/>
        <v>5048</v>
      </c>
      <c r="I77" s="10">
        <f t="shared" si="19"/>
        <v>8041.9047619047615</v>
      </c>
      <c r="J77" s="60">
        <f t="shared" si="20"/>
        <v>934.29707664142961</v>
      </c>
      <c r="K77" s="85">
        <f t="shared" si="21"/>
        <v>924.95410587501533</v>
      </c>
      <c r="L77" s="85">
        <f t="shared" si="2"/>
        <v>934.29707664142961</v>
      </c>
      <c r="M77" s="83">
        <f t="shared" si="3"/>
        <v>1.6520811721991702</v>
      </c>
      <c r="N77" s="83">
        <f t="shared" si="4"/>
        <v>1.6627696752959371</v>
      </c>
      <c r="O77" s="90">
        <f t="shared" si="22"/>
        <v>59.628752156411728</v>
      </c>
      <c r="P77" s="90">
        <f t="shared" si="23"/>
        <v>81.426304115665815</v>
      </c>
      <c r="Q77" s="10">
        <f t="shared" si="24"/>
        <v>34290.476190476191</v>
      </c>
      <c r="R77" s="10">
        <f t="shared" si="25"/>
        <v>54629.761904761908</v>
      </c>
      <c r="S77" s="60">
        <f t="shared" si="26"/>
        <v>49957.439341692727</v>
      </c>
      <c r="T77" s="85">
        <f t="shared" si="27"/>
        <v>28804</v>
      </c>
      <c r="U77" s="85">
        <f t="shared" si="5"/>
        <v>45889</v>
      </c>
      <c r="V77" s="83">
        <f t="shared" si="6"/>
        <v>2.5081431535269707</v>
      </c>
      <c r="W77" s="83">
        <f t="shared" si="7"/>
        <v>2.518804144898489</v>
      </c>
      <c r="X77" s="90">
        <f t="shared" si="28"/>
        <v>90</v>
      </c>
      <c r="Y77" s="90">
        <f t="shared" si="29"/>
        <v>143.38102357676826</v>
      </c>
      <c r="Z77" s="10">
        <f t="shared" si="30"/>
        <v>72458.333333333328</v>
      </c>
      <c r="AA77" s="10">
        <f t="shared" si="31"/>
        <v>115435</v>
      </c>
      <c r="AB77" s="60">
        <f t="shared" si="32"/>
        <v>208882.38095238095</v>
      </c>
      <c r="AC77" s="85">
        <f t="shared" si="33"/>
        <v>43475</v>
      </c>
      <c r="AD77" s="85">
        <f t="shared" si="8"/>
        <v>69261</v>
      </c>
      <c r="AE77" s="83">
        <f t="shared" si="9"/>
        <v>3.3193918568464733</v>
      </c>
      <c r="AF77" s="83">
        <f t="shared" si="10"/>
        <v>3.3300444096266641</v>
      </c>
      <c r="AG77" s="90">
        <f t="shared" si="34"/>
        <v>118.7813686026452</v>
      </c>
      <c r="AH77" s="90">
        <f t="shared" si="35"/>
        <v>189.23289246693503</v>
      </c>
      <c r="AI77" s="10">
        <f t="shared" si="36"/>
        <v>136614.28571428571</v>
      </c>
      <c r="AJ77" s="10">
        <f t="shared" si="37"/>
        <v>217642.85714285713</v>
      </c>
      <c r="AK77" s="60">
        <f t="shared" si="38"/>
        <v>425741.8722873393</v>
      </c>
      <c r="AL77" s="85">
        <f t="shared" si="39"/>
        <v>57378</v>
      </c>
      <c r="AM77" s="85">
        <f t="shared" si="11"/>
        <v>91410</v>
      </c>
      <c r="AN77" s="83">
        <f t="shared" si="12"/>
        <v>2.5101854253112035</v>
      </c>
      <c r="AO77" s="83">
        <f t="shared" si="13"/>
        <v>2.5208186021904679</v>
      </c>
      <c r="AP77" s="90">
        <f t="shared" si="40"/>
        <v>90.072455434157561</v>
      </c>
      <c r="AQ77" s="90">
        <f t="shared" si="41"/>
        <v>143.49488211615869</v>
      </c>
      <c r="AR77" s="10">
        <f t="shared" si="42"/>
        <v>78732.380952380947</v>
      </c>
      <c r="AS77" s="10">
        <f t="shared" si="43"/>
        <v>125428.95238095238</v>
      </c>
      <c r="AT77" s="60">
        <f t="shared" si="44"/>
        <v>237026.87669900712</v>
      </c>
      <c r="AU77" s="85">
        <f t="shared" si="45"/>
        <v>43510</v>
      </c>
      <c r="AV77" s="85">
        <f t="shared" si="14"/>
        <v>69316</v>
      </c>
      <c r="AW77" s="10"/>
      <c r="AX77" s="60">
        <f t="shared" si="15"/>
        <v>491</v>
      </c>
      <c r="AZ77" s="99">
        <f t="shared" ca="1" si="46"/>
        <v>118.7813686026452</v>
      </c>
      <c r="BA77" s="99">
        <f t="shared" ca="1" si="47"/>
        <v>189.23289246693503</v>
      </c>
      <c r="BB77" s="100">
        <f t="shared" ca="1" si="48"/>
        <v>57378</v>
      </c>
      <c r="BC77" s="100">
        <f t="shared" ca="1" si="49"/>
        <v>91410</v>
      </c>
    </row>
    <row r="78" spans="1:55" ht="11.4" x14ac:dyDescent="0.25">
      <c r="A78" s="1"/>
      <c r="B78" s="1">
        <v>22</v>
      </c>
      <c r="C78" s="66"/>
      <c r="D78" s="83">
        <f t="shared" si="0"/>
        <v>1.8899861372386886E-2</v>
      </c>
      <c r="E78" s="83">
        <f t="shared" si="1"/>
        <v>1.21680110741792E-2</v>
      </c>
      <c r="F78" s="90">
        <f t="shared" si="16"/>
        <v>9.9320403575722729</v>
      </c>
      <c r="G78" s="90">
        <f t="shared" si="17"/>
        <v>9.9320403575722729</v>
      </c>
      <c r="H78" s="10">
        <f t="shared" si="18"/>
        <v>4818.545454545455</v>
      </c>
      <c r="I78" s="10">
        <f t="shared" si="19"/>
        <v>7676.363636363636</v>
      </c>
      <c r="J78" s="60">
        <f t="shared" si="20"/>
        <v>831.71881235431567</v>
      </c>
      <c r="K78" s="85">
        <f t="shared" si="21"/>
        <v>823.40162423077254</v>
      </c>
      <c r="L78" s="85">
        <f t="shared" si="2"/>
        <v>831.71881235431567</v>
      </c>
      <c r="M78" s="83">
        <f t="shared" si="3"/>
        <v>1.6515851919087137</v>
      </c>
      <c r="N78" s="83">
        <f t="shared" si="4"/>
        <v>1.6624583500780858</v>
      </c>
      <c r="O78" s="90">
        <f t="shared" si="22"/>
        <v>59.628752156411728</v>
      </c>
      <c r="P78" s="90">
        <f t="shared" si="23"/>
        <v>77.725108474044632</v>
      </c>
      <c r="Q78" s="10">
        <f t="shared" si="24"/>
        <v>32731.81818181818</v>
      </c>
      <c r="R78" s="10">
        <f t="shared" si="25"/>
        <v>52146.590909090912</v>
      </c>
      <c r="S78" s="60">
        <f t="shared" si="26"/>
        <v>46417.187229343312</v>
      </c>
      <c r="T78" s="85">
        <f t="shared" si="27"/>
        <v>28804</v>
      </c>
      <c r="U78" s="85">
        <f t="shared" si="5"/>
        <v>45889</v>
      </c>
      <c r="V78" s="83">
        <f t="shared" si="6"/>
        <v>2.5076471732365144</v>
      </c>
      <c r="W78" s="83">
        <f t="shared" si="7"/>
        <v>2.5184928196806373</v>
      </c>
      <c r="X78" s="90">
        <f t="shared" si="28"/>
        <v>90</v>
      </c>
      <c r="Y78" s="90">
        <f t="shared" si="29"/>
        <v>143.38102357676826</v>
      </c>
      <c r="Z78" s="10">
        <f t="shared" si="30"/>
        <v>69164.772727272721</v>
      </c>
      <c r="AA78" s="10">
        <f t="shared" si="31"/>
        <v>110187.95454545454</v>
      </c>
      <c r="AB78" s="60">
        <f t="shared" si="32"/>
        <v>190324.64876033057</v>
      </c>
      <c r="AC78" s="85">
        <f t="shared" si="33"/>
        <v>43475</v>
      </c>
      <c r="AD78" s="85">
        <f t="shared" si="8"/>
        <v>69261</v>
      </c>
      <c r="AE78" s="83">
        <f t="shared" si="9"/>
        <v>3.3188958765560166</v>
      </c>
      <c r="AF78" s="83">
        <f t="shared" si="10"/>
        <v>3.3297330844088129</v>
      </c>
      <c r="AG78" s="90">
        <f t="shared" si="34"/>
        <v>118.7813686026452</v>
      </c>
      <c r="AH78" s="90">
        <f t="shared" si="35"/>
        <v>189.23289246693503</v>
      </c>
      <c r="AI78" s="10">
        <f t="shared" si="36"/>
        <v>130404.54545454546</v>
      </c>
      <c r="AJ78" s="10">
        <f t="shared" si="37"/>
        <v>207750</v>
      </c>
      <c r="AK78" s="60">
        <f t="shared" si="38"/>
        <v>391331.49382403732</v>
      </c>
      <c r="AL78" s="85">
        <f t="shared" si="39"/>
        <v>57378</v>
      </c>
      <c r="AM78" s="85">
        <f t="shared" si="11"/>
        <v>91410</v>
      </c>
      <c r="AN78" s="83">
        <f t="shared" si="12"/>
        <v>2.5096894450207468</v>
      </c>
      <c r="AO78" s="83">
        <f t="shared" si="13"/>
        <v>2.5205072769726167</v>
      </c>
      <c r="AP78" s="90">
        <f t="shared" si="40"/>
        <v>90.072455434157561</v>
      </c>
      <c r="AQ78" s="90">
        <f t="shared" si="41"/>
        <v>143.49488211615869</v>
      </c>
      <c r="AR78" s="10">
        <f t="shared" si="42"/>
        <v>75153.636363636368</v>
      </c>
      <c r="AS78" s="10">
        <f t="shared" si="43"/>
        <v>119727.63636363637</v>
      </c>
      <c r="AT78" s="60">
        <f t="shared" si="44"/>
        <v>217869.29539424286</v>
      </c>
      <c r="AU78" s="85">
        <f t="shared" si="45"/>
        <v>43510</v>
      </c>
      <c r="AV78" s="85">
        <f t="shared" si="14"/>
        <v>69316</v>
      </c>
      <c r="AW78" s="10"/>
      <c r="AX78" s="60">
        <f t="shared" si="15"/>
        <v>499.5</v>
      </c>
      <c r="AZ78" s="99">
        <f t="shared" ca="1" si="46"/>
        <v>118.7813686026452</v>
      </c>
      <c r="BA78" s="99">
        <f t="shared" ca="1" si="47"/>
        <v>189.23289246693503</v>
      </c>
      <c r="BB78" s="100">
        <f t="shared" ca="1" si="48"/>
        <v>57378</v>
      </c>
      <c r="BC78" s="100">
        <f t="shared" ca="1" si="49"/>
        <v>91410</v>
      </c>
    </row>
    <row r="79" spans="1:55" ht="11.4" x14ac:dyDescent="0.25">
      <c r="A79" s="1"/>
      <c r="B79" s="1">
        <v>23</v>
      </c>
      <c r="C79" s="66"/>
      <c r="D79" s="83">
        <f t="shared" si="0"/>
        <v>1.3328663130348842E-2</v>
      </c>
      <c r="E79" s="83">
        <f t="shared" si="1"/>
        <v>8.63894799833991E-3</v>
      </c>
      <c r="F79" s="90">
        <f t="shared" si="16"/>
        <v>9.5002125159386956</v>
      </c>
      <c r="G79" s="90">
        <f t="shared" si="17"/>
        <v>9.5002125159386956</v>
      </c>
      <c r="H79" s="10">
        <f t="shared" si="18"/>
        <v>4609.04347826087</v>
      </c>
      <c r="I79" s="10">
        <f t="shared" si="19"/>
        <v>7342.608695652174</v>
      </c>
      <c r="J79" s="60">
        <f t="shared" si="20"/>
        <v>744.24107757856405</v>
      </c>
      <c r="K79" s="85">
        <f t="shared" si="21"/>
        <v>736.79866680277837</v>
      </c>
      <c r="L79" s="85">
        <f t="shared" si="2"/>
        <v>744.24107757856405</v>
      </c>
      <c r="M79" s="83">
        <f t="shared" si="3"/>
        <v>1.6510673301348548</v>
      </c>
      <c r="N79" s="83">
        <f t="shared" si="4"/>
        <v>1.5661711993713201</v>
      </c>
      <c r="O79" s="90">
        <f t="shared" si="22"/>
        <v>59.628752156411728</v>
      </c>
      <c r="P79" s="90">
        <f t="shared" si="23"/>
        <v>74.345755931694868</v>
      </c>
      <c r="Q79" s="10">
        <f t="shared" si="24"/>
        <v>31308.695652173912</v>
      </c>
      <c r="R79" s="10">
        <f t="shared" si="25"/>
        <v>49879.34782608696</v>
      </c>
      <c r="S79" s="60">
        <f t="shared" si="26"/>
        <v>43268.981694613161</v>
      </c>
      <c r="T79" s="85">
        <f t="shared" si="27"/>
        <v>28804</v>
      </c>
      <c r="U79" s="85">
        <f t="shared" si="5"/>
        <v>43268.981694613161</v>
      </c>
      <c r="V79" s="83">
        <f t="shared" si="6"/>
        <v>2.5071293114626556</v>
      </c>
      <c r="W79" s="83">
        <f t="shared" si="7"/>
        <v>2.5181677595267042</v>
      </c>
      <c r="X79" s="90">
        <f t="shared" si="28"/>
        <v>90</v>
      </c>
      <c r="Y79" s="90">
        <f t="shared" si="29"/>
        <v>143.38102357676826</v>
      </c>
      <c r="Z79" s="10">
        <f t="shared" si="30"/>
        <v>66157.608695652176</v>
      </c>
      <c r="AA79" s="10">
        <f t="shared" si="31"/>
        <v>105397.17391304347</v>
      </c>
      <c r="AB79" s="60">
        <f t="shared" si="32"/>
        <v>174134.46124763705</v>
      </c>
      <c r="AC79" s="85">
        <f t="shared" si="33"/>
        <v>43475</v>
      </c>
      <c r="AD79" s="85">
        <f t="shared" si="8"/>
        <v>69261</v>
      </c>
      <c r="AE79" s="83">
        <f t="shared" si="9"/>
        <v>3.3183780147821578</v>
      </c>
      <c r="AF79" s="83">
        <f t="shared" si="10"/>
        <v>3.3294080242548798</v>
      </c>
      <c r="AG79" s="90">
        <f t="shared" si="34"/>
        <v>118.7813686026452</v>
      </c>
      <c r="AH79" s="90">
        <f t="shared" si="35"/>
        <v>189.23289246693503</v>
      </c>
      <c r="AI79" s="10">
        <f t="shared" si="36"/>
        <v>124734.78260869565</v>
      </c>
      <c r="AJ79" s="10">
        <f t="shared" si="37"/>
        <v>198717.39130434784</v>
      </c>
      <c r="AK79" s="60">
        <f t="shared" si="38"/>
        <v>361052.63611564774</v>
      </c>
      <c r="AL79" s="85">
        <f t="shared" si="39"/>
        <v>57378</v>
      </c>
      <c r="AM79" s="85">
        <f t="shared" si="11"/>
        <v>91410</v>
      </c>
      <c r="AN79" s="83">
        <f t="shared" si="12"/>
        <v>2.5091715832468879</v>
      </c>
      <c r="AO79" s="83">
        <f t="shared" si="13"/>
        <v>2.5201822168186836</v>
      </c>
      <c r="AP79" s="90">
        <f t="shared" si="40"/>
        <v>90.072455434157561</v>
      </c>
      <c r="AQ79" s="90">
        <f t="shared" si="41"/>
        <v>143.49488211615869</v>
      </c>
      <c r="AR79" s="10">
        <f t="shared" si="42"/>
        <v>71886.086956521744</v>
      </c>
      <c r="AS79" s="10">
        <f t="shared" si="43"/>
        <v>114522.08695652174</v>
      </c>
      <c r="AT79" s="60">
        <f t="shared" si="44"/>
        <v>201011.8906149698</v>
      </c>
      <c r="AU79" s="85">
        <f t="shared" si="45"/>
        <v>43510</v>
      </c>
      <c r="AV79" s="85">
        <f t="shared" si="14"/>
        <v>69316</v>
      </c>
      <c r="AW79" s="10"/>
      <c r="AX79" s="60">
        <f t="shared" si="15"/>
        <v>508.375</v>
      </c>
      <c r="AZ79" s="99">
        <f t="shared" ca="1" si="46"/>
        <v>118.7813686026452</v>
      </c>
      <c r="BA79" s="99">
        <f t="shared" ca="1" si="47"/>
        <v>189.23289246693503</v>
      </c>
      <c r="BB79" s="100">
        <f t="shared" ca="1" si="48"/>
        <v>57378</v>
      </c>
      <c r="BC79" s="100">
        <f t="shared" ca="1" si="49"/>
        <v>91410</v>
      </c>
    </row>
    <row r="80" spans="1:55" ht="11.4" x14ac:dyDescent="0.25">
      <c r="A80" s="1"/>
      <c r="B80" s="1">
        <v>24</v>
      </c>
      <c r="C80" s="66"/>
      <c r="D80" s="83">
        <f t="shared" si="0"/>
        <v>8.464078428385105E-3</v>
      </c>
      <c r="E80" s="83">
        <f t="shared" si="1"/>
        <v>5.5579503849471235E-3</v>
      </c>
      <c r="F80" s="90">
        <f t="shared" si="16"/>
        <v>9.1043703277745838</v>
      </c>
      <c r="G80" s="90">
        <f t="shared" si="17"/>
        <v>9.1043703277745838</v>
      </c>
      <c r="H80" s="10">
        <f t="shared" si="18"/>
        <v>4417</v>
      </c>
      <c r="I80" s="10">
        <f t="shared" si="19"/>
        <v>7036.666666666667</v>
      </c>
      <c r="J80" s="60">
        <f t="shared" si="20"/>
        <v>669.12171232257231</v>
      </c>
      <c r="K80" s="85">
        <f t="shared" si="21"/>
        <v>662.43049519934652</v>
      </c>
      <c r="L80" s="85">
        <f t="shared" si="2"/>
        <v>669.12171232257231</v>
      </c>
      <c r="M80" s="83">
        <f t="shared" si="3"/>
        <v>1.650542174533195</v>
      </c>
      <c r="N80" s="83">
        <f t="shared" si="4"/>
        <v>1.4627776183133887</v>
      </c>
      <c r="O80" s="90">
        <f t="shared" si="22"/>
        <v>59.628752156411728</v>
      </c>
      <c r="P80" s="90">
        <f t="shared" si="23"/>
        <v>71.248016101207583</v>
      </c>
      <c r="Q80" s="10">
        <f t="shared" si="24"/>
        <v>30004.166666666668</v>
      </c>
      <c r="R80" s="10">
        <f t="shared" si="25"/>
        <v>47801.041666666664</v>
      </c>
      <c r="S80" s="60">
        <f t="shared" si="26"/>
        <v>40455.064087559396</v>
      </c>
      <c r="T80" s="85">
        <f t="shared" si="27"/>
        <v>28804</v>
      </c>
      <c r="U80" s="85">
        <f t="shared" si="5"/>
        <v>40455.064087559396</v>
      </c>
      <c r="V80" s="83">
        <f t="shared" si="6"/>
        <v>2.5066041558609959</v>
      </c>
      <c r="W80" s="83">
        <f t="shared" si="7"/>
        <v>2.5178381210607439</v>
      </c>
      <c r="X80" s="90">
        <f t="shared" si="28"/>
        <v>90</v>
      </c>
      <c r="Y80" s="90">
        <f t="shared" si="29"/>
        <v>143.38102357676826</v>
      </c>
      <c r="Z80" s="10">
        <f t="shared" si="30"/>
        <v>63401.041666666664</v>
      </c>
      <c r="AA80" s="10">
        <f t="shared" si="31"/>
        <v>101005.625</v>
      </c>
      <c r="AB80" s="60">
        <f t="shared" si="32"/>
        <v>159925.57291666666</v>
      </c>
      <c r="AC80" s="85">
        <f t="shared" si="33"/>
        <v>43475</v>
      </c>
      <c r="AD80" s="85">
        <f t="shared" si="8"/>
        <v>69261</v>
      </c>
      <c r="AE80" s="83">
        <f t="shared" si="9"/>
        <v>3.3178528591804981</v>
      </c>
      <c r="AF80" s="83">
        <f t="shared" si="10"/>
        <v>3.3290783857889195</v>
      </c>
      <c r="AG80" s="90">
        <f t="shared" si="34"/>
        <v>118.7813686026452</v>
      </c>
      <c r="AH80" s="90">
        <f t="shared" si="35"/>
        <v>189.23289246693503</v>
      </c>
      <c r="AI80" s="10">
        <f t="shared" si="36"/>
        <v>119537.5</v>
      </c>
      <c r="AJ80" s="10">
        <f t="shared" si="37"/>
        <v>190437.5</v>
      </c>
      <c r="AK80" s="60">
        <f t="shared" si="38"/>
        <v>334260.42902554991</v>
      </c>
      <c r="AL80" s="85">
        <f t="shared" si="39"/>
        <v>57378</v>
      </c>
      <c r="AM80" s="85">
        <f t="shared" si="11"/>
        <v>91410</v>
      </c>
      <c r="AN80" s="83">
        <f t="shared" si="12"/>
        <v>2.5086464276452283</v>
      </c>
      <c r="AO80" s="83">
        <f t="shared" si="13"/>
        <v>2.5198525783527232</v>
      </c>
      <c r="AP80" s="90">
        <f t="shared" si="40"/>
        <v>90.072455434157561</v>
      </c>
      <c r="AQ80" s="90">
        <f t="shared" si="41"/>
        <v>143.49488211615869</v>
      </c>
      <c r="AR80" s="10">
        <f t="shared" si="42"/>
        <v>68890.833333333328</v>
      </c>
      <c r="AS80" s="10">
        <f t="shared" si="43"/>
        <v>109750.33333333333</v>
      </c>
      <c r="AT80" s="60">
        <f t="shared" si="44"/>
        <v>186095.63835084473</v>
      </c>
      <c r="AU80" s="85">
        <f t="shared" si="45"/>
        <v>43510</v>
      </c>
      <c r="AV80" s="85">
        <f t="shared" si="14"/>
        <v>69316</v>
      </c>
      <c r="AW80" s="10"/>
      <c r="AX80" s="60">
        <f t="shared" si="15"/>
        <v>517.375</v>
      </c>
      <c r="AZ80" s="99">
        <f t="shared" ca="1" si="46"/>
        <v>118.7813686026452</v>
      </c>
      <c r="BA80" s="99">
        <f t="shared" ca="1" si="47"/>
        <v>189.23289246693503</v>
      </c>
      <c r="BB80" s="100">
        <f t="shared" ca="1" si="48"/>
        <v>57378</v>
      </c>
      <c r="BC80" s="100">
        <f t="shared" ca="1" si="49"/>
        <v>91410</v>
      </c>
    </row>
    <row r="81" spans="1:55" ht="11.4" x14ac:dyDescent="0.25">
      <c r="A81" s="1"/>
      <c r="B81" s="1">
        <v>25</v>
      </c>
      <c r="C81" s="66"/>
      <c r="D81" s="83">
        <f t="shared" si="0"/>
        <v>4.17419471947994E-3</v>
      </c>
      <c r="E81" s="83">
        <f t="shared" si="1"/>
        <v>2.8414270276209339E-3</v>
      </c>
      <c r="F81" s="90">
        <f t="shared" si="16"/>
        <v>8.7401955146636006</v>
      </c>
      <c r="G81" s="90">
        <f t="shared" si="17"/>
        <v>8.7401955146636006</v>
      </c>
      <c r="H81" s="10">
        <f t="shared" si="18"/>
        <v>4240.32</v>
      </c>
      <c r="I81" s="10">
        <f t="shared" si="19"/>
        <v>6755.2</v>
      </c>
      <c r="J81" s="60">
        <f t="shared" si="20"/>
        <v>604.20345606426326</v>
      </c>
      <c r="K81" s="85">
        <f t="shared" si="21"/>
        <v>598.16142150362066</v>
      </c>
      <c r="L81" s="85">
        <f>MIN(E$39,I81,J81)</f>
        <v>604.20345606426326</v>
      </c>
      <c r="M81" s="83">
        <f t="shared" si="3"/>
        <v>1.6500024312759336</v>
      </c>
      <c r="N81" s="83">
        <f t="shared" si="4"/>
        <v>1.3698861160753237</v>
      </c>
      <c r="O81" s="90">
        <f t="shared" si="22"/>
        <v>59.628752156411728</v>
      </c>
      <c r="P81" s="90">
        <f t="shared" si="23"/>
        <v>68.398095457159286</v>
      </c>
      <c r="Q81" s="10">
        <f t="shared" si="24"/>
        <v>28804</v>
      </c>
      <c r="R81" s="10">
        <f t="shared" si="25"/>
        <v>45889</v>
      </c>
      <c r="S81" s="60">
        <f t="shared" si="26"/>
        <v>37928.130946107092</v>
      </c>
      <c r="T81" s="85">
        <f t="shared" si="27"/>
        <v>28804</v>
      </c>
      <c r="U81" s="85">
        <f>MIN(N$39,R81,S81)</f>
        <v>37928.130946107092</v>
      </c>
      <c r="V81" s="83">
        <f t="shared" si="6"/>
        <v>2.5060644126037346</v>
      </c>
      <c r="W81" s="83">
        <f t="shared" si="7"/>
        <v>2.5174993259707295</v>
      </c>
      <c r="X81" s="90">
        <f t="shared" si="28"/>
        <v>90</v>
      </c>
      <c r="Y81" s="90">
        <f t="shared" si="29"/>
        <v>143.38102357676826</v>
      </c>
      <c r="Z81" s="10">
        <f t="shared" si="30"/>
        <v>60865</v>
      </c>
      <c r="AA81" s="10">
        <f t="shared" si="31"/>
        <v>96965.4</v>
      </c>
      <c r="AB81" s="60">
        <f t="shared" si="32"/>
        <v>147387.408</v>
      </c>
      <c r="AC81" s="85">
        <f t="shared" si="33"/>
        <v>43475</v>
      </c>
      <c r="AD81" s="85">
        <f>MIN(W$39,AA81,AB81)</f>
        <v>69261</v>
      </c>
      <c r="AE81" s="83">
        <f t="shared" si="9"/>
        <v>3.3173131159232363</v>
      </c>
      <c r="AF81" s="83">
        <f t="shared" si="10"/>
        <v>3.328739590698905</v>
      </c>
      <c r="AG81" s="90">
        <f t="shared" si="34"/>
        <v>118.7813686026452</v>
      </c>
      <c r="AH81" s="90">
        <f t="shared" si="35"/>
        <v>189.23289246693503</v>
      </c>
      <c r="AI81" s="10">
        <f t="shared" si="36"/>
        <v>114756</v>
      </c>
      <c r="AJ81" s="10">
        <f t="shared" si="37"/>
        <v>182820</v>
      </c>
      <c r="AK81" s="60">
        <f t="shared" si="38"/>
        <v>310432.05320168176</v>
      </c>
      <c r="AL81" s="85">
        <f t="shared" si="39"/>
        <v>57378</v>
      </c>
      <c r="AM81" s="85">
        <f>MIN(AF$39,AJ81,AK81)</f>
        <v>91410</v>
      </c>
      <c r="AN81" s="83">
        <f t="shared" si="12"/>
        <v>2.5081066843879669</v>
      </c>
      <c r="AO81" s="83">
        <f t="shared" si="13"/>
        <v>2.5195137832627088</v>
      </c>
      <c r="AP81" s="90">
        <f t="shared" si="40"/>
        <v>90.072455434157561</v>
      </c>
      <c r="AQ81" s="90">
        <f t="shared" si="41"/>
        <v>143.49488211615869</v>
      </c>
      <c r="AR81" s="10">
        <f t="shared" si="42"/>
        <v>66135.199999999997</v>
      </c>
      <c r="AS81" s="10">
        <f t="shared" si="43"/>
        <v>105360.32000000001</v>
      </c>
      <c r="AT81" s="60">
        <f t="shared" si="44"/>
        <v>172829.464958039</v>
      </c>
      <c r="AU81" s="85">
        <f t="shared" si="45"/>
        <v>43510</v>
      </c>
      <c r="AV81" s="85">
        <f>MIN(AO$39,AS81,AT81)</f>
        <v>69316</v>
      </c>
      <c r="AW81" s="10"/>
      <c r="AX81" s="60">
        <f t="shared" si="15"/>
        <v>526.625</v>
      </c>
      <c r="AZ81" s="99">
        <f t="shared" ca="1" si="46"/>
        <v>118.7813686026452</v>
      </c>
      <c r="BA81" s="99">
        <f t="shared" ca="1" si="47"/>
        <v>189.23289246693503</v>
      </c>
      <c r="BB81" s="100">
        <f t="shared" ca="1" si="48"/>
        <v>57378</v>
      </c>
      <c r="BC81" s="100">
        <f t="shared" ca="1" si="49"/>
        <v>91410</v>
      </c>
    </row>
    <row r="82" spans="1:55" ht="11.4" x14ac:dyDescent="0.25">
      <c r="A82" s="1"/>
      <c r="B82" s="1">
        <v>26</v>
      </c>
      <c r="C82" s="66"/>
      <c r="D82" s="83">
        <f t="shared" si="0"/>
        <v>3.6727718526359955E-4</v>
      </c>
      <c r="E82" s="83">
        <f t="shared" si="1"/>
        <v>4.3116840035702537E-4</v>
      </c>
      <c r="F82" s="90">
        <f t="shared" si="16"/>
        <v>8.4040341487150005</v>
      </c>
      <c r="G82" s="90">
        <f t="shared" si="17"/>
        <v>8.4040341487150005</v>
      </c>
      <c r="H82" s="10">
        <f t="shared" si="18"/>
        <v>4077.2307692307691</v>
      </c>
      <c r="I82" s="10">
        <f t="shared" si="19"/>
        <v>6495.3846153846152</v>
      </c>
      <c r="J82" s="60">
        <f t="shared" si="20"/>
        <v>547.77203513524773</v>
      </c>
      <c r="K82" s="85">
        <f t="shared" si="21"/>
        <v>542.29431478389529</v>
      </c>
      <c r="L82" s="85">
        <f t="shared" ref="L82:L145" si="50">MIN(E$39,I82,J82)</f>
        <v>547.77203513524773</v>
      </c>
      <c r="M82" s="83">
        <f t="shared" si="3"/>
        <v>1.6494553941908714</v>
      </c>
      <c r="N82" s="83">
        <f t="shared" si="4"/>
        <v>1.2860704121771132</v>
      </c>
      <c r="O82" s="90">
        <f t="shared" si="22"/>
        <v>59.628752156411728</v>
      </c>
      <c r="P82" s="90">
        <f t="shared" si="23"/>
        <v>65.767399478037774</v>
      </c>
      <c r="Q82" s="10">
        <f t="shared" si="24"/>
        <v>27696.153846153848</v>
      </c>
      <c r="R82" s="10">
        <f t="shared" si="25"/>
        <v>44124.038461538461</v>
      </c>
      <c r="S82" s="60">
        <f t="shared" si="26"/>
        <v>35649.116049356213</v>
      </c>
      <c r="T82" s="85">
        <f t="shared" si="27"/>
        <v>28804</v>
      </c>
      <c r="U82" s="85">
        <f t="shared" ref="U82:U145" si="51">MIN(N$39,R82,S82)</f>
        <v>35649.116049356213</v>
      </c>
      <c r="V82" s="83">
        <f t="shared" si="6"/>
        <v>2.5055173755186724</v>
      </c>
      <c r="W82" s="83">
        <f t="shared" si="7"/>
        <v>2.5171559525686877</v>
      </c>
      <c r="X82" s="90">
        <f t="shared" si="28"/>
        <v>90</v>
      </c>
      <c r="Y82" s="90">
        <f t="shared" si="29"/>
        <v>143.38102357676826</v>
      </c>
      <c r="Z82" s="10">
        <f t="shared" si="30"/>
        <v>58524.038461538461</v>
      </c>
      <c r="AA82" s="10">
        <f t="shared" si="31"/>
        <v>93235.961538461532</v>
      </c>
      <c r="AB82" s="60">
        <f t="shared" si="32"/>
        <v>136267.94378698224</v>
      </c>
      <c r="AC82" s="85">
        <f t="shared" si="33"/>
        <v>43475</v>
      </c>
      <c r="AD82" s="85">
        <f t="shared" ref="AD82:AD145" si="52">MIN(W$39,AA82,AB82)</f>
        <v>69261</v>
      </c>
      <c r="AE82" s="83">
        <f t="shared" si="9"/>
        <v>3.3167660788381741</v>
      </c>
      <c r="AF82" s="83">
        <f t="shared" si="10"/>
        <v>3.3283962172968629</v>
      </c>
      <c r="AG82" s="90">
        <f t="shared" si="34"/>
        <v>118.7813686026452</v>
      </c>
      <c r="AH82" s="90">
        <f t="shared" si="35"/>
        <v>189.23289246693503</v>
      </c>
      <c r="AI82" s="10">
        <f t="shared" si="36"/>
        <v>110342.30769230769</v>
      </c>
      <c r="AJ82" s="10">
        <f t="shared" si="37"/>
        <v>175788.46153846153</v>
      </c>
      <c r="AK82" s="60">
        <f t="shared" si="38"/>
        <v>289139.89794187702</v>
      </c>
      <c r="AL82" s="85">
        <f t="shared" si="39"/>
        <v>57378</v>
      </c>
      <c r="AM82" s="85">
        <f t="shared" ref="AM82:AM145" si="53">MIN(AF$39,AJ82,AK82)</f>
        <v>91410</v>
      </c>
      <c r="AN82" s="83">
        <f t="shared" si="12"/>
        <v>2.5075596473029047</v>
      </c>
      <c r="AO82" s="83">
        <f t="shared" si="13"/>
        <v>2.5191704098606666</v>
      </c>
      <c r="AP82" s="90">
        <f t="shared" si="40"/>
        <v>90.072455434157561</v>
      </c>
      <c r="AQ82" s="90">
        <f t="shared" si="41"/>
        <v>143.49488211615869</v>
      </c>
      <c r="AR82" s="10">
        <f t="shared" si="42"/>
        <v>63591.538461538461</v>
      </c>
      <c r="AS82" s="10">
        <f t="shared" si="43"/>
        <v>101308</v>
      </c>
      <c r="AT82" s="60">
        <f t="shared" si="44"/>
        <v>160975.30311037446</v>
      </c>
      <c r="AU82" s="85">
        <f t="shared" si="45"/>
        <v>43510</v>
      </c>
      <c r="AV82" s="85">
        <f t="shared" ref="AV82:AV145" si="54">MIN(AO$39,AS82,AT82)</f>
        <v>69316</v>
      </c>
      <c r="AW82" s="10"/>
      <c r="AX82" s="60">
        <f t="shared" si="15"/>
        <v>536</v>
      </c>
      <c r="AZ82" s="99">
        <f t="shared" ca="1" si="46"/>
        <v>118.7813686026452</v>
      </c>
      <c r="BA82" s="99">
        <f t="shared" ca="1" si="47"/>
        <v>189.23289246693503</v>
      </c>
      <c r="BB82" s="100">
        <f t="shared" ca="1" si="48"/>
        <v>57378</v>
      </c>
      <c r="BC82" s="100">
        <f t="shared" ca="1" si="49"/>
        <v>91410</v>
      </c>
    </row>
    <row r="83" spans="1:55" ht="11.4" x14ac:dyDescent="0.25">
      <c r="A83" s="1"/>
      <c r="B83" s="1">
        <v>27</v>
      </c>
      <c r="C83" s="66"/>
      <c r="D83" s="83">
        <f t="shared" si="0"/>
        <v>0</v>
      </c>
      <c r="E83" s="83">
        <f t="shared" si="1"/>
        <v>0</v>
      </c>
      <c r="F83" s="90">
        <f t="shared" si="16"/>
        <v>8.0927736246885189</v>
      </c>
      <c r="G83" s="90">
        <f t="shared" si="17"/>
        <v>8.0927736246885189</v>
      </c>
      <c r="H83" s="10">
        <f t="shared" si="18"/>
        <v>3926.2222222222222</v>
      </c>
      <c r="I83" s="10">
        <f t="shared" si="19"/>
        <v>6254.8148148148148</v>
      </c>
      <c r="J83" s="60">
        <f t="shared" si="20"/>
        <v>498.45254344422216</v>
      </c>
      <c r="K83" s="85">
        <f t="shared" si="21"/>
        <v>493.46801800977994</v>
      </c>
      <c r="L83" s="85">
        <f t="shared" si="50"/>
        <v>498.45254344422216</v>
      </c>
      <c r="M83" s="83">
        <f t="shared" si="3"/>
        <v>1.6488937694502075</v>
      </c>
      <c r="N83" s="83">
        <f t="shared" si="4"/>
        <v>1.2101351112161325</v>
      </c>
      <c r="O83" s="90">
        <f t="shared" si="22"/>
        <v>59.628752156411728</v>
      </c>
      <c r="P83" s="90">
        <f t="shared" si="23"/>
        <v>63.331569867740072</v>
      </c>
      <c r="Q83" s="10">
        <f t="shared" si="24"/>
        <v>26670.370370370369</v>
      </c>
      <c r="R83" s="10">
        <f t="shared" si="25"/>
        <v>42489.814814814818</v>
      </c>
      <c r="S83" s="60">
        <f t="shared" si="26"/>
        <v>33585.506948299459</v>
      </c>
      <c r="T83" s="85">
        <f t="shared" si="27"/>
        <v>28804</v>
      </c>
      <c r="U83" s="85">
        <f t="shared" si="51"/>
        <v>33585.506948299459</v>
      </c>
      <c r="V83" s="83">
        <f t="shared" si="6"/>
        <v>2.504955750778008</v>
      </c>
      <c r="W83" s="83">
        <f t="shared" si="7"/>
        <v>2.516803422542591</v>
      </c>
      <c r="X83" s="90">
        <f t="shared" si="28"/>
        <v>90</v>
      </c>
      <c r="Y83" s="90">
        <f t="shared" si="29"/>
        <v>143.38102357676826</v>
      </c>
      <c r="Z83" s="10">
        <f t="shared" si="30"/>
        <v>56356.481481481482</v>
      </c>
      <c r="AA83" s="10">
        <f t="shared" si="31"/>
        <v>89782.777777777781</v>
      </c>
      <c r="AB83" s="60">
        <f t="shared" si="32"/>
        <v>126360.94650205762</v>
      </c>
      <c r="AC83" s="85">
        <f t="shared" si="33"/>
        <v>43475</v>
      </c>
      <c r="AD83" s="85">
        <f t="shared" si="52"/>
        <v>69261</v>
      </c>
      <c r="AE83" s="83">
        <f t="shared" si="9"/>
        <v>3.3162044540975106</v>
      </c>
      <c r="AF83" s="83">
        <f t="shared" si="10"/>
        <v>3.3280436872707666</v>
      </c>
      <c r="AG83" s="90">
        <f t="shared" si="34"/>
        <v>118.7813686026452</v>
      </c>
      <c r="AH83" s="90">
        <f t="shared" si="35"/>
        <v>189.23289246693503</v>
      </c>
      <c r="AI83" s="10">
        <f t="shared" si="36"/>
        <v>106255.55555555556</v>
      </c>
      <c r="AJ83" s="10">
        <f t="shared" si="37"/>
        <v>169277.77777777778</v>
      </c>
      <c r="AK83" s="60">
        <f t="shared" si="38"/>
        <v>270031.38522685808</v>
      </c>
      <c r="AL83" s="85">
        <f t="shared" si="39"/>
        <v>57378</v>
      </c>
      <c r="AM83" s="85">
        <f t="shared" si="53"/>
        <v>91410</v>
      </c>
      <c r="AN83" s="83">
        <f t="shared" si="12"/>
        <v>2.5069980225622408</v>
      </c>
      <c r="AO83" s="83">
        <f t="shared" si="13"/>
        <v>2.5188178798345704</v>
      </c>
      <c r="AP83" s="90">
        <f t="shared" si="40"/>
        <v>90.072455434157561</v>
      </c>
      <c r="AQ83" s="90">
        <f t="shared" si="41"/>
        <v>143.49488211615869</v>
      </c>
      <c r="AR83" s="10">
        <f t="shared" si="42"/>
        <v>61236.296296296299</v>
      </c>
      <c r="AS83" s="10">
        <f t="shared" si="43"/>
        <v>97555.851851851854</v>
      </c>
      <c r="AT83" s="60">
        <f t="shared" si="44"/>
        <v>150336.85906241066</v>
      </c>
      <c r="AU83" s="85">
        <f t="shared" si="45"/>
        <v>43510</v>
      </c>
      <c r="AV83" s="85">
        <f t="shared" si="54"/>
        <v>69316</v>
      </c>
      <c r="AW83" s="10"/>
      <c r="AX83" s="60">
        <f t="shared" si="15"/>
        <v>545.625</v>
      </c>
      <c r="AZ83" s="99">
        <f t="shared" ca="1" si="46"/>
        <v>118.7813686026452</v>
      </c>
      <c r="BA83" s="99">
        <f t="shared" ca="1" si="47"/>
        <v>189.23289246693503</v>
      </c>
      <c r="BB83" s="100">
        <f t="shared" ca="1" si="48"/>
        <v>57378</v>
      </c>
      <c r="BC83" s="100">
        <f t="shared" ca="1" si="49"/>
        <v>91410</v>
      </c>
    </row>
    <row r="84" spans="1:55" ht="11.4" x14ac:dyDescent="0.25">
      <c r="A84" s="1"/>
      <c r="B84" s="1">
        <v>28</v>
      </c>
      <c r="C84" s="66"/>
      <c r="D84" s="83">
        <f t="shared" si="0"/>
        <v>0</v>
      </c>
      <c r="E84" s="83">
        <f t="shared" si="1"/>
        <v>0</v>
      </c>
      <c r="F84" s="90">
        <f t="shared" si="16"/>
        <v>7.8037459952353574</v>
      </c>
      <c r="G84" s="90">
        <f t="shared" si="17"/>
        <v>7.8037459952353574</v>
      </c>
      <c r="H84" s="10">
        <f t="shared" si="18"/>
        <v>3786</v>
      </c>
      <c r="I84" s="10">
        <f t="shared" si="19"/>
        <v>6031.4285714285716</v>
      </c>
      <c r="J84" s="60">
        <f t="shared" si="20"/>
        <v>455.13281421732114</v>
      </c>
      <c r="K84" s="85">
        <f t="shared" si="21"/>
        <v>450.58148607514795</v>
      </c>
      <c r="L84" s="85">
        <f t="shared" si="50"/>
        <v>455.13281421732114</v>
      </c>
      <c r="M84" s="83">
        <f t="shared" si="3"/>
        <v>1.6483175570539419</v>
      </c>
      <c r="N84" s="83">
        <f t="shared" si="4"/>
        <v>1.1410821122266797</v>
      </c>
      <c r="O84" s="90">
        <f t="shared" si="22"/>
        <v>59.628752156411728</v>
      </c>
      <c r="P84" s="90">
        <f t="shared" si="23"/>
        <v>61.069728086749357</v>
      </c>
      <c r="Q84" s="10">
        <f t="shared" si="24"/>
        <v>25717.857142857141</v>
      </c>
      <c r="R84" s="10">
        <f t="shared" si="25"/>
        <v>40972.321428571428</v>
      </c>
      <c r="S84" s="60">
        <f t="shared" si="26"/>
        <v>31710.052852695619</v>
      </c>
      <c r="T84" s="85">
        <f t="shared" si="27"/>
        <v>28804</v>
      </c>
      <c r="U84" s="85">
        <f t="shared" si="51"/>
        <v>31710.052852695619</v>
      </c>
      <c r="V84" s="83">
        <f t="shared" si="6"/>
        <v>2.5043795383817429</v>
      </c>
      <c r="W84" s="83">
        <f t="shared" si="7"/>
        <v>2.5164417358924402</v>
      </c>
      <c r="X84" s="90">
        <f t="shared" si="28"/>
        <v>90</v>
      </c>
      <c r="Y84" s="90">
        <f t="shared" si="29"/>
        <v>143.38102357676826</v>
      </c>
      <c r="Z84" s="10">
        <f t="shared" si="30"/>
        <v>54343.75</v>
      </c>
      <c r="AA84" s="10">
        <f t="shared" si="31"/>
        <v>86576.25</v>
      </c>
      <c r="AB84" s="60">
        <f t="shared" si="32"/>
        <v>117496.33928571429</v>
      </c>
      <c r="AC84" s="85">
        <f t="shared" si="33"/>
        <v>43475</v>
      </c>
      <c r="AD84" s="85">
        <f t="shared" si="52"/>
        <v>69261</v>
      </c>
      <c r="AE84" s="83">
        <f t="shared" si="9"/>
        <v>3.315628241701245</v>
      </c>
      <c r="AF84" s="83">
        <f t="shared" si="10"/>
        <v>3.3276820006206158</v>
      </c>
      <c r="AG84" s="90">
        <f t="shared" si="34"/>
        <v>118.7813686026452</v>
      </c>
      <c r="AH84" s="90">
        <f t="shared" si="35"/>
        <v>189.23289246693503</v>
      </c>
      <c r="AI84" s="10">
        <f t="shared" si="36"/>
        <v>102460.71428571429</v>
      </c>
      <c r="AJ84" s="10">
        <f t="shared" si="37"/>
        <v>163232.14285714287</v>
      </c>
      <c r="AK84" s="60">
        <f t="shared" si="38"/>
        <v>252813.62829153417</v>
      </c>
      <c r="AL84" s="85">
        <f t="shared" si="39"/>
        <v>57378</v>
      </c>
      <c r="AM84" s="85">
        <f t="shared" si="53"/>
        <v>91410</v>
      </c>
      <c r="AN84" s="83">
        <f t="shared" si="12"/>
        <v>2.5064218101659752</v>
      </c>
      <c r="AO84" s="83">
        <f t="shared" si="13"/>
        <v>2.5184561931844196</v>
      </c>
      <c r="AP84" s="90">
        <f t="shared" si="40"/>
        <v>90.072455434157561</v>
      </c>
      <c r="AQ84" s="90">
        <f t="shared" si="41"/>
        <v>143.49488211615869</v>
      </c>
      <c r="AR84" s="10">
        <f t="shared" si="42"/>
        <v>59049.285714285717</v>
      </c>
      <c r="AS84" s="10">
        <f t="shared" si="43"/>
        <v>94071.71428571429</v>
      </c>
      <c r="AT84" s="60">
        <f t="shared" si="44"/>
        <v>140751.07148597014</v>
      </c>
      <c r="AU84" s="85">
        <f t="shared" si="45"/>
        <v>43510</v>
      </c>
      <c r="AV84" s="85">
        <f t="shared" si="54"/>
        <v>69316</v>
      </c>
      <c r="AW84" s="10"/>
      <c r="AX84" s="60">
        <f t="shared" si="15"/>
        <v>555.5</v>
      </c>
      <c r="AZ84" s="99">
        <f t="shared" ca="1" si="46"/>
        <v>118.7813686026452</v>
      </c>
      <c r="BA84" s="99">
        <f t="shared" ca="1" si="47"/>
        <v>189.23289246693503</v>
      </c>
      <c r="BB84" s="100">
        <f t="shared" ca="1" si="48"/>
        <v>57378</v>
      </c>
      <c r="BC84" s="100">
        <f t="shared" ca="1" si="49"/>
        <v>91410</v>
      </c>
    </row>
    <row r="85" spans="1:55" ht="11.4" x14ac:dyDescent="0.25">
      <c r="A85" s="1"/>
      <c r="B85" s="1">
        <v>29</v>
      </c>
      <c r="C85" s="66"/>
      <c r="D85" s="83">
        <f t="shared" si="0"/>
        <v>0</v>
      </c>
      <c r="E85" s="83">
        <f t="shared" si="1"/>
        <v>0</v>
      </c>
      <c r="F85" s="90">
        <f t="shared" si="16"/>
        <v>7.5346513057444824</v>
      </c>
      <c r="G85" s="90">
        <f t="shared" si="17"/>
        <v>7.5346513057444824</v>
      </c>
      <c r="H85" s="10">
        <f t="shared" si="18"/>
        <v>3655.4482758620688</v>
      </c>
      <c r="I85" s="10">
        <f t="shared" si="19"/>
        <v>5823.4482758620688</v>
      </c>
      <c r="J85" s="60">
        <f t="shared" si="20"/>
        <v>416.90608316586213</v>
      </c>
      <c r="K85" s="85">
        <f t="shared" si="21"/>
        <v>412.73702233420352</v>
      </c>
      <c r="L85" s="85">
        <f t="shared" si="50"/>
        <v>416.90608316586213</v>
      </c>
      <c r="M85" s="83">
        <f t="shared" si="3"/>
        <v>1.6477340508298757</v>
      </c>
      <c r="N85" s="83">
        <f t="shared" si="4"/>
        <v>1.0780739096620771</v>
      </c>
      <c r="O85" s="90">
        <f t="shared" si="22"/>
        <v>58.963875394102828</v>
      </c>
      <c r="P85" s="90">
        <f t="shared" si="23"/>
        <v>58.963875394102828</v>
      </c>
      <c r="Q85" s="10">
        <f t="shared" si="24"/>
        <v>24831.03448275862</v>
      </c>
      <c r="R85" s="10">
        <f t="shared" si="25"/>
        <v>39559.482758620688</v>
      </c>
      <c r="S85" s="60">
        <f t="shared" si="26"/>
        <v>29999.762651036312</v>
      </c>
      <c r="T85" s="85">
        <f t="shared" si="27"/>
        <v>28804</v>
      </c>
      <c r="U85" s="85">
        <f t="shared" si="51"/>
        <v>29999.762651036312</v>
      </c>
      <c r="V85" s="83">
        <f t="shared" si="6"/>
        <v>2.5037960321576764</v>
      </c>
      <c r="W85" s="83">
        <f t="shared" si="7"/>
        <v>2.5160754709302622</v>
      </c>
      <c r="X85" s="90">
        <f t="shared" si="28"/>
        <v>90</v>
      </c>
      <c r="Y85" s="90">
        <f t="shared" si="29"/>
        <v>143.38102357676826</v>
      </c>
      <c r="Z85" s="10">
        <f t="shared" si="30"/>
        <v>52469.827586206899</v>
      </c>
      <c r="AA85" s="10">
        <f t="shared" si="31"/>
        <v>83590.862068965522</v>
      </c>
      <c r="AB85" s="60">
        <f t="shared" si="32"/>
        <v>109532.85374554103</v>
      </c>
      <c r="AC85" s="85">
        <f t="shared" si="33"/>
        <v>43475</v>
      </c>
      <c r="AD85" s="85">
        <f t="shared" si="52"/>
        <v>69261</v>
      </c>
      <c r="AE85" s="83">
        <f t="shared" si="9"/>
        <v>3.3150447354771786</v>
      </c>
      <c r="AF85" s="83">
        <f t="shared" si="10"/>
        <v>3.3273157356584377</v>
      </c>
      <c r="AG85" s="90">
        <f t="shared" si="34"/>
        <v>118.7813686026452</v>
      </c>
      <c r="AH85" s="90">
        <f t="shared" si="35"/>
        <v>189.23289246693503</v>
      </c>
      <c r="AI85" s="10">
        <f t="shared" si="36"/>
        <v>98927.586206896551</v>
      </c>
      <c r="AJ85" s="10">
        <f t="shared" si="37"/>
        <v>157603.44827586206</v>
      </c>
      <c r="AK85" s="60">
        <f t="shared" si="38"/>
        <v>237241.64146627742</v>
      </c>
      <c r="AL85" s="85">
        <f t="shared" si="39"/>
        <v>57378</v>
      </c>
      <c r="AM85" s="85">
        <f t="shared" si="53"/>
        <v>91410</v>
      </c>
      <c r="AN85" s="83">
        <f t="shared" si="12"/>
        <v>2.5058383039419088</v>
      </c>
      <c r="AO85" s="83">
        <f t="shared" si="13"/>
        <v>2.5180899282222415</v>
      </c>
      <c r="AP85" s="90">
        <f t="shared" si="40"/>
        <v>90.072455434157561</v>
      </c>
      <c r="AQ85" s="90">
        <f t="shared" si="41"/>
        <v>143.49488211615869</v>
      </c>
      <c r="AR85" s="10">
        <f t="shared" si="42"/>
        <v>57013.103448275862</v>
      </c>
      <c r="AS85" s="10">
        <f t="shared" si="43"/>
        <v>90827.862068965522</v>
      </c>
      <c r="AT85" s="60">
        <f t="shared" si="44"/>
        <v>132081.5474352618</v>
      </c>
      <c r="AU85" s="85">
        <f t="shared" si="45"/>
        <v>43510</v>
      </c>
      <c r="AV85" s="85">
        <f t="shared" si="54"/>
        <v>69316</v>
      </c>
      <c r="AW85" s="10"/>
      <c r="AX85" s="60">
        <f t="shared" si="15"/>
        <v>565.5</v>
      </c>
      <c r="AZ85" s="99">
        <f t="shared" ca="1" si="46"/>
        <v>118.7813686026452</v>
      </c>
      <c r="BA85" s="99">
        <f t="shared" ca="1" si="47"/>
        <v>189.23289246693503</v>
      </c>
      <c r="BB85" s="100">
        <f t="shared" ca="1" si="48"/>
        <v>57378</v>
      </c>
      <c r="BC85" s="100">
        <f t="shared" ca="1" si="49"/>
        <v>91410</v>
      </c>
    </row>
    <row r="86" spans="1:55" ht="11.4" x14ac:dyDescent="0.25">
      <c r="A86" s="1"/>
      <c r="B86" s="1">
        <v>30</v>
      </c>
      <c r="C86" s="66"/>
      <c r="D86" s="83">
        <f t="shared" si="0"/>
        <v>0</v>
      </c>
      <c r="E86" s="83">
        <f t="shared" si="1"/>
        <v>0</v>
      </c>
      <c r="F86" s="90">
        <f t="shared" si="16"/>
        <v>7.2834962622196668</v>
      </c>
      <c r="G86" s="90">
        <f t="shared" si="17"/>
        <v>7.2834962622196668</v>
      </c>
      <c r="H86" s="10">
        <f t="shared" si="18"/>
        <v>3533.6</v>
      </c>
      <c r="I86" s="10">
        <f t="shared" si="19"/>
        <v>5629.333333333333</v>
      </c>
      <c r="J86" s="60">
        <f t="shared" si="20"/>
        <v>383.02761829742877</v>
      </c>
      <c r="K86" s="85">
        <f t="shared" si="21"/>
        <v>379.1973421144545</v>
      </c>
      <c r="L86" s="85">
        <f t="shared" si="50"/>
        <v>383.02761829742877</v>
      </c>
      <c r="M86" s="83">
        <f t="shared" si="3"/>
        <v>1.6090195385185309</v>
      </c>
      <c r="N86" s="83">
        <f t="shared" si="4"/>
        <v>1.0203911281093332</v>
      </c>
      <c r="O86" s="90">
        <f t="shared" si="22"/>
        <v>56.998412880966065</v>
      </c>
      <c r="P86" s="90">
        <f t="shared" si="23"/>
        <v>56.998412880966065</v>
      </c>
      <c r="Q86" s="10">
        <f t="shared" si="24"/>
        <v>24003.333333333332</v>
      </c>
      <c r="R86" s="10">
        <f t="shared" si="25"/>
        <v>38240.833333333336</v>
      </c>
      <c r="S86" s="60">
        <f t="shared" si="26"/>
        <v>28435.120496195083</v>
      </c>
      <c r="T86" s="85">
        <f t="shared" si="27"/>
        <v>28150.769291233133</v>
      </c>
      <c r="U86" s="85">
        <f t="shared" si="51"/>
        <v>28435.120496195083</v>
      </c>
      <c r="V86" s="83">
        <f t="shared" si="6"/>
        <v>2.5031979382780083</v>
      </c>
      <c r="W86" s="83">
        <f t="shared" si="7"/>
        <v>2.5157000493440296</v>
      </c>
      <c r="X86" s="90">
        <f t="shared" si="28"/>
        <v>90</v>
      </c>
      <c r="Y86" s="90">
        <f t="shared" si="29"/>
        <v>143.38102357676826</v>
      </c>
      <c r="Z86" s="10">
        <f t="shared" si="30"/>
        <v>50720.833333333336</v>
      </c>
      <c r="AA86" s="10">
        <f t="shared" si="31"/>
        <v>80804.5</v>
      </c>
      <c r="AB86" s="60">
        <f t="shared" si="32"/>
        <v>102352.36666666667</v>
      </c>
      <c r="AC86" s="85">
        <f t="shared" si="33"/>
        <v>43475</v>
      </c>
      <c r="AD86" s="85">
        <f t="shared" si="52"/>
        <v>69261</v>
      </c>
      <c r="AE86" s="83">
        <f t="shared" si="9"/>
        <v>3.3144466415975105</v>
      </c>
      <c r="AF86" s="83">
        <f t="shared" si="10"/>
        <v>3.3269403140722051</v>
      </c>
      <c r="AG86" s="90">
        <f t="shared" si="34"/>
        <v>118.7813686026452</v>
      </c>
      <c r="AH86" s="90">
        <f t="shared" si="35"/>
        <v>189.23289246693503</v>
      </c>
      <c r="AI86" s="10">
        <f t="shared" si="36"/>
        <v>95630</v>
      </c>
      <c r="AJ86" s="10">
        <f t="shared" si="37"/>
        <v>152350</v>
      </c>
      <c r="AK86" s="60">
        <f t="shared" si="38"/>
        <v>223109.1895986413</v>
      </c>
      <c r="AL86" s="85">
        <f t="shared" si="39"/>
        <v>57378</v>
      </c>
      <c r="AM86" s="85">
        <f t="shared" si="53"/>
        <v>91410</v>
      </c>
      <c r="AN86" s="83">
        <f t="shared" si="12"/>
        <v>2.5052402100622406</v>
      </c>
      <c r="AO86" s="83">
        <f t="shared" si="13"/>
        <v>2.5177145066360089</v>
      </c>
      <c r="AP86" s="90">
        <f t="shared" si="40"/>
        <v>90.072455434157561</v>
      </c>
      <c r="AQ86" s="90">
        <f t="shared" si="41"/>
        <v>143.49488211615869</v>
      </c>
      <c r="AR86" s="10">
        <f t="shared" si="42"/>
        <v>55112.666666666664</v>
      </c>
      <c r="AS86" s="10">
        <f t="shared" si="43"/>
        <v>87800.266666666663</v>
      </c>
      <c r="AT86" s="60">
        <f t="shared" si="44"/>
        <v>124213.46786796936</v>
      </c>
      <c r="AU86" s="85">
        <f t="shared" si="45"/>
        <v>43510</v>
      </c>
      <c r="AV86" s="85">
        <f t="shared" si="54"/>
        <v>69316</v>
      </c>
      <c r="AW86" s="10"/>
      <c r="AX86" s="60">
        <f t="shared" si="15"/>
        <v>575.75</v>
      </c>
      <c r="AZ86" s="99">
        <f t="shared" ca="1" si="46"/>
        <v>118.7813686026452</v>
      </c>
      <c r="BA86" s="99">
        <f t="shared" ca="1" si="47"/>
        <v>189.23289246693503</v>
      </c>
      <c r="BB86" s="100">
        <f t="shared" ca="1" si="48"/>
        <v>57378</v>
      </c>
      <c r="BC86" s="100">
        <f t="shared" ca="1" si="49"/>
        <v>91410</v>
      </c>
    </row>
    <row r="87" spans="1:55" ht="11.4" x14ac:dyDescent="0.25">
      <c r="A87" s="1"/>
      <c r="B87" s="1">
        <v>31</v>
      </c>
      <c r="C87" s="66"/>
      <c r="D87" s="83">
        <f t="shared" si="0"/>
        <v>0</v>
      </c>
      <c r="E87" s="83">
        <f t="shared" si="1"/>
        <v>0</v>
      </c>
      <c r="F87" s="90">
        <f t="shared" si="16"/>
        <v>7.0485447698899995</v>
      </c>
      <c r="G87" s="90">
        <f t="shared" si="17"/>
        <v>7.0485447698899995</v>
      </c>
      <c r="H87" s="10">
        <f t="shared" si="18"/>
        <v>3419.6129032258063</v>
      </c>
      <c r="I87" s="10">
        <f t="shared" si="19"/>
        <v>5447.7419354838712</v>
      </c>
      <c r="J87" s="60">
        <f t="shared" si="20"/>
        <v>352.88158237527034</v>
      </c>
      <c r="K87" s="85">
        <f t="shared" si="21"/>
        <v>349.35276655151762</v>
      </c>
      <c r="L87" s="85">
        <f t="shared" si="50"/>
        <v>352.88158237527034</v>
      </c>
      <c r="M87" s="83">
        <f t="shared" si="3"/>
        <v>1.5254805467334467</v>
      </c>
      <c r="N87" s="83">
        <f t="shared" si="4"/>
        <v>0.96742814438204605</v>
      </c>
      <c r="O87" s="90">
        <f t="shared" si="22"/>
        <v>55.159754400934901</v>
      </c>
      <c r="P87" s="90">
        <f t="shared" si="23"/>
        <v>55.159754400934901</v>
      </c>
      <c r="Q87" s="10">
        <f t="shared" si="24"/>
        <v>23229.032258064515</v>
      </c>
      <c r="R87" s="10">
        <f t="shared" si="25"/>
        <v>37007.258064516129</v>
      </c>
      <c r="S87" s="60">
        <f t="shared" si="26"/>
        <v>26999.466277010866</v>
      </c>
      <c r="T87" s="85">
        <f t="shared" si="27"/>
        <v>26729.471614240756</v>
      </c>
      <c r="U87" s="85">
        <f t="shared" si="51"/>
        <v>26999.466277010866</v>
      </c>
      <c r="V87" s="83">
        <f t="shared" si="6"/>
        <v>2.5025925505705393</v>
      </c>
      <c r="W87" s="83">
        <f t="shared" si="7"/>
        <v>2.5153200494457697</v>
      </c>
      <c r="X87" s="90">
        <f t="shared" si="28"/>
        <v>90</v>
      </c>
      <c r="Y87" s="90">
        <f t="shared" si="29"/>
        <v>143.38102357676826</v>
      </c>
      <c r="Z87" s="10">
        <f t="shared" si="30"/>
        <v>49084.677419354841</v>
      </c>
      <c r="AA87" s="10">
        <f t="shared" si="31"/>
        <v>78197.903225806454</v>
      </c>
      <c r="AB87" s="60">
        <f t="shared" si="32"/>
        <v>95855.494276795012</v>
      </c>
      <c r="AC87" s="85">
        <f t="shared" si="33"/>
        <v>43475</v>
      </c>
      <c r="AD87" s="85">
        <f t="shared" si="52"/>
        <v>69261</v>
      </c>
      <c r="AE87" s="83">
        <f t="shared" si="9"/>
        <v>3.3138412538900415</v>
      </c>
      <c r="AF87" s="83">
        <f t="shared" si="10"/>
        <v>3.3265603141739453</v>
      </c>
      <c r="AG87" s="90">
        <f t="shared" si="34"/>
        <v>118.7813686026452</v>
      </c>
      <c r="AH87" s="90">
        <f t="shared" si="35"/>
        <v>189.23289246693503</v>
      </c>
      <c r="AI87" s="10">
        <f t="shared" si="36"/>
        <v>92545.161290322576</v>
      </c>
      <c r="AJ87" s="10">
        <f t="shared" si="37"/>
        <v>147435.48387096773</v>
      </c>
      <c r="AK87" s="60">
        <f t="shared" si="38"/>
        <v>210241.6209608163</v>
      </c>
      <c r="AL87" s="85">
        <f t="shared" si="39"/>
        <v>57378</v>
      </c>
      <c r="AM87" s="85">
        <f t="shared" si="53"/>
        <v>91410</v>
      </c>
      <c r="AN87" s="83">
        <f t="shared" si="12"/>
        <v>2.5046348223547716</v>
      </c>
      <c r="AO87" s="83">
        <f t="shared" si="13"/>
        <v>2.5173345067377495</v>
      </c>
      <c r="AP87" s="90">
        <f t="shared" si="40"/>
        <v>90.072455434157561</v>
      </c>
      <c r="AQ87" s="90">
        <f t="shared" si="41"/>
        <v>143.49488211615869</v>
      </c>
      <c r="AR87" s="10">
        <f t="shared" si="42"/>
        <v>53334.838709677417</v>
      </c>
      <c r="AS87" s="10">
        <f t="shared" si="43"/>
        <v>84968</v>
      </c>
      <c r="AT87" s="60">
        <f t="shared" si="44"/>
        <v>117049.59744914598</v>
      </c>
      <c r="AU87" s="85">
        <f t="shared" si="45"/>
        <v>43510</v>
      </c>
      <c r="AV87" s="85">
        <f t="shared" si="54"/>
        <v>69316</v>
      </c>
      <c r="AW87" s="10"/>
      <c r="AX87" s="60">
        <f t="shared" si="15"/>
        <v>586.125</v>
      </c>
      <c r="AZ87" s="99">
        <f t="shared" ca="1" si="46"/>
        <v>118.7813686026452</v>
      </c>
      <c r="BA87" s="99">
        <f t="shared" ca="1" si="47"/>
        <v>189.23289246693503</v>
      </c>
      <c r="BB87" s="100">
        <f t="shared" ca="1" si="48"/>
        <v>57378</v>
      </c>
      <c r="BC87" s="100">
        <f t="shared" ca="1" si="49"/>
        <v>91410</v>
      </c>
    </row>
    <row r="88" spans="1:55" ht="11.4" x14ac:dyDescent="0.25">
      <c r="A88" s="1"/>
      <c r="B88" s="1">
        <v>32</v>
      </c>
      <c r="C88" s="66"/>
      <c r="D88" s="83">
        <f t="shared" ref="D88:D119" si="55">MAX((K88-$AX88)/M_empty*3.6,0)</f>
        <v>0</v>
      </c>
      <c r="E88" s="83">
        <f t="shared" ref="E88:E119" si="56">MAX((L88-$AX88)/M_full*3.6,0)</f>
        <v>0</v>
      </c>
      <c r="F88" s="90">
        <f t="shared" si="16"/>
        <v>6.8282777458309374</v>
      </c>
      <c r="G88" s="90">
        <f t="shared" si="17"/>
        <v>6.8282777458309374</v>
      </c>
      <c r="H88" s="10">
        <f t="shared" si="18"/>
        <v>3312.75</v>
      </c>
      <c r="I88" s="10">
        <f t="shared" si="19"/>
        <v>5277.5</v>
      </c>
      <c r="J88" s="60">
        <f t="shared" si="20"/>
        <v>325.95547561598869</v>
      </c>
      <c r="K88" s="85">
        <f t="shared" si="21"/>
        <v>322.69592085982879</v>
      </c>
      <c r="L88" s="85">
        <f t="shared" si="50"/>
        <v>325.95547561598869</v>
      </c>
      <c r="M88" s="83">
        <f t="shared" ref="M88:M119" si="57">MAX((T88-$AX88)/M_empty*3.6,0)</f>
        <v>1.4485522910718274</v>
      </c>
      <c r="N88" s="83">
        <f t="shared" ref="N88:N119" si="58">MAX((U88-$AX88)/M_full*3.6,0)</f>
        <v>0.91865670526648691</v>
      </c>
      <c r="O88" s="90">
        <f t="shared" si="22"/>
        <v>53.436012075905687</v>
      </c>
      <c r="P88" s="90">
        <f t="shared" si="23"/>
        <v>53.436012075905687</v>
      </c>
      <c r="Q88" s="10">
        <f t="shared" si="24"/>
        <v>22503.125</v>
      </c>
      <c r="R88" s="10">
        <f t="shared" si="25"/>
        <v>35850.78125</v>
      </c>
      <c r="S88" s="60">
        <f t="shared" si="26"/>
        <v>25678.502286747324</v>
      </c>
      <c r="T88" s="85">
        <f t="shared" si="27"/>
        <v>25421.717263879851</v>
      </c>
      <c r="U88" s="85">
        <f t="shared" si="51"/>
        <v>25678.502286747324</v>
      </c>
      <c r="V88" s="83">
        <f t="shared" ref="V88:V119" si="59">MAX((AC88-$AX88)/M_empty*3.6,0)</f>
        <v>2.5019725752074691</v>
      </c>
      <c r="W88" s="83">
        <f t="shared" ref="W88:W119" si="60">MAX((AD88-$AX88)/M_full*3.6,0)</f>
        <v>2.5149308929234557</v>
      </c>
      <c r="X88" s="90">
        <f t="shared" si="28"/>
        <v>90</v>
      </c>
      <c r="Y88" s="90">
        <f t="shared" si="29"/>
        <v>143.38102357676826</v>
      </c>
      <c r="Z88" s="10">
        <f t="shared" si="30"/>
        <v>47550.78125</v>
      </c>
      <c r="AA88" s="10">
        <f t="shared" si="31"/>
        <v>75754.21875</v>
      </c>
      <c r="AB88" s="60">
        <f t="shared" si="32"/>
        <v>89958.134765625</v>
      </c>
      <c r="AC88" s="85">
        <f t="shared" si="33"/>
        <v>43475</v>
      </c>
      <c r="AD88" s="85">
        <f t="shared" si="52"/>
        <v>69261</v>
      </c>
      <c r="AE88" s="83">
        <f t="shared" ref="AE88:AE119" si="61">MAX((AL88-$AX88)/M_empty*3.6,0)</f>
        <v>3.3132212785269708</v>
      </c>
      <c r="AF88" s="83">
        <f t="shared" ref="AF88:AF119" si="62">MAX((AM88-$AX88)/M_full*3.6,0)</f>
        <v>3.3261711576516313</v>
      </c>
      <c r="AG88" s="90">
        <f t="shared" si="34"/>
        <v>118.7813686026452</v>
      </c>
      <c r="AH88" s="90">
        <f t="shared" si="35"/>
        <v>189.23289246693503</v>
      </c>
      <c r="AI88" s="10">
        <f t="shared" si="36"/>
        <v>89653.125</v>
      </c>
      <c r="AJ88" s="10">
        <f t="shared" si="37"/>
        <v>142828.125</v>
      </c>
      <c r="AK88" s="60">
        <f t="shared" si="38"/>
        <v>198490.20581936112</v>
      </c>
      <c r="AL88" s="85">
        <f t="shared" si="39"/>
        <v>57378</v>
      </c>
      <c r="AM88" s="85">
        <f t="shared" si="53"/>
        <v>91410</v>
      </c>
      <c r="AN88" s="83">
        <f t="shared" ref="AN88:AN119" si="63">MAX((AU88-$AX88)/M_empty*3.6,0)</f>
        <v>2.5040148469917014</v>
      </c>
      <c r="AO88" s="83">
        <f t="shared" ref="AO88:AO119" si="64">MAX((AV88-$AX88)/M_full*3.6,0)</f>
        <v>2.5169453502154351</v>
      </c>
      <c r="AP88" s="90">
        <f t="shared" si="40"/>
        <v>90.072455434157561</v>
      </c>
      <c r="AQ88" s="90">
        <f t="shared" si="41"/>
        <v>143.49488211615869</v>
      </c>
      <c r="AR88" s="10">
        <f t="shared" si="42"/>
        <v>51668.125</v>
      </c>
      <c r="AS88" s="10">
        <f t="shared" si="43"/>
        <v>82312.75</v>
      </c>
      <c r="AT88" s="60">
        <f t="shared" si="44"/>
        <v>110507.13261521338</v>
      </c>
      <c r="AU88" s="85">
        <f t="shared" si="45"/>
        <v>43510</v>
      </c>
      <c r="AV88" s="85">
        <f t="shared" si="54"/>
        <v>69316</v>
      </c>
      <c r="AW88" s="10"/>
      <c r="AX88" s="60">
        <f t="shared" ref="AX88:AX119" si="65">ROUND(RunningResistanceFactor_a*(Speed^2)+RunningResistanceFactor_b*Speed+RunningResistanceFactor_c,0)/(MotorcarCount+TrailerCount)</f>
        <v>596.75</v>
      </c>
      <c r="AZ88" s="99">
        <f t="shared" ca="1" si="46"/>
        <v>118.7813686026452</v>
      </c>
      <c r="BA88" s="99">
        <f t="shared" ca="1" si="47"/>
        <v>189.23289246693503</v>
      </c>
      <c r="BB88" s="100">
        <f t="shared" ca="1" si="48"/>
        <v>57378</v>
      </c>
      <c r="BC88" s="100">
        <f t="shared" ca="1" si="49"/>
        <v>91410</v>
      </c>
    </row>
    <row r="89" spans="1:55" ht="11.4" x14ac:dyDescent="0.25">
      <c r="A89" s="1"/>
      <c r="B89" s="1">
        <v>33</v>
      </c>
      <c r="C89" s="66"/>
      <c r="D89" s="83">
        <f t="shared" si="55"/>
        <v>0</v>
      </c>
      <c r="E89" s="83">
        <f t="shared" si="56"/>
        <v>0</v>
      </c>
      <c r="F89" s="90">
        <f t="shared" ref="F89:F120" si="66">MIN(E$41*E$45/Speed,F$56)</f>
        <v>6.6213602383815147</v>
      </c>
      <c r="G89" s="90">
        <f t="shared" ref="G89:G120" si="67">MIN(E$41*E$45/Speed,G$56)</f>
        <v>6.6213602383815147</v>
      </c>
      <c r="H89" s="10">
        <f t="shared" ref="H89:H120" si="68">D$39*D$40/Speed</f>
        <v>3212.3636363636365</v>
      </c>
      <c r="I89" s="10">
        <f t="shared" ref="I89:I120" si="69">E$39*E$40/Speed</f>
        <v>5117.575757575758</v>
      </c>
      <c r="J89" s="60">
        <f t="shared" ref="J89:J120" si="70">(E$39*E$40/Speed)*(E$45^(E$47-1)/Speed^(E$47-1))</f>
        <v>301.82025181358574</v>
      </c>
      <c r="K89" s="85">
        <f t="shared" ref="K89:K120" si="71">MIN(D$39,MAX(H89,L89*F89/G89),J89*D$46)</f>
        <v>298.80204929544988</v>
      </c>
      <c r="L89" s="85">
        <f t="shared" si="50"/>
        <v>301.82025181358574</v>
      </c>
      <c r="M89" s="83">
        <f t="shared" si="57"/>
        <v>1.377522436020721</v>
      </c>
      <c r="N89" s="83">
        <f t="shared" si="58"/>
        <v>0.87362516360255715</v>
      </c>
      <c r="O89" s="90">
        <f t="shared" ref="O89:O120" si="72">MIN(N$41*N$45/Speed,O$56)</f>
        <v>51.816738982696421</v>
      </c>
      <c r="P89" s="90">
        <f t="shared" ref="P89:P120" si="73">MIN(N$41*N$45/Speed,P$56)</f>
        <v>51.816738982696421</v>
      </c>
      <c r="Q89" s="10">
        <f t="shared" ref="Q89:Q120" si="74">M$39*M$40/Speed</f>
        <v>21821.21212121212</v>
      </c>
      <c r="R89" s="10">
        <f t="shared" ref="R89:R120" si="75">N$39*N$40/Speed</f>
        <v>34764.393939393936</v>
      </c>
      <c r="S89" s="60">
        <f t="shared" ref="S89:S120" si="76">(N$39*N$40/Speed)*(N$45^(N$47-1)/Speed^(N$47-1))</f>
        <v>24459.897366087094</v>
      </c>
      <c r="T89" s="85">
        <f t="shared" ref="T89:T120" si="77">MIN(M$39,MAX(Q89,U89*O89/P89),S89*M$46)</f>
        <v>24215.298392426223</v>
      </c>
      <c r="U89" s="85">
        <f t="shared" si="51"/>
        <v>24459.897366087094</v>
      </c>
      <c r="V89" s="83">
        <f t="shared" si="59"/>
        <v>2.5013380121887967</v>
      </c>
      <c r="W89" s="83">
        <f t="shared" si="60"/>
        <v>2.5145325797770872</v>
      </c>
      <c r="X89" s="90">
        <f t="shared" ref="X89:X120" si="78">MIN(W$41*W$45/Speed,X$56)</f>
        <v>90</v>
      </c>
      <c r="Y89" s="90">
        <f t="shared" ref="Y89:Y120" si="79">MIN(W$41*W$45/Speed,Y$56)</f>
        <v>143.38102357676826</v>
      </c>
      <c r="Z89" s="10">
        <f t="shared" ref="Z89:Z120" si="80">V$39*V$40/Speed</f>
        <v>46109.848484848488</v>
      </c>
      <c r="AA89" s="10">
        <f t="shared" ref="AA89:AA120" si="81">W$39*W$40/Speed</f>
        <v>73458.636363636368</v>
      </c>
      <c r="AB89" s="60">
        <f t="shared" ref="AB89:AB120" si="82">(W$39*W$40/Speed)*(W$45^(W$47-1)/Speed^(W$47-1))</f>
        <v>84588.732782369159</v>
      </c>
      <c r="AC89" s="85">
        <f t="shared" ref="AC89:AC120" si="83">MIN(V$39,MAX(Z89,AD89*X89/Y89),AB89*V$46)</f>
        <v>43475</v>
      </c>
      <c r="AD89" s="85">
        <f t="shared" si="52"/>
        <v>69261</v>
      </c>
      <c r="AE89" s="83">
        <f t="shared" si="61"/>
        <v>3.3125867155082989</v>
      </c>
      <c r="AF89" s="83">
        <f t="shared" si="62"/>
        <v>3.3257728445052628</v>
      </c>
      <c r="AG89" s="90">
        <f t="shared" ref="AG89:AG120" si="84">MIN(AF$41*AF$45/Speed,AG$56)</f>
        <v>118.7813686026452</v>
      </c>
      <c r="AH89" s="90">
        <f t="shared" ref="AH89:AH120" si="85">MIN(AF$41*AF$45/Speed,AH$56)</f>
        <v>189.23289246693503</v>
      </c>
      <c r="AI89" s="10">
        <f t="shared" ref="AI89:AI120" si="86">AE$39*AE$40/Speed</f>
        <v>86936.363636363632</v>
      </c>
      <c r="AJ89" s="10">
        <f t="shared" ref="AJ89:AJ120" si="87">AF$39*AF$40/Speed</f>
        <v>138500</v>
      </c>
      <c r="AK89" s="60">
        <f t="shared" ref="AK89:AK120" si="88">(AF$39*AF$40/Speed)*(AF$45^(AF$47-1)/Speed^(AF$47-1))</f>
        <v>187727.62879528917</v>
      </c>
      <c r="AL89" s="85">
        <f t="shared" ref="AL89:AL120" si="89">MIN(AE$39,MAX(AI89,AM89*AG89/AH89),AK89*AE$46)</f>
        <v>57378</v>
      </c>
      <c r="AM89" s="85">
        <f t="shared" si="53"/>
        <v>91410</v>
      </c>
      <c r="AN89" s="83">
        <f t="shared" si="63"/>
        <v>2.503380283973029</v>
      </c>
      <c r="AO89" s="83">
        <f t="shared" si="64"/>
        <v>2.5165470370690661</v>
      </c>
      <c r="AP89" s="90">
        <f t="shared" ref="AP89:AP120" si="90">MIN(AO$41*AO$45/Speed,AP$56)</f>
        <v>90.072455434157561</v>
      </c>
      <c r="AQ89" s="90">
        <f t="shared" ref="AQ89:AQ120" si="91">MIN(AO$41*AO$45/Speed,AQ$56)</f>
        <v>143.49488211615869</v>
      </c>
      <c r="AR89" s="10">
        <f t="shared" ref="AR89:AR120" si="92">AN$39*AN$40/Speed</f>
        <v>50102.42424242424</v>
      </c>
      <c r="AS89" s="10">
        <f t="shared" ref="AS89:AS120" si="93">AO$39*AO$40/Speed</f>
        <v>79818.42424242424</v>
      </c>
      <c r="AT89" s="60">
        <f t="shared" ref="AT89:AT120" si="94">(AO$39*AO$40/Speed)*(AO$45^(AO$47-1)/Speed^(AO$47-1))</f>
        <v>104515.19199743324</v>
      </c>
      <c r="AU89" s="85">
        <f t="shared" ref="AU89:AU120" si="95">MIN(AN$39,MAX(AR89,AV89*AP89/AQ89),AT89*AN$46)</f>
        <v>43510</v>
      </c>
      <c r="AV89" s="85">
        <f t="shared" si="54"/>
        <v>69316</v>
      </c>
      <c r="AW89" s="10"/>
      <c r="AX89" s="60">
        <f t="shared" si="65"/>
        <v>607.625</v>
      </c>
      <c r="AZ89" s="99">
        <f t="shared" ca="1" si="46"/>
        <v>118.7813686026452</v>
      </c>
      <c r="BA89" s="99">
        <f t="shared" ca="1" si="47"/>
        <v>189.23289246693503</v>
      </c>
      <c r="BB89" s="100">
        <f t="shared" ca="1" si="48"/>
        <v>57378</v>
      </c>
      <c r="BC89" s="100">
        <f t="shared" ca="1" si="49"/>
        <v>91410</v>
      </c>
    </row>
    <row r="90" spans="1:55" ht="11.4" x14ac:dyDescent="0.25">
      <c r="A90" s="1"/>
      <c r="B90" s="1">
        <v>34</v>
      </c>
      <c r="C90" s="66"/>
      <c r="D90" s="83">
        <f t="shared" si="55"/>
        <v>0</v>
      </c>
      <c r="E90" s="83">
        <f t="shared" si="56"/>
        <v>0</v>
      </c>
      <c r="F90" s="90">
        <f t="shared" si="66"/>
        <v>6.4266143490173526</v>
      </c>
      <c r="G90" s="90">
        <f t="shared" si="67"/>
        <v>6.4266143490173526</v>
      </c>
      <c r="H90" s="10">
        <f t="shared" si="68"/>
        <v>3117.8823529411766</v>
      </c>
      <c r="I90" s="10">
        <f t="shared" si="69"/>
        <v>4967.0588235294117</v>
      </c>
      <c r="J90" s="60">
        <f t="shared" si="70"/>
        <v>280.11472170532852</v>
      </c>
      <c r="K90" s="85">
        <f t="shared" si="71"/>
        <v>277.31357448827521</v>
      </c>
      <c r="L90" s="85">
        <f t="shared" si="50"/>
        <v>280.11472170532852</v>
      </c>
      <c r="M90" s="83">
        <f t="shared" si="57"/>
        <v>1.311781060743334</v>
      </c>
      <c r="N90" s="83">
        <f t="shared" si="58"/>
        <v>0.83194676069132956</v>
      </c>
      <c r="O90" s="90">
        <f t="shared" si="72"/>
        <v>50.292717247911234</v>
      </c>
      <c r="P90" s="90">
        <f t="shared" si="73"/>
        <v>50.292717247911234</v>
      </c>
      <c r="Q90" s="10">
        <f t="shared" si="74"/>
        <v>21179.411764705881</v>
      </c>
      <c r="R90" s="10">
        <f t="shared" si="75"/>
        <v>33741.911764705881</v>
      </c>
      <c r="S90" s="60">
        <f t="shared" si="76"/>
        <v>23332.966981936232</v>
      </c>
      <c r="T90" s="85">
        <f t="shared" si="77"/>
        <v>23099.637312116869</v>
      </c>
      <c r="U90" s="85">
        <f t="shared" si="51"/>
        <v>23332.966981936232</v>
      </c>
      <c r="V90" s="83">
        <f t="shared" si="59"/>
        <v>2.5006961553423235</v>
      </c>
      <c r="W90" s="83">
        <f t="shared" si="60"/>
        <v>2.5141296883186914</v>
      </c>
      <c r="X90" s="90">
        <f t="shared" si="78"/>
        <v>90</v>
      </c>
      <c r="Y90" s="90">
        <f t="shared" si="79"/>
        <v>143.38102357676826</v>
      </c>
      <c r="Z90" s="10">
        <f t="shared" si="80"/>
        <v>44753.676470588238</v>
      </c>
      <c r="AA90" s="10">
        <f t="shared" si="81"/>
        <v>71298.088235294112</v>
      </c>
      <c r="AB90" s="60">
        <f t="shared" si="82"/>
        <v>79686.098615916955</v>
      </c>
      <c r="AC90" s="85">
        <f t="shared" si="83"/>
        <v>43475</v>
      </c>
      <c r="AD90" s="85">
        <f t="shared" si="52"/>
        <v>69261</v>
      </c>
      <c r="AE90" s="83">
        <f t="shared" si="61"/>
        <v>3.3119448586618261</v>
      </c>
      <c r="AF90" s="83">
        <f t="shared" si="62"/>
        <v>3.325369953046867</v>
      </c>
      <c r="AG90" s="90">
        <f t="shared" si="84"/>
        <v>118.7813686026452</v>
      </c>
      <c r="AH90" s="90">
        <f t="shared" si="85"/>
        <v>189.23289246693503</v>
      </c>
      <c r="AI90" s="10">
        <f t="shared" si="86"/>
        <v>84379.411764705888</v>
      </c>
      <c r="AJ90" s="10">
        <f t="shared" si="87"/>
        <v>134426.4705882353</v>
      </c>
      <c r="AK90" s="60">
        <f t="shared" si="88"/>
        <v>177844.37320205721</v>
      </c>
      <c r="AL90" s="85">
        <f t="shared" si="89"/>
        <v>57378</v>
      </c>
      <c r="AM90" s="85">
        <f t="shared" si="53"/>
        <v>91410</v>
      </c>
      <c r="AN90" s="83">
        <f t="shared" si="63"/>
        <v>2.5027384271265563</v>
      </c>
      <c r="AO90" s="83">
        <f t="shared" si="64"/>
        <v>2.5161441456106703</v>
      </c>
      <c r="AP90" s="90">
        <f t="shared" si="90"/>
        <v>90.072455434157561</v>
      </c>
      <c r="AQ90" s="90">
        <f t="shared" si="91"/>
        <v>143.49488211615869</v>
      </c>
      <c r="AR90" s="10">
        <f t="shared" si="92"/>
        <v>48628.823529411762</v>
      </c>
      <c r="AS90" s="10">
        <f t="shared" si="93"/>
        <v>77470.823529411762</v>
      </c>
      <c r="AT90" s="60">
        <f t="shared" si="94"/>
        <v>99012.803443787037</v>
      </c>
      <c r="AU90" s="85">
        <f t="shared" si="95"/>
        <v>43510</v>
      </c>
      <c r="AV90" s="85">
        <f t="shared" si="54"/>
        <v>69316</v>
      </c>
      <c r="AW90" s="10"/>
      <c r="AX90" s="60">
        <f t="shared" si="65"/>
        <v>618.625</v>
      </c>
      <c r="AZ90" s="99">
        <f t="shared" ca="1" si="46"/>
        <v>118.7813686026452</v>
      </c>
      <c r="BA90" s="99">
        <f t="shared" ca="1" si="47"/>
        <v>189.23289246693503</v>
      </c>
      <c r="BB90" s="100">
        <f t="shared" ca="1" si="48"/>
        <v>57378</v>
      </c>
      <c r="BC90" s="100">
        <f t="shared" ca="1" si="49"/>
        <v>91410</v>
      </c>
    </row>
    <row r="91" spans="1:55" ht="11.4" x14ac:dyDescent="0.25">
      <c r="A91" s="1"/>
      <c r="B91" s="1">
        <v>35</v>
      </c>
      <c r="C91" s="66"/>
      <c r="D91" s="83">
        <f t="shared" si="55"/>
        <v>0</v>
      </c>
      <c r="E91" s="83">
        <f t="shared" si="56"/>
        <v>0</v>
      </c>
      <c r="F91" s="90">
        <f t="shared" si="66"/>
        <v>6.2429967961882857</v>
      </c>
      <c r="G91" s="90">
        <f t="shared" si="67"/>
        <v>6.2429967961882857</v>
      </c>
      <c r="H91" s="10">
        <f t="shared" si="68"/>
        <v>3028.8</v>
      </c>
      <c r="I91" s="10">
        <f t="shared" si="69"/>
        <v>4825.1428571428569</v>
      </c>
      <c r="J91" s="60">
        <f t="shared" si="70"/>
        <v>260.53322531346231</v>
      </c>
      <c r="K91" s="85">
        <f t="shared" si="71"/>
        <v>257.92789306032768</v>
      </c>
      <c r="L91" s="85">
        <f t="shared" si="50"/>
        <v>260.53322531346231</v>
      </c>
      <c r="M91" s="83">
        <f t="shared" si="57"/>
        <v>1.2507837414124199</v>
      </c>
      <c r="N91" s="83">
        <f t="shared" si="58"/>
        <v>0.79327635786060635</v>
      </c>
      <c r="O91" s="90">
        <f t="shared" si="72"/>
        <v>48.855782469399486</v>
      </c>
      <c r="P91" s="90">
        <f t="shared" si="73"/>
        <v>48.855782469399486</v>
      </c>
      <c r="Q91" s="10">
        <f t="shared" si="74"/>
        <v>20574.285714285714</v>
      </c>
      <c r="R91" s="10">
        <f t="shared" si="75"/>
        <v>32777.857142857145</v>
      </c>
      <c r="S91" s="60">
        <f t="shared" si="76"/>
        <v>22288.412937761128</v>
      </c>
      <c r="T91" s="85">
        <f t="shared" si="77"/>
        <v>22065.528808383515</v>
      </c>
      <c r="U91" s="85">
        <f t="shared" si="51"/>
        <v>22288.412937761128</v>
      </c>
      <c r="V91" s="83">
        <f t="shared" si="59"/>
        <v>2.500039710840249</v>
      </c>
      <c r="W91" s="83">
        <f t="shared" si="60"/>
        <v>2.5137176402362411</v>
      </c>
      <c r="X91" s="90">
        <f t="shared" si="78"/>
        <v>90</v>
      </c>
      <c r="Y91" s="90">
        <f t="shared" si="79"/>
        <v>143.38102357676826</v>
      </c>
      <c r="Z91" s="10">
        <f t="shared" si="80"/>
        <v>43475</v>
      </c>
      <c r="AA91" s="10">
        <f t="shared" si="81"/>
        <v>69261</v>
      </c>
      <c r="AB91" s="60">
        <f t="shared" si="82"/>
        <v>75197.657142857133</v>
      </c>
      <c r="AC91" s="85">
        <f t="shared" si="83"/>
        <v>43475</v>
      </c>
      <c r="AD91" s="85">
        <f t="shared" si="52"/>
        <v>69261</v>
      </c>
      <c r="AE91" s="83">
        <f t="shared" si="61"/>
        <v>3.3112884141597512</v>
      </c>
      <c r="AF91" s="83">
        <f t="shared" si="62"/>
        <v>3.3249579049644167</v>
      </c>
      <c r="AG91" s="90">
        <f t="shared" si="84"/>
        <v>118.7813686026452</v>
      </c>
      <c r="AH91" s="90">
        <f t="shared" si="85"/>
        <v>189.23289246693503</v>
      </c>
      <c r="AI91" s="10">
        <f t="shared" si="86"/>
        <v>81968.571428571435</v>
      </c>
      <c r="AJ91" s="10">
        <f t="shared" si="87"/>
        <v>130585.71428571429</v>
      </c>
      <c r="AK91" s="60">
        <f t="shared" si="88"/>
        <v>168745.80066821151</v>
      </c>
      <c r="AL91" s="85">
        <f t="shared" si="89"/>
        <v>57378</v>
      </c>
      <c r="AM91" s="85">
        <f t="shared" si="53"/>
        <v>91410</v>
      </c>
      <c r="AN91" s="83">
        <f t="shared" si="63"/>
        <v>2.5020819826244813</v>
      </c>
      <c r="AO91" s="83">
        <f t="shared" si="64"/>
        <v>2.51573209752822</v>
      </c>
      <c r="AP91" s="90">
        <f t="shared" si="90"/>
        <v>90.072455434157561</v>
      </c>
      <c r="AQ91" s="90">
        <f t="shared" si="91"/>
        <v>143.49488211615869</v>
      </c>
      <c r="AR91" s="10">
        <f t="shared" si="92"/>
        <v>47239.428571428572</v>
      </c>
      <c r="AS91" s="10">
        <f t="shared" si="93"/>
        <v>75257.371428571423</v>
      </c>
      <c r="AT91" s="60">
        <f t="shared" si="94"/>
        <v>93947.278132569118</v>
      </c>
      <c r="AU91" s="85">
        <f t="shared" si="95"/>
        <v>43510</v>
      </c>
      <c r="AV91" s="85">
        <f t="shared" si="54"/>
        <v>69316</v>
      </c>
      <c r="AW91" s="10"/>
      <c r="AX91" s="60">
        <f t="shared" si="65"/>
        <v>629.875</v>
      </c>
      <c r="AZ91" s="99">
        <f t="shared" ca="1" si="46"/>
        <v>118.7813686026452</v>
      </c>
      <c r="BA91" s="99">
        <f t="shared" ca="1" si="47"/>
        <v>189.23289246693503</v>
      </c>
      <c r="BB91" s="100">
        <f t="shared" ca="1" si="48"/>
        <v>57378</v>
      </c>
      <c r="BC91" s="100">
        <f t="shared" ca="1" si="49"/>
        <v>91410</v>
      </c>
    </row>
    <row r="92" spans="1:55" ht="11.4" x14ac:dyDescent="0.25">
      <c r="A92" s="1"/>
      <c r="B92" s="1">
        <v>36</v>
      </c>
      <c r="C92" s="66"/>
      <c r="D92" s="83">
        <f t="shared" si="55"/>
        <v>0</v>
      </c>
      <c r="E92" s="83">
        <f t="shared" si="56"/>
        <v>0</v>
      </c>
      <c r="F92" s="90">
        <f t="shared" si="66"/>
        <v>6.0695802185163892</v>
      </c>
      <c r="G92" s="90">
        <f t="shared" si="67"/>
        <v>6.0695802185163892</v>
      </c>
      <c r="H92" s="10">
        <f t="shared" si="68"/>
        <v>2944.6666666666665</v>
      </c>
      <c r="I92" s="10">
        <f t="shared" si="69"/>
        <v>4691.1111111111113</v>
      </c>
      <c r="J92" s="60">
        <f t="shared" si="70"/>
        <v>242.81581792706038</v>
      </c>
      <c r="K92" s="85">
        <f t="shared" si="71"/>
        <v>240.38765974778977</v>
      </c>
      <c r="L92" s="85">
        <f t="shared" si="50"/>
        <v>242.81581792706038</v>
      </c>
      <c r="M92" s="83">
        <f t="shared" si="57"/>
        <v>1.1940611219925943</v>
      </c>
      <c r="N92" s="83">
        <f t="shared" si="58"/>
        <v>0.75731636595948548</v>
      </c>
      <c r="O92" s="90">
        <f t="shared" si="72"/>
        <v>47.498677400805057</v>
      </c>
      <c r="P92" s="90">
        <f t="shared" si="73"/>
        <v>47.498677400805057</v>
      </c>
      <c r="Q92" s="10">
        <f t="shared" si="74"/>
        <v>20002.777777777777</v>
      </c>
      <c r="R92" s="10">
        <f t="shared" si="75"/>
        <v>31867.361111111109</v>
      </c>
      <c r="S92" s="60">
        <f t="shared" si="76"/>
        <v>21318.110264437459</v>
      </c>
      <c r="T92" s="85">
        <f t="shared" si="77"/>
        <v>21104.929161793083</v>
      </c>
      <c r="U92" s="85">
        <f t="shared" si="51"/>
        <v>21318.110264437459</v>
      </c>
      <c r="V92" s="83">
        <f t="shared" si="59"/>
        <v>2.4289021978734437</v>
      </c>
      <c r="W92" s="83">
        <f t="shared" si="60"/>
        <v>2.4428301090146962</v>
      </c>
      <c r="X92" s="90">
        <f t="shared" si="78"/>
        <v>90</v>
      </c>
      <c r="Y92" s="90">
        <f t="shared" si="79"/>
        <v>143.38102357676826</v>
      </c>
      <c r="Z92" s="10">
        <f t="shared" si="80"/>
        <v>42267.361111111109</v>
      </c>
      <c r="AA92" s="10">
        <f t="shared" si="81"/>
        <v>67337.083333333328</v>
      </c>
      <c r="AB92" s="60">
        <f t="shared" si="82"/>
        <v>71078.032407407401</v>
      </c>
      <c r="AC92" s="85">
        <f t="shared" si="83"/>
        <v>42267.361111111109</v>
      </c>
      <c r="AD92" s="85">
        <f t="shared" si="52"/>
        <v>67337.083333333328</v>
      </c>
      <c r="AE92" s="83">
        <f t="shared" si="61"/>
        <v>3.3106173820020746</v>
      </c>
      <c r="AF92" s="83">
        <f t="shared" si="62"/>
        <v>3.3245367002579118</v>
      </c>
      <c r="AG92" s="90">
        <f t="shared" si="84"/>
        <v>118.7813686026452</v>
      </c>
      <c r="AH92" s="90">
        <f t="shared" si="85"/>
        <v>189.23289246693503</v>
      </c>
      <c r="AI92" s="10">
        <f t="shared" si="86"/>
        <v>79691.666666666672</v>
      </c>
      <c r="AJ92" s="10">
        <f t="shared" si="87"/>
        <v>126958.33333333333</v>
      </c>
      <c r="AK92" s="60">
        <f t="shared" si="88"/>
        <v>160349.77693177463</v>
      </c>
      <c r="AL92" s="85">
        <f t="shared" si="89"/>
        <v>57378</v>
      </c>
      <c r="AM92" s="85">
        <f t="shared" si="53"/>
        <v>91410</v>
      </c>
      <c r="AN92" s="83">
        <f t="shared" si="63"/>
        <v>2.5014109504668047</v>
      </c>
      <c r="AO92" s="83">
        <f t="shared" si="64"/>
        <v>2.5153108928217152</v>
      </c>
      <c r="AP92" s="90">
        <f t="shared" si="90"/>
        <v>90.072455434157561</v>
      </c>
      <c r="AQ92" s="90">
        <f t="shared" si="91"/>
        <v>143.49488211615869</v>
      </c>
      <c r="AR92" s="10">
        <f t="shared" si="92"/>
        <v>45927.222222222219</v>
      </c>
      <c r="AS92" s="10">
        <f t="shared" si="93"/>
        <v>73166.888888888891</v>
      </c>
      <c r="AT92" s="60">
        <f t="shared" si="94"/>
        <v>89272.888760796894</v>
      </c>
      <c r="AU92" s="85">
        <f t="shared" si="95"/>
        <v>43510</v>
      </c>
      <c r="AV92" s="85">
        <f t="shared" si="54"/>
        <v>69316</v>
      </c>
      <c r="AW92" s="10"/>
      <c r="AX92" s="60">
        <f t="shared" si="65"/>
        <v>641.375</v>
      </c>
      <c r="AZ92" s="99">
        <f t="shared" ca="1" si="46"/>
        <v>118.7813686026452</v>
      </c>
      <c r="BA92" s="99">
        <f t="shared" ca="1" si="47"/>
        <v>189.23289246693503</v>
      </c>
      <c r="BB92" s="100">
        <f t="shared" ca="1" si="48"/>
        <v>57378</v>
      </c>
      <c r="BC92" s="100">
        <f t="shared" ca="1" si="49"/>
        <v>91410</v>
      </c>
    </row>
    <row r="93" spans="1:55" ht="11.4" x14ac:dyDescent="0.25">
      <c r="A93" s="1"/>
      <c r="B93" s="1">
        <v>37</v>
      </c>
      <c r="C93" s="66"/>
      <c r="D93" s="83">
        <f t="shared" si="55"/>
        <v>0</v>
      </c>
      <c r="E93" s="83">
        <f t="shared" si="56"/>
        <v>0</v>
      </c>
      <c r="F93" s="90">
        <f t="shared" si="66"/>
        <v>5.9055375099078375</v>
      </c>
      <c r="G93" s="90">
        <f t="shared" si="67"/>
        <v>5.9055375099078375</v>
      </c>
      <c r="H93" s="10">
        <f t="shared" si="68"/>
        <v>2865.0810810810813</v>
      </c>
      <c r="I93" s="10">
        <f t="shared" si="69"/>
        <v>4564.3243243243242</v>
      </c>
      <c r="J93" s="60">
        <f t="shared" si="70"/>
        <v>226.7404042717352</v>
      </c>
      <c r="K93" s="85">
        <f t="shared" si="71"/>
        <v>224.47300022901786</v>
      </c>
      <c r="L93" s="85">
        <f t="shared" si="50"/>
        <v>226.7404042717352</v>
      </c>
      <c r="M93" s="83">
        <f t="shared" si="57"/>
        <v>1.1412087751925812</v>
      </c>
      <c r="N93" s="83">
        <f t="shared" si="58"/>
        <v>0.72381031682568198</v>
      </c>
      <c r="O93" s="90">
        <f t="shared" si="72"/>
        <v>46.214929362945462</v>
      </c>
      <c r="P93" s="90">
        <f t="shared" si="73"/>
        <v>46.214929362945462</v>
      </c>
      <c r="Q93" s="10">
        <f t="shared" si="74"/>
        <v>19462.162162162163</v>
      </c>
      <c r="R93" s="10">
        <f t="shared" si="75"/>
        <v>31006.08108108108</v>
      </c>
      <c r="S93" s="60">
        <f t="shared" si="76"/>
        <v>20414.93170434385</v>
      </c>
      <c r="T93" s="85">
        <f t="shared" si="77"/>
        <v>20210.782387300413</v>
      </c>
      <c r="U93" s="85">
        <f t="shared" si="51"/>
        <v>20414.93170434385</v>
      </c>
      <c r="V93" s="83">
        <f t="shared" si="59"/>
        <v>2.361566390041494</v>
      </c>
      <c r="W93" s="83">
        <f t="shared" si="60"/>
        <v>2.3757469901035591</v>
      </c>
      <c r="X93" s="90">
        <f t="shared" si="78"/>
        <v>90</v>
      </c>
      <c r="Y93" s="90">
        <f t="shared" si="79"/>
        <v>143.38102357676826</v>
      </c>
      <c r="Z93" s="10">
        <f t="shared" si="80"/>
        <v>41125</v>
      </c>
      <c r="AA93" s="10">
        <f t="shared" si="81"/>
        <v>65517.16216216216</v>
      </c>
      <c r="AB93" s="60">
        <f t="shared" si="82"/>
        <v>67287.896274653031</v>
      </c>
      <c r="AC93" s="85">
        <f t="shared" si="83"/>
        <v>41125</v>
      </c>
      <c r="AD93" s="85">
        <f t="shared" si="52"/>
        <v>65517.16216216216</v>
      </c>
      <c r="AE93" s="83">
        <f t="shared" si="61"/>
        <v>3.3099390560165975</v>
      </c>
      <c r="AF93" s="83">
        <f t="shared" si="62"/>
        <v>3.3241109172393797</v>
      </c>
      <c r="AG93" s="90">
        <f t="shared" si="84"/>
        <v>118.7813686026452</v>
      </c>
      <c r="AH93" s="90">
        <f t="shared" si="85"/>
        <v>189.23289246693503</v>
      </c>
      <c r="AI93" s="10">
        <f t="shared" si="86"/>
        <v>77537.83783783784</v>
      </c>
      <c r="AJ93" s="10">
        <f t="shared" si="87"/>
        <v>123527.02702702703</v>
      </c>
      <c r="AK93" s="60">
        <f t="shared" si="88"/>
        <v>152584.72980088645</v>
      </c>
      <c r="AL93" s="85">
        <f t="shared" si="89"/>
        <v>57378</v>
      </c>
      <c r="AM93" s="85">
        <f t="shared" si="53"/>
        <v>91410</v>
      </c>
      <c r="AN93" s="83">
        <f t="shared" si="63"/>
        <v>2.5007326244813277</v>
      </c>
      <c r="AO93" s="83">
        <f t="shared" si="64"/>
        <v>2.5148851098031839</v>
      </c>
      <c r="AP93" s="90">
        <f t="shared" si="90"/>
        <v>90.072455434157561</v>
      </c>
      <c r="AQ93" s="90">
        <f t="shared" si="91"/>
        <v>143.49488211615869</v>
      </c>
      <c r="AR93" s="10">
        <f t="shared" si="92"/>
        <v>44685.945945945947</v>
      </c>
      <c r="AS93" s="10">
        <f t="shared" si="93"/>
        <v>71189.4054054054</v>
      </c>
      <c r="AT93" s="60">
        <f t="shared" si="94"/>
        <v>84949.788336197787</v>
      </c>
      <c r="AU93" s="85">
        <f t="shared" si="95"/>
        <v>43510</v>
      </c>
      <c r="AV93" s="85">
        <f t="shared" si="54"/>
        <v>69316</v>
      </c>
      <c r="AW93" s="10"/>
      <c r="AX93" s="60">
        <f t="shared" si="65"/>
        <v>653</v>
      </c>
      <c r="AZ93" s="99">
        <f t="shared" ca="1" si="46"/>
        <v>118.7813686026452</v>
      </c>
      <c r="BA93" s="99">
        <f t="shared" ca="1" si="47"/>
        <v>189.23289246693503</v>
      </c>
      <c r="BB93" s="100">
        <f t="shared" ca="1" si="48"/>
        <v>57378</v>
      </c>
      <c r="BC93" s="100">
        <f t="shared" ca="1" si="49"/>
        <v>91410</v>
      </c>
    </row>
    <row r="94" spans="1:55" ht="11.4" x14ac:dyDescent="0.25">
      <c r="A94" s="1"/>
      <c r="B94" s="1">
        <v>38</v>
      </c>
      <c r="C94" s="66"/>
      <c r="D94" s="83">
        <f t="shared" si="55"/>
        <v>0</v>
      </c>
      <c r="E94" s="83">
        <f t="shared" si="56"/>
        <v>0</v>
      </c>
      <c r="F94" s="90">
        <f t="shared" si="66"/>
        <v>5.7501286280681576</v>
      </c>
      <c r="G94" s="90">
        <f t="shared" si="67"/>
        <v>5.7501286280681576</v>
      </c>
      <c r="H94" s="10">
        <f t="shared" si="68"/>
        <v>2789.6842105263158</v>
      </c>
      <c r="I94" s="10">
        <f t="shared" si="69"/>
        <v>4444.2105263157891</v>
      </c>
      <c r="J94" s="60">
        <f t="shared" si="70"/>
        <v>212.11639390335657</v>
      </c>
      <c r="K94" s="85">
        <f t="shared" si="71"/>
        <v>209.99522996432299</v>
      </c>
      <c r="L94" s="85">
        <f t="shared" si="50"/>
        <v>212.11639390335657</v>
      </c>
      <c r="M94" s="83">
        <f t="shared" si="57"/>
        <v>1.0918569238159348</v>
      </c>
      <c r="N94" s="83">
        <f t="shared" si="58"/>
        <v>0.69252380423454207</v>
      </c>
      <c r="O94" s="90">
        <f t="shared" si="72"/>
        <v>44.998747011288998</v>
      </c>
      <c r="P94" s="90">
        <f t="shared" si="73"/>
        <v>44.998747011288998</v>
      </c>
      <c r="Q94" s="10">
        <f t="shared" si="74"/>
        <v>18950</v>
      </c>
      <c r="R94" s="10">
        <f t="shared" si="75"/>
        <v>30190.13157894737</v>
      </c>
      <c r="S94" s="60">
        <f t="shared" si="76"/>
        <v>19572.602348975284</v>
      </c>
      <c r="T94" s="85">
        <f t="shared" si="77"/>
        <v>19376.876325485533</v>
      </c>
      <c r="U94" s="85">
        <f t="shared" si="51"/>
        <v>19572.602348975284</v>
      </c>
      <c r="V94" s="83">
        <f t="shared" si="59"/>
        <v>2.2977242830721774</v>
      </c>
      <c r="W94" s="83">
        <f t="shared" si="60"/>
        <v>2.3121629954048206</v>
      </c>
      <c r="X94" s="90">
        <f t="shared" si="78"/>
        <v>90</v>
      </c>
      <c r="Y94" s="90">
        <f t="shared" si="79"/>
        <v>143.38102357676826</v>
      </c>
      <c r="Z94" s="10">
        <f t="shared" si="80"/>
        <v>40042.76315789474</v>
      </c>
      <c r="AA94" s="10">
        <f t="shared" si="81"/>
        <v>63793.026315789473</v>
      </c>
      <c r="AB94" s="60">
        <f t="shared" si="82"/>
        <v>63793.026315789473</v>
      </c>
      <c r="AC94" s="85">
        <f t="shared" si="83"/>
        <v>40042.76315789474</v>
      </c>
      <c r="AD94" s="85">
        <f t="shared" si="52"/>
        <v>63793.026315789473</v>
      </c>
      <c r="AE94" s="83">
        <f t="shared" si="61"/>
        <v>3.3092461423755188</v>
      </c>
      <c r="AF94" s="83">
        <f t="shared" si="62"/>
        <v>3.323675977596793</v>
      </c>
      <c r="AG94" s="90">
        <f t="shared" si="84"/>
        <v>118.7813686026452</v>
      </c>
      <c r="AH94" s="90">
        <f t="shared" si="85"/>
        <v>189.23289246693503</v>
      </c>
      <c r="AI94" s="10">
        <f t="shared" si="86"/>
        <v>75497.368421052626</v>
      </c>
      <c r="AJ94" s="10">
        <f t="shared" si="87"/>
        <v>120276.31578947368</v>
      </c>
      <c r="AK94" s="60">
        <f t="shared" si="88"/>
        <v>145388.05141874915</v>
      </c>
      <c r="AL94" s="85">
        <f t="shared" si="89"/>
        <v>57378</v>
      </c>
      <c r="AM94" s="85">
        <f t="shared" si="53"/>
        <v>91410</v>
      </c>
      <c r="AN94" s="83">
        <f t="shared" si="63"/>
        <v>2.500039710840249</v>
      </c>
      <c r="AO94" s="83">
        <f t="shared" si="64"/>
        <v>2.5144501701605972</v>
      </c>
      <c r="AP94" s="90">
        <f t="shared" si="90"/>
        <v>90.072455434157561</v>
      </c>
      <c r="AQ94" s="90">
        <f t="shared" si="91"/>
        <v>143.49488211615869</v>
      </c>
      <c r="AR94" s="10">
        <f t="shared" si="92"/>
        <v>43510</v>
      </c>
      <c r="AS94" s="10">
        <f t="shared" si="93"/>
        <v>69316</v>
      </c>
      <c r="AT94" s="60">
        <f t="shared" si="94"/>
        <v>80943.120656646643</v>
      </c>
      <c r="AU94" s="85">
        <f t="shared" si="95"/>
        <v>43510</v>
      </c>
      <c r="AV94" s="85">
        <f t="shared" si="54"/>
        <v>69316</v>
      </c>
      <c r="AW94" s="10"/>
      <c r="AX94" s="60">
        <f t="shared" si="65"/>
        <v>664.875</v>
      </c>
      <c r="AZ94" s="99">
        <f t="shared" ca="1" si="46"/>
        <v>118.7813686026452</v>
      </c>
      <c r="BA94" s="99">
        <f t="shared" ca="1" si="47"/>
        <v>189.23289246693503</v>
      </c>
      <c r="BB94" s="100">
        <f t="shared" ca="1" si="48"/>
        <v>57378</v>
      </c>
      <c r="BC94" s="100">
        <f t="shared" ca="1" si="49"/>
        <v>91410</v>
      </c>
    </row>
    <row r="95" spans="1:55" ht="11.4" x14ac:dyDescent="0.25">
      <c r="A95" s="1"/>
      <c r="B95" s="1">
        <v>39</v>
      </c>
      <c r="C95" s="66"/>
      <c r="D95" s="83">
        <f t="shared" si="55"/>
        <v>0</v>
      </c>
      <c r="E95" s="83">
        <f t="shared" si="56"/>
        <v>0</v>
      </c>
      <c r="F95" s="90">
        <f t="shared" si="66"/>
        <v>5.6026894324766667</v>
      </c>
      <c r="G95" s="90">
        <f t="shared" si="67"/>
        <v>5.6026894324766667</v>
      </c>
      <c r="H95" s="10">
        <f t="shared" si="68"/>
        <v>2718.1538461538462</v>
      </c>
      <c r="I95" s="10">
        <f t="shared" si="69"/>
        <v>4330.2564102564102</v>
      </c>
      <c r="J95" s="60">
        <f t="shared" si="70"/>
        <v>198.77955280700107</v>
      </c>
      <c r="K95" s="85">
        <f t="shared" si="71"/>
        <v>196.79175727893104</v>
      </c>
      <c r="L95" s="85">
        <f t="shared" si="50"/>
        <v>198.77955280700107</v>
      </c>
      <c r="M95" s="83">
        <f t="shared" si="57"/>
        <v>1.0456926248369232</v>
      </c>
      <c r="N95" s="83">
        <f t="shared" si="58"/>
        <v>0.66325836444441588</v>
      </c>
      <c r="O95" s="90">
        <f t="shared" si="72"/>
        <v>43.844932985358511</v>
      </c>
      <c r="P95" s="90">
        <f t="shared" si="73"/>
        <v>43.844932985358511</v>
      </c>
      <c r="Q95" s="10">
        <f t="shared" si="74"/>
        <v>18464.102564102563</v>
      </c>
      <c r="R95" s="10">
        <f t="shared" si="75"/>
        <v>29416.025641025641</v>
      </c>
      <c r="S95" s="60">
        <f t="shared" si="76"/>
        <v>18785.578614460948</v>
      </c>
      <c r="T95" s="85">
        <f t="shared" si="77"/>
        <v>18597.722828316339</v>
      </c>
      <c r="U95" s="85">
        <f t="shared" si="51"/>
        <v>18785.578614460948</v>
      </c>
      <c r="V95" s="83">
        <f t="shared" si="59"/>
        <v>2.237113302445739</v>
      </c>
      <c r="W95" s="83">
        <f t="shared" si="60"/>
        <v>2.1934383638045936</v>
      </c>
      <c r="X95" s="90">
        <f t="shared" si="78"/>
        <v>90</v>
      </c>
      <c r="Y95" s="90">
        <f t="shared" si="79"/>
        <v>139.70458707479983</v>
      </c>
      <c r="Z95" s="10">
        <f t="shared" si="80"/>
        <v>39016.025641025641</v>
      </c>
      <c r="AA95" s="10">
        <f t="shared" si="81"/>
        <v>62157.307692307695</v>
      </c>
      <c r="AB95" s="60">
        <f t="shared" si="82"/>
        <v>60563.530571992109</v>
      </c>
      <c r="AC95" s="85">
        <f t="shared" si="83"/>
        <v>39016.025641025641</v>
      </c>
      <c r="AD95" s="85">
        <f t="shared" si="52"/>
        <v>60563.530571992109</v>
      </c>
      <c r="AE95" s="83">
        <f t="shared" si="61"/>
        <v>3.3085459349066393</v>
      </c>
      <c r="AF95" s="83">
        <f t="shared" si="62"/>
        <v>3.3232364596421795</v>
      </c>
      <c r="AG95" s="90">
        <f t="shared" si="84"/>
        <v>118.7813686026452</v>
      </c>
      <c r="AH95" s="90">
        <f t="shared" si="85"/>
        <v>189.23289246693503</v>
      </c>
      <c r="AI95" s="10">
        <f t="shared" si="86"/>
        <v>73561.538461538468</v>
      </c>
      <c r="AJ95" s="10">
        <f t="shared" si="87"/>
        <v>117192.30769230769</v>
      </c>
      <c r="AK95" s="60">
        <f t="shared" si="88"/>
        <v>138704.77660851734</v>
      </c>
      <c r="AL95" s="85">
        <f t="shared" si="89"/>
        <v>57378</v>
      </c>
      <c r="AM95" s="85">
        <f t="shared" si="53"/>
        <v>91410</v>
      </c>
      <c r="AN95" s="83">
        <f t="shared" si="63"/>
        <v>2.4342411551428351</v>
      </c>
      <c r="AO95" s="83">
        <f t="shared" si="64"/>
        <v>2.4489131595948703</v>
      </c>
      <c r="AP95" s="90">
        <f t="shared" si="90"/>
        <v>90.072455434157561</v>
      </c>
      <c r="AQ95" s="90">
        <f t="shared" si="91"/>
        <v>143.49488211615869</v>
      </c>
      <c r="AR95" s="10">
        <f t="shared" si="92"/>
        <v>42394.358974358976</v>
      </c>
      <c r="AS95" s="10">
        <f t="shared" si="93"/>
        <v>67538.666666666672</v>
      </c>
      <c r="AT95" s="60">
        <f t="shared" si="94"/>
        <v>77222.284493927742</v>
      </c>
      <c r="AU95" s="85">
        <f t="shared" si="95"/>
        <v>42394.358974358984</v>
      </c>
      <c r="AV95" s="85">
        <f t="shared" si="54"/>
        <v>67538.666666666672</v>
      </c>
      <c r="AW95" s="10"/>
      <c r="AX95" s="60">
        <f t="shared" si="65"/>
        <v>676.875</v>
      </c>
      <c r="AZ95" s="99">
        <f t="shared" ca="1" si="46"/>
        <v>118.7813686026452</v>
      </c>
      <c r="BA95" s="99">
        <f t="shared" ca="1" si="47"/>
        <v>189.23289246693503</v>
      </c>
      <c r="BB95" s="100">
        <f t="shared" ca="1" si="48"/>
        <v>57378</v>
      </c>
      <c r="BC95" s="100">
        <f t="shared" ca="1" si="49"/>
        <v>91410</v>
      </c>
    </row>
    <row r="96" spans="1:55" ht="11.4" x14ac:dyDescent="0.25">
      <c r="A96" s="1"/>
      <c r="B96" s="1">
        <v>40</v>
      </c>
      <c r="C96" s="66"/>
      <c r="D96" s="83">
        <f t="shared" si="55"/>
        <v>0</v>
      </c>
      <c r="E96" s="83">
        <f t="shared" si="56"/>
        <v>0</v>
      </c>
      <c r="F96" s="90">
        <f t="shared" si="66"/>
        <v>5.4626221966647499</v>
      </c>
      <c r="G96" s="90">
        <f t="shared" si="67"/>
        <v>5.4626221966647499</v>
      </c>
      <c r="H96" s="10">
        <f t="shared" si="68"/>
        <v>2650.2</v>
      </c>
      <c r="I96" s="10">
        <f t="shared" si="69"/>
        <v>4222</v>
      </c>
      <c r="J96" s="60">
        <f t="shared" si="70"/>
        <v>186.58780188560016</v>
      </c>
      <c r="K96" s="85">
        <f t="shared" si="71"/>
        <v>184.72192386674416</v>
      </c>
      <c r="L96" s="85">
        <f t="shared" si="50"/>
        <v>186.58780188560016</v>
      </c>
      <c r="M96" s="83">
        <f t="shared" si="57"/>
        <v>1.0024247443531573</v>
      </c>
      <c r="N96" s="83">
        <f t="shared" si="58"/>
        <v>0.63582945399865087</v>
      </c>
      <c r="O96" s="90">
        <f t="shared" si="72"/>
        <v>42.748809660724547</v>
      </c>
      <c r="P96" s="90">
        <f t="shared" si="73"/>
        <v>42.748809660724547</v>
      </c>
      <c r="Q96" s="10">
        <f t="shared" si="74"/>
        <v>18002.5</v>
      </c>
      <c r="R96" s="10">
        <f t="shared" si="75"/>
        <v>28680.625</v>
      </c>
      <c r="S96" s="60">
        <f t="shared" si="76"/>
        <v>18048.946977444553</v>
      </c>
      <c r="T96" s="85">
        <f t="shared" si="77"/>
        <v>17868.457507670108</v>
      </c>
      <c r="U96" s="85">
        <f t="shared" si="51"/>
        <v>18048.946977444553</v>
      </c>
      <c r="V96" s="83">
        <f t="shared" si="59"/>
        <v>2.1794832728215767</v>
      </c>
      <c r="W96" s="83">
        <f t="shared" si="60"/>
        <v>2.0834645867564694</v>
      </c>
      <c r="X96" s="90">
        <f t="shared" si="78"/>
        <v>90</v>
      </c>
      <c r="Y96" s="90">
        <f t="shared" si="79"/>
        <v>136.21197239792986</v>
      </c>
      <c r="Z96" s="10">
        <f t="shared" si="80"/>
        <v>38040.625</v>
      </c>
      <c r="AA96" s="10">
        <f t="shared" si="81"/>
        <v>60603.375</v>
      </c>
      <c r="AB96" s="60">
        <f t="shared" si="82"/>
        <v>57573.206249999996</v>
      </c>
      <c r="AC96" s="85">
        <f t="shared" si="83"/>
        <v>38040.625</v>
      </c>
      <c r="AD96" s="85">
        <f t="shared" si="52"/>
        <v>57573.206249999996</v>
      </c>
      <c r="AE96" s="83">
        <f t="shared" si="61"/>
        <v>3.307831139782158</v>
      </c>
      <c r="AF96" s="83">
        <f t="shared" si="62"/>
        <v>3.3227877850635115</v>
      </c>
      <c r="AG96" s="90">
        <f t="shared" si="84"/>
        <v>118.7813686026452</v>
      </c>
      <c r="AH96" s="90">
        <f t="shared" si="85"/>
        <v>189.23289246693503</v>
      </c>
      <c r="AI96" s="10">
        <f t="shared" si="86"/>
        <v>71722.5</v>
      </c>
      <c r="AJ96" s="10">
        <f t="shared" si="87"/>
        <v>114262.5</v>
      </c>
      <c r="AK96" s="60">
        <f t="shared" si="88"/>
        <v>132486.48394524778</v>
      </c>
      <c r="AL96" s="85">
        <f t="shared" si="89"/>
        <v>57378</v>
      </c>
      <c r="AM96" s="85">
        <f t="shared" si="53"/>
        <v>91410</v>
      </c>
      <c r="AN96" s="83">
        <f t="shared" si="63"/>
        <v>2.3716829292012451</v>
      </c>
      <c r="AO96" s="83">
        <f t="shared" si="64"/>
        <v>2.3866218670356445</v>
      </c>
      <c r="AP96" s="90">
        <f t="shared" si="90"/>
        <v>90.072455434157561</v>
      </c>
      <c r="AQ96" s="90">
        <f t="shared" si="91"/>
        <v>143.49488211615869</v>
      </c>
      <c r="AR96" s="10">
        <f t="shared" si="92"/>
        <v>41334.5</v>
      </c>
      <c r="AS96" s="10">
        <f t="shared" si="93"/>
        <v>65850.2</v>
      </c>
      <c r="AT96" s="60">
        <f t="shared" si="94"/>
        <v>73760.321778218189</v>
      </c>
      <c r="AU96" s="85">
        <f t="shared" si="95"/>
        <v>41334.5</v>
      </c>
      <c r="AV96" s="85">
        <f t="shared" si="54"/>
        <v>65850.2</v>
      </c>
      <c r="AW96" s="10"/>
      <c r="AX96" s="60">
        <f t="shared" si="65"/>
        <v>689.125</v>
      </c>
      <c r="AZ96" s="99">
        <f t="shared" ca="1" si="46"/>
        <v>118.7813686026452</v>
      </c>
      <c r="BA96" s="99">
        <f t="shared" ca="1" si="47"/>
        <v>189.23289246693503</v>
      </c>
      <c r="BB96" s="100">
        <f t="shared" ca="1" si="48"/>
        <v>57378</v>
      </c>
      <c r="BC96" s="100">
        <f t="shared" ca="1" si="49"/>
        <v>91410</v>
      </c>
    </row>
    <row r="97" spans="1:55" ht="11.4" x14ac:dyDescent="0.25">
      <c r="A97" s="1"/>
      <c r="B97" s="1">
        <v>41</v>
      </c>
      <c r="C97" s="66"/>
      <c r="D97" s="83">
        <f t="shared" si="55"/>
        <v>0</v>
      </c>
      <c r="E97" s="83">
        <f t="shared" si="56"/>
        <v>0</v>
      </c>
      <c r="F97" s="90">
        <f t="shared" si="66"/>
        <v>5.3293875089412195</v>
      </c>
      <c r="G97" s="90">
        <f t="shared" si="67"/>
        <v>5.3293875089412195</v>
      </c>
      <c r="H97" s="10">
        <f t="shared" si="68"/>
        <v>2585.560975609756</v>
      </c>
      <c r="I97" s="10">
        <f t="shared" si="69"/>
        <v>4119.0243902439024</v>
      </c>
      <c r="J97" s="60">
        <f t="shared" si="70"/>
        <v>175.41776970488752</v>
      </c>
      <c r="K97" s="85">
        <f t="shared" si="71"/>
        <v>173.66359200783864</v>
      </c>
      <c r="L97" s="85">
        <f t="shared" si="50"/>
        <v>175.41776970488752</v>
      </c>
      <c r="M97" s="83">
        <f t="shared" si="57"/>
        <v>0.96180092133235207</v>
      </c>
      <c r="N97" s="83">
        <f t="shared" si="58"/>
        <v>0.61007706663407668</v>
      </c>
      <c r="O97" s="90">
        <f t="shared" si="72"/>
        <v>41.706155766560535</v>
      </c>
      <c r="P97" s="90">
        <f t="shared" si="73"/>
        <v>41.706155766560535</v>
      </c>
      <c r="Q97" s="10">
        <f t="shared" si="74"/>
        <v>17563.414634146342</v>
      </c>
      <c r="R97" s="10">
        <f t="shared" si="75"/>
        <v>27981.09756097561</v>
      </c>
      <c r="S97" s="60">
        <f t="shared" si="76"/>
        <v>17358.338844702801</v>
      </c>
      <c r="T97" s="85">
        <f t="shared" si="77"/>
        <v>17184.755456255774</v>
      </c>
      <c r="U97" s="85">
        <f t="shared" si="51"/>
        <v>17358.338844702801</v>
      </c>
      <c r="V97" s="83">
        <f t="shared" si="59"/>
        <v>2.1246150084442363</v>
      </c>
      <c r="W97" s="83">
        <f t="shared" si="60"/>
        <v>1.9813975405043907</v>
      </c>
      <c r="X97" s="90">
        <f t="shared" si="78"/>
        <v>90</v>
      </c>
      <c r="Y97" s="90">
        <f t="shared" si="79"/>
        <v>132.88972916871205</v>
      </c>
      <c r="Z97" s="10">
        <f t="shared" si="80"/>
        <v>37112.804878048781</v>
      </c>
      <c r="AA97" s="10">
        <f t="shared" si="81"/>
        <v>59125.243902439026</v>
      </c>
      <c r="AB97" s="60">
        <f t="shared" si="82"/>
        <v>54799.006543723975</v>
      </c>
      <c r="AC97" s="85">
        <f t="shared" si="83"/>
        <v>37112.804878048781</v>
      </c>
      <c r="AD97" s="85">
        <f t="shared" si="52"/>
        <v>54799.006543723975</v>
      </c>
      <c r="AE97" s="83">
        <f t="shared" si="61"/>
        <v>3.3071017570020746</v>
      </c>
      <c r="AF97" s="83">
        <f t="shared" si="62"/>
        <v>3.3223299538607889</v>
      </c>
      <c r="AG97" s="90">
        <f t="shared" si="84"/>
        <v>118.7813686026452</v>
      </c>
      <c r="AH97" s="90">
        <f t="shared" si="85"/>
        <v>189.23289246693503</v>
      </c>
      <c r="AI97" s="10">
        <f t="shared" si="86"/>
        <v>69973.170731707316</v>
      </c>
      <c r="AJ97" s="10">
        <f t="shared" si="87"/>
        <v>111475.60975609756</v>
      </c>
      <c r="AK97" s="60">
        <f t="shared" si="88"/>
        <v>126690.37755121899</v>
      </c>
      <c r="AL97" s="85">
        <f t="shared" si="89"/>
        <v>57378</v>
      </c>
      <c r="AM97" s="85">
        <f t="shared" si="53"/>
        <v>91410</v>
      </c>
      <c r="AN97" s="83">
        <f t="shared" si="63"/>
        <v>2.3121268683268399</v>
      </c>
      <c r="AO97" s="83">
        <f t="shared" si="64"/>
        <v>2.3273381309245873</v>
      </c>
      <c r="AP97" s="90">
        <f t="shared" si="90"/>
        <v>90.072455434157561</v>
      </c>
      <c r="AQ97" s="90">
        <f t="shared" si="91"/>
        <v>143.49488211615869</v>
      </c>
      <c r="AR97" s="10">
        <f t="shared" si="92"/>
        <v>40326.341463414632</v>
      </c>
      <c r="AS97" s="10">
        <f t="shared" si="93"/>
        <v>64244.097560975613</v>
      </c>
      <c r="AT97" s="60">
        <f t="shared" si="94"/>
        <v>70533.406398223422</v>
      </c>
      <c r="AU97" s="85">
        <f t="shared" si="95"/>
        <v>40326.341463414639</v>
      </c>
      <c r="AV97" s="85">
        <f t="shared" si="54"/>
        <v>64244.097560975613</v>
      </c>
      <c r="AW97" s="10"/>
      <c r="AX97" s="60">
        <f t="shared" si="65"/>
        <v>701.625</v>
      </c>
      <c r="AZ97" s="99">
        <f t="shared" ca="1" si="46"/>
        <v>118.7813686026452</v>
      </c>
      <c r="BA97" s="99">
        <f t="shared" ca="1" si="47"/>
        <v>189.23289246693503</v>
      </c>
      <c r="BB97" s="100">
        <f t="shared" ca="1" si="48"/>
        <v>57378</v>
      </c>
      <c r="BC97" s="100">
        <f t="shared" ca="1" si="49"/>
        <v>91410</v>
      </c>
    </row>
    <row r="98" spans="1:55" ht="11.4" x14ac:dyDescent="0.25">
      <c r="A98" s="1"/>
      <c r="B98" s="1">
        <v>42</v>
      </c>
      <c r="C98" s="66"/>
      <c r="D98" s="83">
        <f t="shared" si="55"/>
        <v>0</v>
      </c>
      <c r="E98" s="83">
        <f t="shared" si="56"/>
        <v>0</v>
      </c>
      <c r="F98" s="90">
        <f t="shared" si="66"/>
        <v>5.2024973301569046</v>
      </c>
      <c r="G98" s="90">
        <f t="shared" si="67"/>
        <v>5.2024973301569046</v>
      </c>
      <c r="H98" s="10">
        <f t="shared" si="68"/>
        <v>2524</v>
      </c>
      <c r="I98" s="10">
        <f t="shared" si="69"/>
        <v>4020.9523809523807</v>
      </c>
      <c r="J98" s="60">
        <f t="shared" si="70"/>
        <v>165.16194963398061</v>
      </c>
      <c r="K98" s="85">
        <f t="shared" si="71"/>
        <v>163.51033013764081</v>
      </c>
      <c r="L98" s="85">
        <f t="shared" si="50"/>
        <v>165.16194963398061</v>
      </c>
      <c r="M98" s="83">
        <f t="shared" si="57"/>
        <v>0.92360341486756925</v>
      </c>
      <c r="N98" s="83">
        <f t="shared" si="58"/>
        <v>0.58586310028666144</v>
      </c>
      <c r="O98" s="90">
        <f t="shared" si="72"/>
        <v>40.713152057832907</v>
      </c>
      <c r="P98" s="90">
        <f t="shared" si="73"/>
        <v>40.713152057832907</v>
      </c>
      <c r="Q98" s="10">
        <f t="shared" si="74"/>
        <v>17145.238095238095</v>
      </c>
      <c r="R98" s="10">
        <f t="shared" si="75"/>
        <v>27314.880952380954</v>
      </c>
      <c r="S98" s="60">
        <f t="shared" si="76"/>
        <v>16709.858665451615</v>
      </c>
      <c r="T98" s="85">
        <f t="shared" si="77"/>
        <v>16542.760078797099</v>
      </c>
      <c r="U98" s="85">
        <f t="shared" si="51"/>
        <v>16709.858665451615</v>
      </c>
      <c r="V98" s="83">
        <f t="shared" si="59"/>
        <v>2.0723174922199172</v>
      </c>
      <c r="W98" s="83">
        <f t="shared" si="60"/>
        <v>1.8864969590560829</v>
      </c>
      <c r="X98" s="90">
        <f t="shared" si="78"/>
        <v>90</v>
      </c>
      <c r="Y98" s="90">
        <f t="shared" si="79"/>
        <v>129.72568799802843</v>
      </c>
      <c r="Z98" s="10">
        <f t="shared" si="80"/>
        <v>36229.166666666664</v>
      </c>
      <c r="AA98" s="10">
        <f t="shared" si="81"/>
        <v>57717.5</v>
      </c>
      <c r="AB98" s="60">
        <f t="shared" si="82"/>
        <v>52220.595238095237</v>
      </c>
      <c r="AC98" s="85">
        <f t="shared" si="83"/>
        <v>36229.166666666664</v>
      </c>
      <c r="AD98" s="85">
        <f t="shared" si="52"/>
        <v>52220.595238095237</v>
      </c>
      <c r="AE98" s="83">
        <f t="shared" si="61"/>
        <v>3.3063650803941909</v>
      </c>
      <c r="AF98" s="83">
        <f t="shared" si="62"/>
        <v>3.321867544346039</v>
      </c>
      <c r="AG98" s="90">
        <f t="shared" si="84"/>
        <v>118.7813686026452</v>
      </c>
      <c r="AH98" s="90">
        <f t="shared" si="85"/>
        <v>189.23289246693503</v>
      </c>
      <c r="AI98" s="10">
        <f t="shared" si="86"/>
        <v>68307.142857142855</v>
      </c>
      <c r="AJ98" s="10">
        <f t="shared" si="87"/>
        <v>108821.42857142857</v>
      </c>
      <c r="AK98" s="60">
        <f t="shared" si="88"/>
        <v>121278.51633542124</v>
      </c>
      <c r="AL98" s="85">
        <f t="shared" si="89"/>
        <v>57378</v>
      </c>
      <c r="AM98" s="85">
        <f t="shared" si="53"/>
        <v>91410</v>
      </c>
      <c r="AN98" s="83">
        <f t="shared" si="63"/>
        <v>2.2553647840100775</v>
      </c>
      <c r="AO98" s="83">
        <f t="shared" si="64"/>
        <v>2.2708510500685657</v>
      </c>
      <c r="AP98" s="90">
        <f t="shared" si="90"/>
        <v>90.072455434157561</v>
      </c>
      <c r="AQ98" s="90">
        <f t="shared" si="91"/>
        <v>143.49488211615869</v>
      </c>
      <c r="AR98" s="10">
        <f t="shared" si="92"/>
        <v>39366.190476190473</v>
      </c>
      <c r="AS98" s="10">
        <f t="shared" si="93"/>
        <v>62714.476190476191</v>
      </c>
      <c r="AT98" s="60">
        <f t="shared" si="94"/>
        <v>67520.415089153204</v>
      </c>
      <c r="AU98" s="85">
        <f t="shared" si="95"/>
        <v>39366.190476190481</v>
      </c>
      <c r="AV98" s="85">
        <f t="shared" si="54"/>
        <v>62714.476190476191</v>
      </c>
      <c r="AW98" s="10"/>
      <c r="AX98" s="60">
        <f t="shared" si="65"/>
        <v>714.25</v>
      </c>
      <c r="AZ98" s="99">
        <f t="shared" ca="1" si="46"/>
        <v>118.7813686026452</v>
      </c>
      <c r="BA98" s="99">
        <f t="shared" ca="1" si="47"/>
        <v>189.23289246693503</v>
      </c>
      <c r="BB98" s="100">
        <f t="shared" ca="1" si="48"/>
        <v>57378</v>
      </c>
      <c r="BC98" s="100">
        <f t="shared" ca="1" si="49"/>
        <v>91410</v>
      </c>
    </row>
    <row r="99" spans="1:55" ht="11.4" x14ac:dyDescent="0.25">
      <c r="A99" s="1"/>
      <c r="B99" s="1">
        <v>43</v>
      </c>
      <c r="C99" s="66"/>
      <c r="D99" s="83">
        <f t="shared" si="55"/>
        <v>0</v>
      </c>
      <c r="E99" s="83">
        <f t="shared" si="56"/>
        <v>0</v>
      </c>
      <c r="F99" s="90">
        <f t="shared" si="66"/>
        <v>5.0815090201532556</v>
      </c>
      <c r="G99" s="90">
        <f t="shared" si="67"/>
        <v>5.0815090201532556</v>
      </c>
      <c r="H99" s="10">
        <f t="shared" si="68"/>
        <v>2465.3023255813955</v>
      </c>
      <c r="I99" s="10">
        <f t="shared" si="69"/>
        <v>3927.4418604651164</v>
      </c>
      <c r="J99" s="60">
        <f t="shared" si="70"/>
        <v>155.72634403701122</v>
      </c>
      <c r="K99" s="85">
        <f t="shared" si="71"/>
        <v>154.16908059664109</v>
      </c>
      <c r="L99" s="85">
        <f t="shared" si="50"/>
        <v>155.72634403701122</v>
      </c>
      <c r="M99" s="83">
        <f t="shared" si="57"/>
        <v>0.88762370102482169</v>
      </c>
      <c r="N99" s="83">
        <f t="shared" si="58"/>
        <v>0.56305538928654841</v>
      </c>
      <c r="O99" s="90">
        <f t="shared" si="72"/>
        <v>39.766334568115859</v>
      </c>
      <c r="P99" s="90">
        <f t="shared" si="73"/>
        <v>39.766334568115859</v>
      </c>
      <c r="Q99" s="10">
        <f t="shared" si="74"/>
        <v>16746.511627906977</v>
      </c>
      <c r="R99" s="10">
        <f t="shared" si="75"/>
        <v>26679.651162790698</v>
      </c>
      <c r="S99" s="60">
        <f t="shared" si="76"/>
        <v>16100.022968133389</v>
      </c>
      <c r="T99" s="85">
        <f t="shared" si="77"/>
        <v>15939.022738452055</v>
      </c>
      <c r="U99" s="85">
        <f t="shared" si="51"/>
        <v>16100.022968133389</v>
      </c>
      <c r="V99" s="83">
        <f t="shared" si="59"/>
        <v>2.022403566926807</v>
      </c>
      <c r="W99" s="83">
        <f t="shared" si="60"/>
        <v>1.7980990100680248</v>
      </c>
      <c r="X99" s="90">
        <f t="shared" si="78"/>
        <v>90</v>
      </c>
      <c r="Y99" s="90">
        <f t="shared" si="79"/>
        <v>126.70881153295799</v>
      </c>
      <c r="Z99" s="10">
        <f t="shared" si="80"/>
        <v>35386.627906976741</v>
      </c>
      <c r="AA99" s="10">
        <f t="shared" si="81"/>
        <v>56375.232558139534</v>
      </c>
      <c r="AB99" s="60">
        <f t="shared" si="82"/>
        <v>49819.972958355866</v>
      </c>
      <c r="AC99" s="85">
        <f t="shared" si="83"/>
        <v>35386.627906976741</v>
      </c>
      <c r="AD99" s="85">
        <f t="shared" si="52"/>
        <v>49819.972958355866</v>
      </c>
      <c r="AE99" s="83">
        <f t="shared" si="61"/>
        <v>3.3056138161307054</v>
      </c>
      <c r="AF99" s="83">
        <f t="shared" si="62"/>
        <v>3.3213959782072346</v>
      </c>
      <c r="AG99" s="90">
        <f t="shared" si="84"/>
        <v>118.7813686026452</v>
      </c>
      <c r="AH99" s="90">
        <f t="shared" si="85"/>
        <v>189.23289246693503</v>
      </c>
      <c r="AI99" s="10">
        <f t="shared" si="86"/>
        <v>66718.604651162794</v>
      </c>
      <c r="AJ99" s="10">
        <f t="shared" si="87"/>
        <v>106290.69767441861</v>
      </c>
      <c r="AK99" s="60">
        <f t="shared" si="88"/>
        <v>116217.16415124503</v>
      </c>
      <c r="AL99" s="85">
        <f t="shared" si="89"/>
        <v>57378</v>
      </c>
      <c r="AM99" s="85">
        <f t="shared" si="53"/>
        <v>91410</v>
      </c>
      <c r="AN99" s="83">
        <f t="shared" si="63"/>
        <v>2.2011939449544058</v>
      </c>
      <c r="AO99" s="83">
        <f t="shared" si="64"/>
        <v>2.2169606112555256</v>
      </c>
      <c r="AP99" s="90">
        <f t="shared" si="90"/>
        <v>90.072455434157561</v>
      </c>
      <c r="AQ99" s="90">
        <f t="shared" si="91"/>
        <v>143.49488211615869</v>
      </c>
      <c r="AR99" s="10">
        <f t="shared" si="92"/>
        <v>38450.697674418603</v>
      </c>
      <c r="AS99" s="10">
        <f t="shared" si="93"/>
        <v>61256</v>
      </c>
      <c r="AT99" s="60">
        <f t="shared" si="94"/>
        <v>64702.565640510526</v>
      </c>
      <c r="AU99" s="85">
        <f t="shared" si="95"/>
        <v>38450.69767441861</v>
      </c>
      <c r="AV99" s="85">
        <f t="shared" si="54"/>
        <v>61256</v>
      </c>
      <c r="AW99" s="10"/>
      <c r="AX99" s="60">
        <f t="shared" si="65"/>
        <v>727.125</v>
      </c>
      <c r="AZ99" s="99">
        <f t="shared" ca="1" si="46"/>
        <v>118.7813686026452</v>
      </c>
      <c r="BA99" s="99">
        <f t="shared" ca="1" si="47"/>
        <v>189.23289246693503</v>
      </c>
      <c r="BB99" s="100">
        <f t="shared" ca="1" si="48"/>
        <v>57378</v>
      </c>
      <c r="BC99" s="100">
        <f t="shared" ca="1" si="49"/>
        <v>91410</v>
      </c>
    </row>
    <row r="100" spans="1:55" ht="11.4" x14ac:dyDescent="0.25">
      <c r="A100" s="1"/>
      <c r="B100" s="1">
        <v>44</v>
      </c>
      <c r="C100" s="66"/>
      <c r="D100" s="83">
        <f t="shared" si="55"/>
        <v>0</v>
      </c>
      <c r="E100" s="83">
        <f t="shared" si="56"/>
        <v>0</v>
      </c>
      <c r="F100" s="90">
        <f t="shared" si="66"/>
        <v>4.9660201787861364</v>
      </c>
      <c r="G100" s="90">
        <f t="shared" si="67"/>
        <v>4.9660201787861364</v>
      </c>
      <c r="H100" s="10">
        <f t="shared" si="68"/>
        <v>2409.2727272727275</v>
      </c>
      <c r="I100" s="10">
        <f t="shared" si="69"/>
        <v>3838.181818181818</v>
      </c>
      <c r="J100" s="60">
        <f t="shared" si="70"/>
        <v>147.02850306403968</v>
      </c>
      <c r="K100" s="85">
        <f t="shared" si="71"/>
        <v>145.55821803339927</v>
      </c>
      <c r="L100" s="85">
        <f t="shared" si="50"/>
        <v>147.02850306403968</v>
      </c>
      <c r="M100" s="83">
        <f t="shared" si="57"/>
        <v>0.85368864958077939</v>
      </c>
      <c r="N100" s="83">
        <f t="shared" si="58"/>
        <v>0.54154411639924926</v>
      </c>
      <c r="O100" s="90">
        <f t="shared" si="72"/>
        <v>38.862554237022316</v>
      </c>
      <c r="P100" s="90">
        <f t="shared" si="73"/>
        <v>38.862554237022316</v>
      </c>
      <c r="Q100" s="10">
        <f t="shared" si="74"/>
        <v>16365.90909090909</v>
      </c>
      <c r="R100" s="10">
        <f t="shared" si="75"/>
        <v>26073.295454545456</v>
      </c>
      <c r="S100" s="60">
        <f t="shared" si="76"/>
        <v>15525.708452451114</v>
      </c>
      <c r="T100" s="85">
        <f t="shared" si="77"/>
        <v>15370.451367926602</v>
      </c>
      <c r="U100" s="85">
        <f t="shared" si="51"/>
        <v>15525.708452451114</v>
      </c>
      <c r="V100" s="83">
        <f t="shared" si="59"/>
        <v>1.9747170142163333</v>
      </c>
      <c r="W100" s="83">
        <f t="shared" si="60"/>
        <v>1.7156230714806517</v>
      </c>
      <c r="X100" s="90">
        <f t="shared" si="78"/>
        <v>90</v>
      </c>
      <c r="Y100" s="90">
        <f t="shared" si="79"/>
        <v>123.82906581629986</v>
      </c>
      <c r="Z100" s="10">
        <f t="shared" si="80"/>
        <v>34582.38636363636</v>
      </c>
      <c r="AA100" s="10">
        <f t="shared" si="81"/>
        <v>55093.977272727272</v>
      </c>
      <c r="AB100" s="60">
        <f t="shared" si="82"/>
        <v>47581.162190082643</v>
      </c>
      <c r="AC100" s="85">
        <f t="shared" si="83"/>
        <v>34582.38636363636</v>
      </c>
      <c r="AD100" s="85">
        <f t="shared" si="52"/>
        <v>47581.162190082643</v>
      </c>
      <c r="AE100" s="83">
        <f t="shared" si="61"/>
        <v>3.304855258039419</v>
      </c>
      <c r="AF100" s="83">
        <f t="shared" si="62"/>
        <v>3.3209198337564034</v>
      </c>
      <c r="AG100" s="90">
        <f t="shared" si="84"/>
        <v>118.7813686026452</v>
      </c>
      <c r="AH100" s="90">
        <f t="shared" si="85"/>
        <v>189.23289246693503</v>
      </c>
      <c r="AI100" s="10">
        <f t="shared" si="86"/>
        <v>65202.272727272728</v>
      </c>
      <c r="AJ100" s="10">
        <f t="shared" si="87"/>
        <v>103875</v>
      </c>
      <c r="AK100" s="60">
        <f t="shared" si="88"/>
        <v>111476.23960809714</v>
      </c>
      <c r="AL100" s="85">
        <f t="shared" si="89"/>
        <v>57378</v>
      </c>
      <c r="AM100" s="85">
        <f t="shared" si="53"/>
        <v>91410</v>
      </c>
      <c r="AN100" s="83">
        <f t="shared" si="63"/>
        <v>2.1494439745614868</v>
      </c>
      <c r="AO100" s="83">
        <f t="shared" si="64"/>
        <v>2.1654937247065602</v>
      </c>
      <c r="AP100" s="90">
        <f t="shared" si="90"/>
        <v>90.072455434157561</v>
      </c>
      <c r="AQ100" s="90">
        <f t="shared" si="91"/>
        <v>143.49488211615869</v>
      </c>
      <c r="AR100" s="10">
        <f t="shared" si="92"/>
        <v>37576.818181818184</v>
      </c>
      <c r="AS100" s="10">
        <f t="shared" si="93"/>
        <v>59863.818181818184</v>
      </c>
      <c r="AT100" s="60">
        <f t="shared" si="94"/>
        <v>62063.110585054783</v>
      </c>
      <c r="AU100" s="85">
        <f t="shared" si="95"/>
        <v>37576.818181818191</v>
      </c>
      <c r="AV100" s="85">
        <f t="shared" si="54"/>
        <v>59863.818181818184</v>
      </c>
      <c r="AW100" s="10"/>
      <c r="AX100" s="60">
        <f t="shared" si="65"/>
        <v>740.125</v>
      </c>
      <c r="AZ100" s="99">
        <f t="shared" ca="1" si="46"/>
        <v>118.7813686026452</v>
      </c>
      <c r="BA100" s="99">
        <f t="shared" ca="1" si="47"/>
        <v>189.23289246693503</v>
      </c>
      <c r="BB100" s="100">
        <f t="shared" ca="1" si="48"/>
        <v>57378</v>
      </c>
      <c r="BC100" s="100">
        <f t="shared" ca="1" si="49"/>
        <v>91410</v>
      </c>
    </row>
    <row r="101" spans="1:55" ht="11.4" x14ac:dyDescent="0.25">
      <c r="A101" s="1"/>
      <c r="B101" s="1">
        <v>45</v>
      </c>
      <c r="C101" s="66"/>
      <c r="D101" s="83">
        <f t="shared" si="55"/>
        <v>0</v>
      </c>
      <c r="E101" s="83">
        <f t="shared" si="56"/>
        <v>0</v>
      </c>
      <c r="F101" s="90">
        <f t="shared" si="66"/>
        <v>4.8556641748131106</v>
      </c>
      <c r="G101" s="90">
        <f t="shared" si="67"/>
        <v>4.8556641748131106</v>
      </c>
      <c r="H101" s="10">
        <f t="shared" si="68"/>
        <v>2355.7333333333331</v>
      </c>
      <c r="I101" s="10">
        <f t="shared" si="69"/>
        <v>3752.8888888888887</v>
      </c>
      <c r="J101" s="60">
        <f t="shared" si="70"/>
        <v>138.99588477366254</v>
      </c>
      <c r="K101" s="85">
        <f t="shared" si="71"/>
        <v>137.6059259259259</v>
      </c>
      <c r="L101" s="85">
        <f t="shared" si="50"/>
        <v>138.99588477366254</v>
      </c>
      <c r="M101" s="83">
        <f t="shared" si="57"/>
        <v>0.82162878570459441</v>
      </c>
      <c r="N101" s="83">
        <f t="shared" si="58"/>
        <v>0.52122187453596447</v>
      </c>
      <c r="O101" s="90">
        <f t="shared" si="72"/>
        <v>37.998941920644043</v>
      </c>
      <c r="P101" s="90">
        <f t="shared" si="73"/>
        <v>37.998941920644043</v>
      </c>
      <c r="Q101" s="10">
        <f t="shared" si="74"/>
        <v>16002.222222222223</v>
      </c>
      <c r="R101" s="10">
        <f t="shared" si="75"/>
        <v>25493.888888888891</v>
      </c>
      <c r="S101" s="60">
        <f t="shared" si="76"/>
        <v>14984.10762144519</v>
      </c>
      <c r="T101" s="85">
        <f t="shared" si="77"/>
        <v>14834.266545230737</v>
      </c>
      <c r="U101" s="85">
        <f t="shared" si="51"/>
        <v>14984.10762144519</v>
      </c>
      <c r="V101" s="83">
        <f t="shared" si="59"/>
        <v>1.9291015625000003</v>
      </c>
      <c r="W101" s="83">
        <f t="shared" si="60"/>
        <v>1.6385436559008508</v>
      </c>
      <c r="X101" s="90">
        <f t="shared" si="78"/>
        <v>90</v>
      </c>
      <c r="Y101" s="90">
        <f t="shared" si="79"/>
        <v>121.07730879815986</v>
      </c>
      <c r="Z101" s="10">
        <f t="shared" si="80"/>
        <v>33813.888888888891</v>
      </c>
      <c r="AA101" s="10">
        <f t="shared" si="81"/>
        <v>53869.666666666664</v>
      </c>
      <c r="AB101" s="60">
        <f t="shared" si="82"/>
        <v>45489.940740740742</v>
      </c>
      <c r="AC101" s="85">
        <f t="shared" si="83"/>
        <v>33813.888888888891</v>
      </c>
      <c r="AD101" s="85">
        <f t="shared" si="52"/>
        <v>45489.940740740742</v>
      </c>
      <c r="AE101" s="83">
        <f t="shared" si="61"/>
        <v>3.304082112292531</v>
      </c>
      <c r="AF101" s="83">
        <f t="shared" si="62"/>
        <v>3.3204345326815177</v>
      </c>
      <c r="AG101" s="90">
        <f t="shared" si="84"/>
        <v>118.7813686026452</v>
      </c>
      <c r="AH101" s="90">
        <f t="shared" si="85"/>
        <v>189.23289246693503</v>
      </c>
      <c r="AI101" s="10">
        <f t="shared" si="86"/>
        <v>63753.333333333336</v>
      </c>
      <c r="AJ101" s="10">
        <f t="shared" si="87"/>
        <v>101566.66666666667</v>
      </c>
      <c r="AK101" s="60">
        <f t="shared" si="88"/>
        <v>107028.8483978358</v>
      </c>
      <c r="AL101" s="85">
        <f t="shared" si="89"/>
        <v>57378</v>
      </c>
      <c r="AM101" s="85">
        <f t="shared" si="53"/>
        <v>91410</v>
      </c>
      <c r="AN101" s="83">
        <f t="shared" si="63"/>
        <v>2.0999457015041503</v>
      </c>
      <c r="AO101" s="83">
        <f t="shared" si="64"/>
        <v>2.1162839367379016</v>
      </c>
      <c r="AP101" s="90">
        <f t="shared" si="90"/>
        <v>90.072455434157561</v>
      </c>
      <c r="AQ101" s="90">
        <f t="shared" si="91"/>
        <v>143.49488211615869</v>
      </c>
      <c r="AR101" s="10">
        <f t="shared" si="92"/>
        <v>36741.777777777781</v>
      </c>
      <c r="AS101" s="10">
        <f t="shared" si="93"/>
        <v>58533.511111111111</v>
      </c>
      <c r="AT101" s="60">
        <f t="shared" si="94"/>
        <v>59587.076826939017</v>
      </c>
      <c r="AU101" s="85">
        <f t="shared" si="95"/>
        <v>36741.777777777788</v>
      </c>
      <c r="AV101" s="85">
        <f t="shared" si="54"/>
        <v>58533.511111111111</v>
      </c>
      <c r="AW101" s="10"/>
      <c r="AX101" s="60">
        <f t="shared" si="65"/>
        <v>753.375</v>
      </c>
      <c r="AZ101" s="99">
        <f t="shared" ca="1" si="46"/>
        <v>118.7813686026452</v>
      </c>
      <c r="BA101" s="99">
        <f t="shared" ca="1" si="47"/>
        <v>189.23289246693503</v>
      </c>
      <c r="BB101" s="100">
        <f t="shared" ca="1" si="48"/>
        <v>57378</v>
      </c>
      <c r="BC101" s="100">
        <f t="shared" ca="1" si="49"/>
        <v>91410</v>
      </c>
    </row>
    <row r="102" spans="1:55" ht="11.4" x14ac:dyDescent="0.25">
      <c r="A102" s="1"/>
      <c r="B102" s="1">
        <v>46</v>
      </c>
      <c r="C102" s="66"/>
      <c r="D102" s="83">
        <f t="shared" si="55"/>
        <v>0</v>
      </c>
      <c r="E102" s="83">
        <f t="shared" si="56"/>
        <v>0</v>
      </c>
      <c r="F102" s="90">
        <f t="shared" si="66"/>
        <v>4.7501062579693478</v>
      </c>
      <c r="G102" s="90">
        <f t="shared" si="67"/>
        <v>4.7501062579693478</v>
      </c>
      <c r="H102" s="10">
        <f t="shared" si="68"/>
        <v>2304.521739130435</v>
      </c>
      <c r="I102" s="10">
        <f t="shared" si="69"/>
        <v>3671.304347826087</v>
      </c>
      <c r="J102" s="60">
        <f t="shared" si="70"/>
        <v>131.56447819834648</v>
      </c>
      <c r="K102" s="85">
        <f t="shared" si="71"/>
        <v>130.248833416363</v>
      </c>
      <c r="L102" s="85">
        <f t="shared" si="50"/>
        <v>131.56447819834648</v>
      </c>
      <c r="M102" s="83">
        <f t="shared" si="57"/>
        <v>0.79129797269178104</v>
      </c>
      <c r="N102" s="83">
        <f t="shared" si="58"/>
        <v>0.50199600760084195</v>
      </c>
      <c r="O102" s="90">
        <f t="shared" si="72"/>
        <v>37.172877965847434</v>
      </c>
      <c r="P102" s="90">
        <f t="shared" si="73"/>
        <v>37.172877965847434</v>
      </c>
      <c r="Q102" s="10">
        <f t="shared" si="74"/>
        <v>15654.347826086956</v>
      </c>
      <c r="R102" s="10">
        <f t="shared" si="75"/>
        <v>24939.67391304348</v>
      </c>
      <c r="S102" s="60">
        <f t="shared" si="76"/>
        <v>14472.69071918971</v>
      </c>
      <c r="T102" s="85">
        <f t="shared" si="77"/>
        <v>14327.963811997812</v>
      </c>
      <c r="U102" s="85">
        <f t="shared" si="51"/>
        <v>14472.69071918971</v>
      </c>
      <c r="V102" s="83">
        <f t="shared" si="59"/>
        <v>1.8854211886049974</v>
      </c>
      <c r="W102" s="83">
        <f t="shared" si="60"/>
        <v>1.5663958522820174</v>
      </c>
      <c r="X102" s="90">
        <f t="shared" si="78"/>
        <v>90</v>
      </c>
      <c r="Y102" s="90">
        <f t="shared" si="79"/>
        <v>118.44519338950421</v>
      </c>
      <c r="Z102" s="10">
        <f t="shared" si="80"/>
        <v>33078.804347826088</v>
      </c>
      <c r="AA102" s="10">
        <f t="shared" si="81"/>
        <v>52698.586956521736</v>
      </c>
      <c r="AB102" s="60">
        <f t="shared" si="82"/>
        <v>43533.615311909263</v>
      </c>
      <c r="AC102" s="85">
        <f t="shared" si="83"/>
        <v>33078.804347826088</v>
      </c>
      <c r="AD102" s="85">
        <f t="shared" si="52"/>
        <v>43533.615311909263</v>
      </c>
      <c r="AE102" s="83">
        <f t="shared" si="61"/>
        <v>3.3032943788900417</v>
      </c>
      <c r="AF102" s="83">
        <f t="shared" si="62"/>
        <v>3.3199400749825774</v>
      </c>
      <c r="AG102" s="90">
        <f t="shared" si="84"/>
        <v>118.7813686026452</v>
      </c>
      <c r="AH102" s="90">
        <f t="shared" si="85"/>
        <v>189.23289246693503</v>
      </c>
      <c r="AI102" s="10">
        <f t="shared" si="86"/>
        <v>62367.391304347824</v>
      </c>
      <c r="AJ102" s="10">
        <f t="shared" si="87"/>
        <v>99358.695652173919</v>
      </c>
      <c r="AK102" s="60">
        <f t="shared" si="88"/>
        <v>102850.8842502233</v>
      </c>
      <c r="AL102" s="85">
        <f t="shared" si="89"/>
        <v>57378</v>
      </c>
      <c r="AM102" s="85">
        <f t="shared" si="53"/>
        <v>91410</v>
      </c>
      <c r="AN102" s="83">
        <f t="shared" si="63"/>
        <v>2.0525513245873177</v>
      </c>
      <c r="AO102" s="83">
        <f t="shared" si="64"/>
        <v>2.0691834480970925</v>
      </c>
      <c r="AP102" s="90">
        <f t="shared" si="90"/>
        <v>90.072455434157561</v>
      </c>
      <c r="AQ102" s="90">
        <f t="shared" si="91"/>
        <v>143.49488211615869</v>
      </c>
      <c r="AR102" s="10">
        <f t="shared" si="92"/>
        <v>35943.043478260872</v>
      </c>
      <c r="AS102" s="10">
        <f t="shared" si="93"/>
        <v>57261.043478260872</v>
      </c>
      <c r="AT102" s="60">
        <f t="shared" si="94"/>
        <v>57261.043478260872</v>
      </c>
      <c r="AU102" s="85">
        <f t="shared" si="95"/>
        <v>35943.043478260872</v>
      </c>
      <c r="AV102" s="85">
        <f t="shared" si="54"/>
        <v>57261.043478260872</v>
      </c>
      <c r="AW102" s="10"/>
      <c r="AX102" s="60">
        <f t="shared" si="65"/>
        <v>766.875</v>
      </c>
      <c r="AZ102" s="99">
        <f t="shared" ca="1" si="46"/>
        <v>118.7813686026452</v>
      </c>
      <c r="BA102" s="99">
        <f t="shared" ca="1" si="47"/>
        <v>189.23289246693503</v>
      </c>
      <c r="BB102" s="100">
        <f t="shared" ca="1" si="48"/>
        <v>57378</v>
      </c>
      <c r="BC102" s="100">
        <f t="shared" ca="1" si="49"/>
        <v>91410</v>
      </c>
    </row>
    <row r="103" spans="1:55" ht="11.4" x14ac:dyDescent="0.25">
      <c r="A103" s="1"/>
      <c r="B103" s="1">
        <v>47</v>
      </c>
      <c r="C103" s="66"/>
      <c r="D103" s="83">
        <f t="shared" si="55"/>
        <v>0</v>
      </c>
      <c r="E103" s="83">
        <f t="shared" si="56"/>
        <v>0</v>
      </c>
      <c r="F103" s="90">
        <f t="shared" si="66"/>
        <v>4.6490401673742552</v>
      </c>
      <c r="G103" s="90">
        <f t="shared" si="67"/>
        <v>4.6490401673742552</v>
      </c>
      <c r="H103" s="10">
        <f t="shared" si="68"/>
        <v>2255.4893617021276</v>
      </c>
      <c r="I103" s="10">
        <f t="shared" si="69"/>
        <v>3593.1914893617022</v>
      </c>
      <c r="J103" s="60">
        <f t="shared" si="70"/>
        <v>124.67764257273129</v>
      </c>
      <c r="K103" s="85">
        <f t="shared" si="71"/>
        <v>123.43086614700397</v>
      </c>
      <c r="L103" s="85">
        <f t="shared" si="50"/>
        <v>124.67764257273129</v>
      </c>
      <c r="M103" s="83">
        <f t="shared" si="57"/>
        <v>0.76257151909799015</v>
      </c>
      <c r="N103" s="83">
        <f t="shared" si="58"/>
        <v>0.4837874103435178</v>
      </c>
      <c r="O103" s="90">
        <f t="shared" si="72"/>
        <v>36.381965668701746</v>
      </c>
      <c r="P103" s="90">
        <f t="shared" si="73"/>
        <v>36.381965668701746</v>
      </c>
      <c r="Q103" s="10">
        <f t="shared" si="74"/>
        <v>15321.276595744681</v>
      </c>
      <c r="R103" s="10">
        <f t="shared" si="75"/>
        <v>24409.042553191488</v>
      </c>
      <c r="S103" s="60">
        <f t="shared" si="76"/>
        <v>13989.172963599776</v>
      </c>
      <c r="T103" s="85">
        <f t="shared" si="77"/>
        <v>13849.281233963779</v>
      </c>
      <c r="U103" s="85">
        <f t="shared" si="51"/>
        <v>13989.172963599776</v>
      </c>
      <c r="V103" s="83">
        <f t="shared" si="59"/>
        <v>1.843558739626556</v>
      </c>
      <c r="W103" s="83">
        <f t="shared" si="60"/>
        <v>1.4987682544417509</v>
      </c>
      <c r="X103" s="90">
        <f t="shared" si="78"/>
        <v>90</v>
      </c>
      <c r="Y103" s="90">
        <f t="shared" si="79"/>
        <v>115.92508289185518</v>
      </c>
      <c r="Z103" s="10">
        <f t="shared" si="80"/>
        <v>32375</v>
      </c>
      <c r="AA103" s="10">
        <f t="shared" si="81"/>
        <v>51577.340425531918</v>
      </c>
      <c r="AB103" s="60">
        <f t="shared" si="82"/>
        <v>41700.828429153466</v>
      </c>
      <c r="AC103" s="85">
        <f t="shared" si="83"/>
        <v>32375</v>
      </c>
      <c r="AD103" s="85">
        <f t="shared" si="52"/>
        <v>41700.828429153466</v>
      </c>
      <c r="AE103" s="83">
        <f t="shared" si="61"/>
        <v>3.3024993516597512</v>
      </c>
      <c r="AF103" s="83">
        <f t="shared" si="62"/>
        <v>3.3194410389716094</v>
      </c>
      <c r="AG103" s="90">
        <f t="shared" si="84"/>
        <v>118.7813686026452</v>
      </c>
      <c r="AH103" s="90">
        <f t="shared" si="85"/>
        <v>189.23289246693503</v>
      </c>
      <c r="AI103" s="10">
        <f t="shared" si="86"/>
        <v>61040.425531914894</v>
      </c>
      <c r="AJ103" s="10">
        <f t="shared" si="87"/>
        <v>97244.680851063837</v>
      </c>
      <c r="AK103" s="60">
        <f t="shared" si="88"/>
        <v>98920.687211802622</v>
      </c>
      <c r="AL103" s="85">
        <f t="shared" si="89"/>
        <v>57378</v>
      </c>
      <c r="AM103" s="85">
        <f t="shared" si="53"/>
        <v>91410</v>
      </c>
      <c r="AN103" s="83">
        <f t="shared" si="63"/>
        <v>2.0154643177623841</v>
      </c>
      <c r="AO103" s="83">
        <f t="shared" si="64"/>
        <v>1.9885422735405869</v>
      </c>
      <c r="AP103" s="90">
        <f t="shared" si="90"/>
        <v>90.072455434157561</v>
      </c>
      <c r="AQ103" s="90">
        <f t="shared" si="91"/>
        <v>140.44179951794254</v>
      </c>
      <c r="AR103" s="10">
        <f t="shared" si="92"/>
        <v>35178.297872340423</v>
      </c>
      <c r="AS103" s="10">
        <f t="shared" si="93"/>
        <v>56042.723404255317</v>
      </c>
      <c r="AT103" s="60">
        <f t="shared" si="94"/>
        <v>55072.951609768752</v>
      </c>
      <c r="AU103" s="85">
        <f t="shared" si="95"/>
        <v>35321.079596852229</v>
      </c>
      <c r="AV103" s="85">
        <f t="shared" si="54"/>
        <v>55072.951609768752</v>
      </c>
      <c r="AW103" s="10"/>
      <c r="AX103" s="60">
        <f t="shared" si="65"/>
        <v>780.5</v>
      </c>
      <c r="AZ103" s="99">
        <f t="shared" ca="1" si="46"/>
        <v>118.7813686026452</v>
      </c>
      <c r="BA103" s="99">
        <f t="shared" ca="1" si="47"/>
        <v>189.23289246693503</v>
      </c>
      <c r="BB103" s="100">
        <f t="shared" ca="1" si="48"/>
        <v>57378</v>
      </c>
      <c r="BC103" s="100">
        <f t="shared" ca="1" si="49"/>
        <v>91410</v>
      </c>
    </row>
    <row r="104" spans="1:55" ht="11.4" x14ac:dyDescent="0.25">
      <c r="A104" s="1"/>
      <c r="B104" s="1">
        <v>48</v>
      </c>
      <c r="C104" s="66"/>
      <c r="D104" s="83">
        <f t="shared" si="55"/>
        <v>0</v>
      </c>
      <c r="E104" s="83">
        <f t="shared" si="56"/>
        <v>0</v>
      </c>
      <c r="F104" s="90">
        <f t="shared" si="66"/>
        <v>4.5521851638872919</v>
      </c>
      <c r="G104" s="90">
        <f t="shared" si="67"/>
        <v>4.5521851638872919</v>
      </c>
      <c r="H104" s="10">
        <f t="shared" si="68"/>
        <v>2208.5</v>
      </c>
      <c r="I104" s="10">
        <f t="shared" si="69"/>
        <v>3518.3333333333335</v>
      </c>
      <c r="J104" s="60">
        <f t="shared" si="70"/>
        <v>118.28512505561126</v>
      </c>
      <c r="K104" s="85">
        <f t="shared" si="71"/>
        <v>117.10227380505515</v>
      </c>
      <c r="L104" s="85">
        <f t="shared" si="50"/>
        <v>118.28512505561126</v>
      </c>
      <c r="M104" s="83">
        <f t="shared" si="57"/>
        <v>0.7353226622679746</v>
      </c>
      <c r="N104" s="83">
        <f t="shared" si="58"/>
        <v>0.46651575678017909</v>
      </c>
      <c r="O104" s="90">
        <f t="shared" si="72"/>
        <v>35.624008050603791</v>
      </c>
      <c r="P104" s="90">
        <f t="shared" si="73"/>
        <v>35.624008050603791</v>
      </c>
      <c r="Q104" s="10">
        <f t="shared" si="74"/>
        <v>15002.083333333334</v>
      </c>
      <c r="R104" s="10">
        <f t="shared" si="75"/>
        <v>23900.520833333332</v>
      </c>
      <c r="S104" s="60">
        <f t="shared" si="76"/>
        <v>13531.486243345948</v>
      </c>
      <c r="T104" s="85">
        <f t="shared" si="77"/>
        <v>13396.171380912489</v>
      </c>
      <c r="U104" s="85">
        <f t="shared" si="51"/>
        <v>13531.486243345948</v>
      </c>
      <c r="V104" s="83">
        <f t="shared" si="59"/>
        <v>1.8033928455653527</v>
      </c>
      <c r="W104" s="83">
        <f t="shared" si="60"/>
        <v>1.4352831749576505</v>
      </c>
      <c r="X104" s="90">
        <f t="shared" si="78"/>
        <v>90</v>
      </c>
      <c r="Y104" s="90">
        <f t="shared" si="79"/>
        <v>113.50997699827487</v>
      </c>
      <c r="Z104" s="10">
        <f t="shared" si="80"/>
        <v>31700.520833333332</v>
      </c>
      <c r="AA104" s="10">
        <f t="shared" si="81"/>
        <v>50502.8125</v>
      </c>
      <c r="AB104" s="60">
        <f t="shared" si="82"/>
        <v>39981.393229166664</v>
      </c>
      <c r="AC104" s="85">
        <f t="shared" si="83"/>
        <v>31700.520833333336</v>
      </c>
      <c r="AD104" s="85">
        <f t="shared" si="52"/>
        <v>39981.393229166664</v>
      </c>
      <c r="AE104" s="83">
        <f t="shared" si="61"/>
        <v>3.3016897367738589</v>
      </c>
      <c r="AF104" s="83">
        <f t="shared" si="62"/>
        <v>3.3189328463365873</v>
      </c>
      <c r="AG104" s="90">
        <f t="shared" si="84"/>
        <v>118.7813686026452</v>
      </c>
      <c r="AH104" s="90">
        <f t="shared" si="85"/>
        <v>189.23289246693503</v>
      </c>
      <c r="AI104" s="10">
        <f t="shared" si="86"/>
        <v>59768.75</v>
      </c>
      <c r="AJ104" s="10">
        <f t="shared" si="87"/>
        <v>95218.75</v>
      </c>
      <c r="AK104" s="60">
        <f t="shared" si="88"/>
        <v>95218.75</v>
      </c>
      <c r="AL104" s="85">
        <f t="shared" si="89"/>
        <v>57378</v>
      </c>
      <c r="AM104" s="85">
        <f t="shared" si="53"/>
        <v>91410</v>
      </c>
      <c r="AN104" s="83">
        <f t="shared" si="63"/>
        <v>1.979735204205985</v>
      </c>
      <c r="AO104" s="83">
        <f t="shared" si="64"/>
        <v>1.9125464750642078</v>
      </c>
      <c r="AP104" s="90">
        <f t="shared" si="90"/>
        <v>90.072455434157561</v>
      </c>
      <c r="AQ104" s="90">
        <f t="shared" si="91"/>
        <v>137.51592869465208</v>
      </c>
      <c r="AR104" s="10">
        <f t="shared" si="92"/>
        <v>34445.416666666664</v>
      </c>
      <c r="AS104" s="10">
        <f t="shared" si="93"/>
        <v>54875.166666666664</v>
      </c>
      <c r="AT104" s="60">
        <f t="shared" si="94"/>
        <v>53011.940766895401</v>
      </c>
      <c r="AU104" s="85">
        <f t="shared" si="95"/>
        <v>34722.636988525679</v>
      </c>
      <c r="AV104" s="85">
        <f t="shared" si="54"/>
        <v>53011.940766895401</v>
      </c>
      <c r="AW104" s="10"/>
      <c r="AX104" s="60">
        <f t="shared" si="65"/>
        <v>794.375</v>
      </c>
      <c r="AZ104" s="99">
        <f t="shared" ca="1" si="46"/>
        <v>118.7813686026452</v>
      </c>
      <c r="BA104" s="99">
        <f t="shared" ca="1" si="47"/>
        <v>189.23289246693503</v>
      </c>
      <c r="BB104" s="100">
        <f t="shared" ca="1" si="48"/>
        <v>57378</v>
      </c>
      <c r="BC104" s="100">
        <f t="shared" ca="1" si="49"/>
        <v>91410</v>
      </c>
    </row>
    <row r="105" spans="1:55" ht="11.4" x14ac:dyDescent="0.25">
      <c r="A105" s="1"/>
      <c r="B105" s="1">
        <v>49</v>
      </c>
      <c r="C105" s="66"/>
      <c r="D105" s="83">
        <f t="shared" si="55"/>
        <v>0</v>
      </c>
      <c r="E105" s="83">
        <f t="shared" si="56"/>
        <v>0</v>
      </c>
      <c r="F105" s="90">
        <f t="shared" si="66"/>
        <v>4.459283425848775</v>
      </c>
      <c r="G105" s="90">
        <f t="shared" si="67"/>
        <v>4.459283425848775</v>
      </c>
      <c r="H105" s="10">
        <f t="shared" si="68"/>
        <v>2163.4285714285716</v>
      </c>
      <c r="I105" s="10">
        <f t="shared" si="69"/>
        <v>3446.5306122448978</v>
      </c>
      <c r="J105" s="60">
        <f t="shared" si="70"/>
        <v>112.34222646521228</v>
      </c>
      <c r="K105" s="85">
        <f t="shared" si="71"/>
        <v>111.21880420056016</v>
      </c>
      <c r="L105" s="85">
        <f t="shared" si="50"/>
        <v>112.34222646521228</v>
      </c>
      <c r="M105" s="83">
        <f t="shared" si="57"/>
        <v>0.70945032688756426</v>
      </c>
      <c r="N105" s="83">
        <f t="shared" si="58"/>
        <v>0.45011691516372565</v>
      </c>
      <c r="O105" s="90">
        <f t="shared" si="72"/>
        <v>34.896987478142492</v>
      </c>
      <c r="P105" s="90">
        <f t="shared" si="73"/>
        <v>34.896987478142492</v>
      </c>
      <c r="Q105" s="10">
        <f t="shared" si="74"/>
        <v>14695.918367346938</v>
      </c>
      <c r="R105" s="10">
        <f t="shared" si="75"/>
        <v>23412.755102040817</v>
      </c>
      <c r="S105" s="60">
        <f t="shared" si="76"/>
        <v>13097.754592495838</v>
      </c>
      <c r="T105" s="85">
        <f t="shared" si="77"/>
        <v>12966.77704657088</v>
      </c>
      <c r="U105" s="85">
        <f t="shared" si="51"/>
        <v>13097.754592495838</v>
      </c>
      <c r="V105" s="83">
        <f t="shared" si="59"/>
        <v>1.7648260364181978</v>
      </c>
      <c r="W105" s="83">
        <f t="shared" si="60"/>
        <v>1.3756097627172255</v>
      </c>
      <c r="X105" s="90">
        <f t="shared" si="78"/>
        <v>90</v>
      </c>
      <c r="Y105" s="90">
        <f t="shared" si="79"/>
        <v>111.19344685545293</v>
      </c>
      <c r="Z105" s="10">
        <f t="shared" si="80"/>
        <v>31053.571428571428</v>
      </c>
      <c r="AA105" s="10">
        <f t="shared" si="81"/>
        <v>49472.142857142855</v>
      </c>
      <c r="AB105" s="60">
        <f t="shared" si="82"/>
        <v>38366.15160349854</v>
      </c>
      <c r="AC105" s="85">
        <f t="shared" si="83"/>
        <v>31053.571428571428</v>
      </c>
      <c r="AD105" s="85">
        <f t="shared" si="52"/>
        <v>38366.15160349854</v>
      </c>
      <c r="AE105" s="83">
        <f t="shared" si="61"/>
        <v>3.3008728280601662</v>
      </c>
      <c r="AF105" s="83">
        <f t="shared" si="62"/>
        <v>3.3184200753895383</v>
      </c>
      <c r="AG105" s="90">
        <f t="shared" si="84"/>
        <v>118.7813686026452</v>
      </c>
      <c r="AH105" s="90">
        <f t="shared" si="85"/>
        <v>185.3709967023037</v>
      </c>
      <c r="AI105" s="10">
        <f t="shared" si="86"/>
        <v>58548.979591836738</v>
      </c>
      <c r="AJ105" s="10">
        <f t="shared" si="87"/>
        <v>93275.510204081627</v>
      </c>
      <c r="AK105" s="60">
        <f t="shared" si="88"/>
        <v>91727.46483320136</v>
      </c>
      <c r="AL105" s="85">
        <f t="shared" si="89"/>
        <v>57378</v>
      </c>
      <c r="AM105" s="85">
        <f t="shared" si="53"/>
        <v>91410</v>
      </c>
      <c r="AN105" s="83">
        <f t="shared" si="63"/>
        <v>1.9452923701302687</v>
      </c>
      <c r="AO105" s="83">
        <f t="shared" si="64"/>
        <v>1.8408415840264079</v>
      </c>
      <c r="AP105" s="90">
        <f t="shared" si="90"/>
        <v>90.072455434157561</v>
      </c>
      <c r="AQ105" s="90">
        <f t="shared" si="91"/>
        <v>134.70948117027143</v>
      </c>
      <c r="AR105" s="10">
        <f t="shared" si="92"/>
        <v>33742.448979591834</v>
      </c>
      <c r="AS105" s="10">
        <f t="shared" si="93"/>
        <v>53755.265306122448</v>
      </c>
      <c r="AT105" s="60">
        <f t="shared" si="94"/>
        <v>51068.208020323225</v>
      </c>
      <c r="AU105" s="85">
        <f t="shared" si="95"/>
        <v>34146.363352099179</v>
      </c>
      <c r="AV105" s="85">
        <f t="shared" si="54"/>
        <v>51068.208020323225</v>
      </c>
      <c r="AW105" s="10"/>
      <c r="AX105" s="60">
        <f t="shared" si="65"/>
        <v>808.375</v>
      </c>
      <c r="AZ105" s="99">
        <f t="shared" ca="1" si="46"/>
        <v>118.7813686026452</v>
      </c>
      <c r="BA105" s="99">
        <f t="shared" ca="1" si="47"/>
        <v>185.3709967023037</v>
      </c>
      <c r="BB105" s="100">
        <f t="shared" ca="1" si="48"/>
        <v>57378</v>
      </c>
      <c r="BC105" s="100">
        <f t="shared" ca="1" si="49"/>
        <v>91410</v>
      </c>
    </row>
    <row r="106" spans="1:55" ht="11.4" x14ac:dyDescent="0.25">
      <c r="A106" s="1"/>
      <c r="B106" s="1">
        <v>50</v>
      </c>
      <c r="C106" s="66"/>
      <c r="D106" s="83">
        <f t="shared" si="55"/>
        <v>0</v>
      </c>
      <c r="E106" s="83">
        <f t="shared" si="56"/>
        <v>0</v>
      </c>
      <c r="F106" s="90">
        <f t="shared" si="66"/>
        <v>4.3700977573318003</v>
      </c>
      <c r="G106" s="90">
        <f t="shared" si="67"/>
        <v>4.3700977573318003</v>
      </c>
      <c r="H106" s="10">
        <f t="shared" si="68"/>
        <v>2120.16</v>
      </c>
      <c r="I106" s="10">
        <f t="shared" si="69"/>
        <v>3377.6</v>
      </c>
      <c r="J106" s="60">
        <f t="shared" si="70"/>
        <v>106.80909024984719</v>
      </c>
      <c r="K106" s="85">
        <f t="shared" si="71"/>
        <v>105.74099934734872</v>
      </c>
      <c r="L106" s="85">
        <f t="shared" si="50"/>
        <v>106.80909024984719</v>
      </c>
      <c r="M106" s="83">
        <f t="shared" si="57"/>
        <v>0.68484142442703388</v>
      </c>
      <c r="N106" s="83">
        <f t="shared" si="58"/>
        <v>0.43451927565914239</v>
      </c>
      <c r="O106" s="90">
        <f t="shared" si="72"/>
        <v>34.199047728579643</v>
      </c>
      <c r="P106" s="90">
        <f t="shared" si="73"/>
        <v>34.199047728579643</v>
      </c>
      <c r="Q106" s="10">
        <f t="shared" si="74"/>
        <v>14402</v>
      </c>
      <c r="R106" s="10">
        <f t="shared" si="75"/>
        <v>22944.5</v>
      </c>
      <c r="S106" s="60">
        <f t="shared" si="76"/>
        <v>12686.272873583132</v>
      </c>
      <c r="T106" s="85">
        <f t="shared" si="77"/>
        <v>12559.410144847299</v>
      </c>
      <c r="U106" s="85">
        <f t="shared" si="51"/>
        <v>12686.272873583132</v>
      </c>
      <c r="V106" s="83">
        <f t="shared" si="59"/>
        <v>1.7277473418049791</v>
      </c>
      <c r="W106" s="83">
        <f t="shared" si="60"/>
        <v>1.3194366356528417</v>
      </c>
      <c r="X106" s="90">
        <f t="shared" si="78"/>
        <v>90</v>
      </c>
      <c r="Y106" s="90">
        <f t="shared" si="79"/>
        <v>108.96957791834387</v>
      </c>
      <c r="Z106" s="10">
        <f t="shared" si="80"/>
        <v>30432.5</v>
      </c>
      <c r="AA106" s="10">
        <f t="shared" si="81"/>
        <v>48482.7</v>
      </c>
      <c r="AB106" s="60">
        <f t="shared" si="82"/>
        <v>36846.851999999999</v>
      </c>
      <c r="AC106" s="85">
        <f t="shared" si="83"/>
        <v>30432.5</v>
      </c>
      <c r="AD106" s="85">
        <f t="shared" si="52"/>
        <v>36846.851999999999</v>
      </c>
      <c r="AE106" s="83">
        <f t="shared" si="61"/>
        <v>3.3000340378630706</v>
      </c>
      <c r="AF106" s="83">
        <f t="shared" si="62"/>
        <v>3.2087797381841825</v>
      </c>
      <c r="AG106" s="90">
        <f t="shared" si="84"/>
        <v>118.7813686026452</v>
      </c>
      <c r="AH106" s="90">
        <f t="shared" si="85"/>
        <v>181.66357676825763</v>
      </c>
      <c r="AI106" s="10">
        <f t="shared" si="86"/>
        <v>57378</v>
      </c>
      <c r="AJ106" s="10">
        <f t="shared" si="87"/>
        <v>91410</v>
      </c>
      <c r="AK106" s="60">
        <f t="shared" si="88"/>
        <v>88430.904465626169</v>
      </c>
      <c r="AL106" s="85">
        <f t="shared" si="89"/>
        <v>57378</v>
      </c>
      <c r="AM106" s="85">
        <f t="shared" si="53"/>
        <v>88430.904465626169</v>
      </c>
      <c r="AN106" s="83">
        <f t="shared" si="63"/>
        <v>1.9120483471772445</v>
      </c>
      <c r="AO106" s="83">
        <f t="shared" si="64"/>
        <v>1.7730936652931708</v>
      </c>
      <c r="AP106" s="90">
        <f t="shared" si="90"/>
        <v>90.072455434157561</v>
      </c>
      <c r="AQ106" s="90">
        <f t="shared" si="91"/>
        <v>132.015291546866</v>
      </c>
      <c r="AR106" s="10">
        <f t="shared" si="92"/>
        <v>33067.599999999999</v>
      </c>
      <c r="AS106" s="10">
        <f t="shared" si="93"/>
        <v>52680.160000000003</v>
      </c>
      <c r="AT106" s="60">
        <f t="shared" si="94"/>
        <v>49232.88605967586</v>
      </c>
      <c r="AU106" s="85">
        <f t="shared" si="95"/>
        <v>33591.009674290908</v>
      </c>
      <c r="AV106" s="85">
        <f t="shared" si="54"/>
        <v>49232.88605967586</v>
      </c>
      <c r="AW106" s="10"/>
      <c r="AX106" s="60">
        <f t="shared" si="65"/>
        <v>822.75</v>
      </c>
      <c r="AZ106" s="99">
        <f t="shared" ca="1" si="46"/>
        <v>118.7813686026452</v>
      </c>
      <c r="BA106" s="99">
        <f t="shared" ca="1" si="47"/>
        <v>181.66357676825763</v>
      </c>
      <c r="BB106" s="100">
        <f t="shared" ca="1" si="48"/>
        <v>57378</v>
      </c>
      <c r="BC106" s="100">
        <f t="shared" ca="1" si="49"/>
        <v>88430.904465626169</v>
      </c>
    </row>
    <row r="107" spans="1:55" ht="11.4" x14ac:dyDescent="0.25">
      <c r="A107" s="1"/>
      <c r="B107" s="1">
        <v>51</v>
      </c>
      <c r="C107" s="66"/>
      <c r="D107" s="83">
        <f t="shared" si="55"/>
        <v>0</v>
      </c>
      <c r="E107" s="83">
        <f t="shared" si="56"/>
        <v>0</v>
      </c>
      <c r="F107" s="90">
        <f t="shared" si="66"/>
        <v>4.2844095660115684</v>
      </c>
      <c r="G107" s="90">
        <f t="shared" si="67"/>
        <v>4.2844095660115684</v>
      </c>
      <c r="H107" s="10">
        <f t="shared" si="68"/>
        <v>2078.5882352941176</v>
      </c>
      <c r="I107" s="10">
        <f t="shared" si="69"/>
        <v>3311.372549019608</v>
      </c>
      <c r="J107" s="60">
        <f t="shared" si="70"/>
        <v>101.65009446218767</v>
      </c>
      <c r="K107" s="85">
        <f t="shared" si="71"/>
        <v>100.63359351756579</v>
      </c>
      <c r="L107" s="85">
        <f t="shared" si="50"/>
        <v>101.65009446218767</v>
      </c>
      <c r="M107" s="83">
        <f t="shared" si="57"/>
        <v>0.66142813030105674</v>
      </c>
      <c r="N107" s="83">
        <f t="shared" si="58"/>
        <v>0.41967969622467044</v>
      </c>
      <c r="O107" s="90">
        <f t="shared" si="72"/>
        <v>33.528478165274159</v>
      </c>
      <c r="P107" s="90">
        <f t="shared" si="73"/>
        <v>33.528478165274159</v>
      </c>
      <c r="Q107" s="10">
        <f t="shared" si="74"/>
        <v>14119.607843137255</v>
      </c>
      <c r="R107" s="10">
        <f t="shared" si="75"/>
        <v>22494.607843137255</v>
      </c>
      <c r="S107" s="60">
        <f t="shared" si="76"/>
        <v>12295.488195020762</v>
      </c>
      <c r="T107" s="85">
        <f t="shared" si="77"/>
        <v>12172.533313070555</v>
      </c>
      <c r="U107" s="85">
        <f t="shared" si="51"/>
        <v>12295.488195020762</v>
      </c>
      <c r="V107" s="83">
        <f t="shared" si="59"/>
        <v>1.6920898199139616</v>
      </c>
      <c r="W107" s="83">
        <f t="shared" si="60"/>
        <v>1.2665046397170312</v>
      </c>
      <c r="X107" s="90">
        <f t="shared" si="78"/>
        <v>90</v>
      </c>
      <c r="Y107" s="90">
        <f t="shared" si="79"/>
        <v>106.83291952778811</v>
      </c>
      <c r="Z107" s="10">
        <f t="shared" si="80"/>
        <v>29835.784313725489</v>
      </c>
      <c r="AA107" s="10">
        <f t="shared" si="81"/>
        <v>47532.058823529413</v>
      </c>
      <c r="AB107" s="60">
        <f t="shared" si="82"/>
        <v>35416.043829296425</v>
      </c>
      <c r="AC107" s="85">
        <f t="shared" si="83"/>
        <v>29835.784313725493</v>
      </c>
      <c r="AD107" s="85">
        <f t="shared" si="52"/>
        <v>35416.043829296425</v>
      </c>
      <c r="AE107" s="83">
        <f t="shared" si="61"/>
        <v>3.2712416696972548</v>
      </c>
      <c r="AF107" s="83">
        <f t="shared" si="62"/>
        <v>3.094115099067245</v>
      </c>
      <c r="AG107" s="90">
        <f t="shared" si="84"/>
        <v>118.7813686026452</v>
      </c>
      <c r="AH107" s="90">
        <f t="shared" si="85"/>
        <v>178.10154585123297</v>
      </c>
      <c r="AI107" s="10">
        <f t="shared" si="86"/>
        <v>56252.941176470587</v>
      </c>
      <c r="AJ107" s="10">
        <f t="shared" si="87"/>
        <v>89617.647058823524</v>
      </c>
      <c r="AK107" s="60">
        <f t="shared" si="88"/>
        <v>85314.632230491654</v>
      </c>
      <c r="AL107" s="85">
        <f t="shared" si="89"/>
        <v>56898.937792678284</v>
      </c>
      <c r="AM107" s="85">
        <f t="shared" si="53"/>
        <v>85314.632230491654</v>
      </c>
      <c r="AN107" s="83">
        <f t="shared" si="63"/>
        <v>1.8799575933520045</v>
      </c>
      <c r="AO107" s="83">
        <f t="shared" si="64"/>
        <v>1.7090220702523418</v>
      </c>
      <c r="AP107" s="90">
        <f t="shared" si="90"/>
        <v>90.072455434157561</v>
      </c>
      <c r="AQ107" s="90">
        <f t="shared" si="91"/>
        <v>129.42675641849607</v>
      </c>
      <c r="AR107" s="10">
        <f t="shared" si="92"/>
        <v>32419.215686274511</v>
      </c>
      <c r="AS107" s="10">
        <f t="shared" si="93"/>
        <v>51647.215686274511</v>
      </c>
      <c r="AT107" s="60">
        <f t="shared" si="94"/>
        <v>47497.93743724098</v>
      </c>
      <c r="AU107" s="85">
        <f t="shared" si="95"/>
        <v>33055.420466512573</v>
      </c>
      <c r="AV107" s="85">
        <f t="shared" si="54"/>
        <v>47497.93743724098</v>
      </c>
      <c r="AW107" s="10"/>
      <c r="AX107" s="60">
        <f t="shared" si="65"/>
        <v>837.125</v>
      </c>
      <c r="AZ107" s="99">
        <f t="shared" ca="1" si="46"/>
        <v>118.7813686026452</v>
      </c>
      <c r="BA107" s="99">
        <f t="shared" ca="1" si="47"/>
        <v>178.10154585123297</v>
      </c>
      <c r="BB107" s="100">
        <f t="shared" ca="1" si="48"/>
        <v>56898.937792678284</v>
      </c>
      <c r="BC107" s="100">
        <f t="shared" ca="1" si="49"/>
        <v>85314.632230491654</v>
      </c>
    </row>
    <row r="108" spans="1:55" ht="11.4" x14ac:dyDescent="0.25">
      <c r="A108" s="1"/>
      <c r="B108" s="1">
        <v>52</v>
      </c>
      <c r="C108" s="66"/>
      <c r="D108" s="83">
        <f t="shared" si="55"/>
        <v>0</v>
      </c>
      <c r="E108" s="83">
        <f t="shared" si="56"/>
        <v>0</v>
      </c>
      <c r="F108" s="90">
        <f t="shared" si="66"/>
        <v>4.2020170743575003</v>
      </c>
      <c r="G108" s="90">
        <f t="shared" si="67"/>
        <v>4.2020170743575003</v>
      </c>
      <c r="H108" s="10">
        <f t="shared" si="68"/>
        <v>2038.6153846153845</v>
      </c>
      <c r="I108" s="10">
        <f t="shared" si="69"/>
        <v>3247.6923076923076</v>
      </c>
      <c r="J108" s="60">
        <f t="shared" si="70"/>
        <v>96.833330147122354</v>
      </c>
      <c r="K108" s="85">
        <f t="shared" si="71"/>
        <v>95.864996845651135</v>
      </c>
      <c r="L108" s="85">
        <f t="shared" si="50"/>
        <v>96.833330147122354</v>
      </c>
      <c r="M108" s="83">
        <f t="shared" si="57"/>
        <v>0.63910671336205815</v>
      </c>
      <c r="N108" s="83">
        <f t="shared" si="58"/>
        <v>0.40553254619853957</v>
      </c>
      <c r="O108" s="90">
        <f t="shared" si="72"/>
        <v>32.883699739018887</v>
      </c>
      <c r="P108" s="90">
        <f t="shared" si="73"/>
        <v>32.883699739018887</v>
      </c>
      <c r="Q108" s="10">
        <f t="shared" si="74"/>
        <v>13848.076923076924</v>
      </c>
      <c r="R108" s="10">
        <f t="shared" si="75"/>
        <v>22062.01923076923</v>
      </c>
      <c r="S108" s="60">
        <f t="shared" si="76"/>
        <v>11923.983666550375</v>
      </c>
      <c r="T108" s="85">
        <f t="shared" si="77"/>
        <v>11804.743829884872</v>
      </c>
      <c r="U108" s="85">
        <f t="shared" si="51"/>
        <v>11923.983666550375</v>
      </c>
      <c r="V108" s="83">
        <f t="shared" si="59"/>
        <v>1.6577495985277688</v>
      </c>
      <c r="W108" s="83">
        <f t="shared" si="60"/>
        <v>1.2165531354649686</v>
      </c>
      <c r="X108" s="90">
        <f t="shared" si="78"/>
        <v>90</v>
      </c>
      <c r="Y108" s="90">
        <f t="shared" si="79"/>
        <v>104.77844030609988</v>
      </c>
      <c r="Z108" s="10">
        <f t="shared" si="80"/>
        <v>29262.01923076923</v>
      </c>
      <c r="AA108" s="10">
        <f t="shared" si="81"/>
        <v>46617.980769230766</v>
      </c>
      <c r="AB108" s="60">
        <f t="shared" si="82"/>
        <v>34066.985946745561</v>
      </c>
      <c r="AC108" s="85">
        <f t="shared" si="83"/>
        <v>29262.01923076923</v>
      </c>
      <c r="AD108" s="85">
        <f t="shared" si="52"/>
        <v>34066.985946745561</v>
      </c>
      <c r="AE108" s="83">
        <f t="shared" si="61"/>
        <v>3.2184639955683285</v>
      </c>
      <c r="AF108" s="83">
        <f t="shared" si="62"/>
        <v>2.9855598244628538</v>
      </c>
      <c r="AG108" s="90">
        <f t="shared" si="84"/>
        <v>118.7813686026452</v>
      </c>
      <c r="AH108" s="90">
        <f t="shared" si="85"/>
        <v>174.67651612332463</v>
      </c>
      <c r="AI108" s="10">
        <f t="shared" si="86"/>
        <v>55171.153846153844</v>
      </c>
      <c r="AJ108" s="10">
        <f t="shared" si="87"/>
        <v>87894.230769230766</v>
      </c>
      <c r="AK108" s="60">
        <f t="shared" si="88"/>
        <v>82365.536768483798</v>
      </c>
      <c r="AL108" s="85">
        <f t="shared" si="89"/>
        <v>56009.195741828778</v>
      </c>
      <c r="AM108" s="85">
        <f t="shared" si="53"/>
        <v>82365.536768483798</v>
      </c>
      <c r="AN108" s="83">
        <f t="shared" si="63"/>
        <v>1.8489357550158683</v>
      </c>
      <c r="AO108" s="83">
        <f t="shared" si="64"/>
        <v>1.6483457052668897</v>
      </c>
      <c r="AP108" s="90">
        <f t="shared" si="90"/>
        <v>90.072455434157561</v>
      </c>
      <c r="AQ108" s="90">
        <f t="shared" si="91"/>
        <v>126.937780333525</v>
      </c>
      <c r="AR108" s="10">
        <f t="shared" si="92"/>
        <v>31795.76923076923</v>
      </c>
      <c r="AS108" s="10">
        <f t="shared" si="93"/>
        <v>50654</v>
      </c>
      <c r="AT108" s="60">
        <f t="shared" si="94"/>
        <v>45856.062554952769</v>
      </c>
      <c r="AU108" s="85">
        <f t="shared" si="95"/>
        <v>32538.525094849723</v>
      </c>
      <c r="AV108" s="85">
        <f t="shared" si="54"/>
        <v>45856.062554952769</v>
      </c>
      <c r="AW108" s="10"/>
      <c r="AX108" s="60">
        <f t="shared" si="65"/>
        <v>851.875</v>
      </c>
      <c r="AZ108" s="99">
        <f t="shared" ca="1" si="46"/>
        <v>118.7813686026452</v>
      </c>
      <c r="BA108" s="99">
        <f t="shared" ca="1" si="47"/>
        <v>174.67651612332463</v>
      </c>
      <c r="BB108" s="100">
        <f t="shared" ca="1" si="48"/>
        <v>56009.195741828778</v>
      </c>
      <c r="BC108" s="100">
        <f t="shared" ca="1" si="49"/>
        <v>82365.536768483798</v>
      </c>
    </row>
    <row r="109" spans="1:55" ht="11.4" x14ac:dyDescent="0.25">
      <c r="A109" s="1"/>
      <c r="B109" s="1">
        <v>53</v>
      </c>
      <c r="C109" s="66"/>
      <c r="D109" s="83">
        <f t="shared" si="55"/>
        <v>0</v>
      </c>
      <c r="E109" s="83">
        <f t="shared" si="56"/>
        <v>0</v>
      </c>
      <c r="F109" s="90">
        <f t="shared" si="66"/>
        <v>4.122733733331887</v>
      </c>
      <c r="G109" s="90">
        <f t="shared" si="67"/>
        <v>4.122733733331887</v>
      </c>
      <c r="H109" s="10">
        <f t="shared" si="68"/>
        <v>2000.1509433962265</v>
      </c>
      <c r="I109" s="10">
        <f t="shared" si="69"/>
        <v>3186.4150943396226</v>
      </c>
      <c r="J109" s="60">
        <f t="shared" si="70"/>
        <v>92.330152483906772</v>
      </c>
      <c r="K109" s="85">
        <f t="shared" si="71"/>
        <v>91.406850959067711</v>
      </c>
      <c r="L109" s="85">
        <f t="shared" si="50"/>
        <v>92.330152483906772</v>
      </c>
      <c r="M109" s="83">
        <f t="shared" si="57"/>
        <v>0.61781694545858246</v>
      </c>
      <c r="N109" s="83">
        <f t="shared" si="58"/>
        <v>0.39203954620565273</v>
      </c>
      <c r="O109" s="90">
        <f t="shared" si="72"/>
        <v>32.263252574131734</v>
      </c>
      <c r="P109" s="90">
        <f t="shared" si="73"/>
        <v>32.263252574131734</v>
      </c>
      <c r="Q109" s="10">
        <f t="shared" si="74"/>
        <v>13586.792452830188</v>
      </c>
      <c r="R109" s="10">
        <f t="shared" si="75"/>
        <v>21645.754716981133</v>
      </c>
      <c r="S109" s="60">
        <f t="shared" si="76"/>
        <v>11570.464160216807</v>
      </c>
      <c r="T109" s="85">
        <f t="shared" si="77"/>
        <v>11454.759518614639</v>
      </c>
      <c r="U109" s="85">
        <f t="shared" si="51"/>
        <v>11570.464160216807</v>
      </c>
      <c r="V109" s="83">
        <f t="shared" si="59"/>
        <v>1.6246654625479526</v>
      </c>
      <c r="W109" s="83">
        <f t="shared" si="60"/>
        <v>1.1693674459696477</v>
      </c>
      <c r="X109" s="90">
        <f t="shared" si="78"/>
        <v>90</v>
      </c>
      <c r="Y109" s="90">
        <f t="shared" si="79"/>
        <v>102.80148860221121</v>
      </c>
      <c r="Z109" s="10">
        <f t="shared" si="80"/>
        <v>28709.905660377357</v>
      </c>
      <c r="AA109" s="10">
        <f t="shared" si="81"/>
        <v>45738.396226415098</v>
      </c>
      <c r="AB109" s="60">
        <f t="shared" si="82"/>
        <v>32793.567105731578</v>
      </c>
      <c r="AC109" s="85">
        <f t="shared" si="83"/>
        <v>28709.905660377357</v>
      </c>
      <c r="AD109" s="85">
        <f t="shared" si="52"/>
        <v>32793.567105731578</v>
      </c>
      <c r="AE109" s="83">
        <f t="shared" si="61"/>
        <v>3.1674568507620662</v>
      </c>
      <c r="AF109" s="83">
        <f t="shared" si="62"/>
        <v>2.8826861078130759</v>
      </c>
      <c r="AG109" s="90">
        <f t="shared" si="84"/>
        <v>118.7813686026452</v>
      </c>
      <c r="AH109" s="90">
        <f t="shared" si="85"/>
        <v>171.38073280024304</v>
      </c>
      <c r="AI109" s="10">
        <f t="shared" si="86"/>
        <v>54130.188679245286</v>
      </c>
      <c r="AJ109" s="10">
        <f t="shared" si="87"/>
        <v>86235.84905660378</v>
      </c>
      <c r="AK109" s="60">
        <f t="shared" si="88"/>
        <v>79571.687831637028</v>
      </c>
      <c r="AL109" s="85">
        <f t="shared" si="89"/>
        <v>55149.921629060118</v>
      </c>
      <c r="AM109" s="85">
        <f t="shared" si="53"/>
        <v>79571.687831637028</v>
      </c>
      <c r="AN109" s="83">
        <f t="shared" si="63"/>
        <v>1.8189394486661461</v>
      </c>
      <c r="AO109" s="83">
        <f t="shared" si="64"/>
        <v>1.5908304527494264</v>
      </c>
      <c r="AP109" s="90">
        <f t="shared" si="90"/>
        <v>90.072455434157561</v>
      </c>
      <c r="AQ109" s="90">
        <f t="shared" si="91"/>
        <v>124.54272787440188</v>
      </c>
      <c r="AR109" s="10">
        <f t="shared" si="92"/>
        <v>31195.849056603773</v>
      </c>
      <c r="AS109" s="10">
        <f t="shared" si="93"/>
        <v>49698.264150943396</v>
      </c>
      <c r="AT109" s="60">
        <f t="shared" si="94"/>
        <v>44300.619384865204</v>
      </c>
      <c r="AU109" s="85">
        <f t="shared" si="95"/>
        <v>32039.33006247404</v>
      </c>
      <c r="AV109" s="85">
        <f t="shared" si="54"/>
        <v>44300.619384865204</v>
      </c>
      <c r="AW109" s="10"/>
      <c r="AX109" s="60">
        <f t="shared" si="65"/>
        <v>866.75</v>
      </c>
      <c r="AZ109" s="99">
        <f t="shared" ca="1" si="46"/>
        <v>118.7813686026452</v>
      </c>
      <c r="BA109" s="99">
        <f t="shared" ca="1" si="47"/>
        <v>171.38073280024304</v>
      </c>
      <c r="BB109" s="100">
        <f t="shared" ca="1" si="48"/>
        <v>55149.921629060118</v>
      </c>
      <c r="BC109" s="100">
        <f t="shared" ca="1" si="49"/>
        <v>79571.687831637028</v>
      </c>
    </row>
    <row r="110" spans="1:55" ht="11.4" x14ac:dyDescent="0.25">
      <c r="A110" s="1"/>
      <c r="B110" s="1">
        <v>54</v>
      </c>
      <c r="C110" s="66"/>
      <c r="D110" s="83">
        <f t="shared" si="55"/>
        <v>0</v>
      </c>
      <c r="E110" s="83">
        <f t="shared" si="56"/>
        <v>0</v>
      </c>
      <c r="F110" s="90">
        <f t="shared" si="66"/>
        <v>4.0463868123442595</v>
      </c>
      <c r="G110" s="90">
        <f t="shared" si="67"/>
        <v>4.0463868123442595</v>
      </c>
      <c r="H110" s="10">
        <f t="shared" si="68"/>
        <v>1963.1111111111111</v>
      </c>
      <c r="I110" s="10">
        <f t="shared" si="69"/>
        <v>3127.4074074074074</v>
      </c>
      <c r="J110" s="60">
        <f t="shared" si="70"/>
        <v>88.114793392272915</v>
      </c>
      <c r="K110" s="85">
        <f t="shared" si="71"/>
        <v>87.233645458350182</v>
      </c>
      <c r="L110" s="85">
        <f t="shared" si="50"/>
        <v>88.114793392272915</v>
      </c>
      <c r="M110" s="83">
        <f t="shared" si="57"/>
        <v>0.5974903217735823</v>
      </c>
      <c r="N110" s="83">
        <f t="shared" si="58"/>
        <v>0.37915726164881547</v>
      </c>
      <c r="O110" s="90">
        <f t="shared" si="72"/>
        <v>31.665784933870036</v>
      </c>
      <c r="P110" s="90">
        <f t="shared" si="73"/>
        <v>31.665784933870036</v>
      </c>
      <c r="Q110" s="10">
        <f t="shared" si="74"/>
        <v>13335.185185185184</v>
      </c>
      <c r="R110" s="10">
        <f t="shared" si="75"/>
        <v>21244.907407407409</v>
      </c>
      <c r="S110" s="60">
        <f t="shared" si="76"/>
        <v>11233.743796897568</v>
      </c>
      <c r="T110" s="85">
        <f t="shared" si="77"/>
        <v>11121.406358928592</v>
      </c>
      <c r="U110" s="85">
        <f t="shared" si="51"/>
        <v>11233.743796897568</v>
      </c>
      <c r="V110" s="83">
        <f t="shared" si="59"/>
        <v>1.592767224239281</v>
      </c>
      <c r="W110" s="83">
        <f t="shared" si="60"/>
        <v>1.124744269243936</v>
      </c>
      <c r="X110" s="90">
        <f t="shared" si="78"/>
        <v>90</v>
      </c>
      <c r="Y110" s="90">
        <f t="shared" si="79"/>
        <v>100.89775733179988</v>
      </c>
      <c r="Z110" s="10">
        <f t="shared" si="80"/>
        <v>28178.240740740741</v>
      </c>
      <c r="AA110" s="10">
        <f t="shared" si="81"/>
        <v>44891.388888888891</v>
      </c>
      <c r="AB110" s="60">
        <f t="shared" si="82"/>
        <v>31590.236625514404</v>
      </c>
      <c r="AC110" s="85">
        <f t="shared" si="83"/>
        <v>28178.240740740741</v>
      </c>
      <c r="AD110" s="85">
        <f t="shared" si="52"/>
        <v>31590.236625514404</v>
      </c>
      <c r="AE110" s="83">
        <f t="shared" si="61"/>
        <v>3.1181275044691419</v>
      </c>
      <c r="AF110" s="83">
        <f t="shared" si="62"/>
        <v>2.7850956256170929</v>
      </c>
      <c r="AG110" s="90">
        <f t="shared" si="84"/>
        <v>118.7813686026452</v>
      </c>
      <c r="AH110" s="90">
        <f t="shared" si="85"/>
        <v>168.20701552616447</v>
      </c>
      <c r="AI110" s="10">
        <f t="shared" si="86"/>
        <v>53127.777777777781</v>
      </c>
      <c r="AJ110" s="10">
        <f t="shared" si="87"/>
        <v>84638.888888888891</v>
      </c>
      <c r="AK110" s="60">
        <f t="shared" si="88"/>
        <v>76922.210137247574</v>
      </c>
      <c r="AL110" s="85">
        <f t="shared" si="89"/>
        <v>54319.526254368939</v>
      </c>
      <c r="AM110" s="85">
        <f t="shared" si="53"/>
        <v>76922.210137247574</v>
      </c>
      <c r="AN110" s="83">
        <f t="shared" si="63"/>
        <v>1.7899148023675913</v>
      </c>
      <c r="AO110" s="83">
        <f t="shared" si="64"/>
        <v>1.5362545506853127</v>
      </c>
      <c r="AP110" s="90">
        <f t="shared" si="90"/>
        <v>90.072455434157561</v>
      </c>
      <c r="AQ110" s="90">
        <f t="shared" si="91"/>
        <v>122.23638106191295</v>
      </c>
      <c r="AR110" s="10">
        <f t="shared" si="92"/>
        <v>30618.14814814815</v>
      </c>
      <c r="AS110" s="10">
        <f t="shared" si="93"/>
        <v>48777.925925925927</v>
      </c>
      <c r="AT110" s="60">
        <f t="shared" si="94"/>
        <v>42825.553238773347</v>
      </c>
      <c r="AU110" s="85">
        <f t="shared" si="95"/>
        <v>31556.912124130809</v>
      </c>
      <c r="AV110" s="85">
        <f t="shared" si="54"/>
        <v>42825.553238773347</v>
      </c>
      <c r="AW110" s="10"/>
      <c r="AX110" s="60">
        <f t="shared" si="65"/>
        <v>881.75</v>
      </c>
      <c r="AZ110" s="99">
        <f t="shared" ca="1" si="46"/>
        <v>118.7813686026452</v>
      </c>
      <c r="BA110" s="99">
        <f t="shared" ca="1" si="47"/>
        <v>168.20701552616447</v>
      </c>
      <c r="BB110" s="100">
        <f t="shared" ca="1" si="48"/>
        <v>54319.526254368939</v>
      </c>
      <c r="BC110" s="100">
        <f t="shared" ca="1" si="49"/>
        <v>76922.210137247574</v>
      </c>
    </row>
    <row r="111" spans="1:55" ht="11.4" x14ac:dyDescent="0.25">
      <c r="A111" s="1"/>
      <c r="B111" s="1">
        <v>55</v>
      </c>
      <c r="C111" s="66"/>
      <c r="D111" s="83">
        <f t="shared" si="55"/>
        <v>0</v>
      </c>
      <c r="E111" s="83">
        <f t="shared" si="56"/>
        <v>0</v>
      </c>
      <c r="F111" s="90">
        <f t="shared" si="66"/>
        <v>3.9728161430289091</v>
      </c>
      <c r="G111" s="90">
        <f t="shared" si="67"/>
        <v>3.9728161430289091</v>
      </c>
      <c r="H111" s="10">
        <f t="shared" si="68"/>
        <v>1927.4181818181819</v>
      </c>
      <c r="I111" s="10">
        <f t="shared" si="69"/>
        <v>3070.5454545454545</v>
      </c>
      <c r="J111" s="60">
        <f t="shared" si="70"/>
        <v>84.164026235194555</v>
      </c>
      <c r="K111" s="85">
        <f t="shared" si="71"/>
        <v>83.322385972842611</v>
      </c>
      <c r="L111" s="85">
        <f t="shared" si="50"/>
        <v>84.164026235194555</v>
      </c>
      <c r="M111" s="83">
        <f t="shared" si="57"/>
        <v>0.57805671780173173</v>
      </c>
      <c r="N111" s="83">
        <f t="shared" si="58"/>
        <v>0.36684127723391075</v>
      </c>
      <c r="O111" s="90">
        <f t="shared" si="72"/>
        <v>31.090043389617854</v>
      </c>
      <c r="P111" s="90">
        <f t="shared" si="73"/>
        <v>31.090043389617854</v>
      </c>
      <c r="Q111" s="10">
        <f t="shared" si="74"/>
        <v>13092.727272727272</v>
      </c>
      <c r="R111" s="10">
        <f t="shared" si="75"/>
        <v>20858.636363636364</v>
      </c>
      <c r="S111" s="60">
        <f t="shared" si="76"/>
        <v>10912.734921856241</v>
      </c>
      <c r="T111" s="85">
        <f t="shared" si="77"/>
        <v>10803.607572637678</v>
      </c>
      <c r="U111" s="85">
        <f t="shared" si="51"/>
        <v>10912.734921856241</v>
      </c>
      <c r="V111" s="83">
        <f t="shared" si="59"/>
        <v>1.5619825066012827</v>
      </c>
      <c r="W111" s="83">
        <f t="shared" si="60"/>
        <v>1.0824940373686958</v>
      </c>
      <c r="X111" s="90">
        <f t="shared" si="78"/>
        <v>90</v>
      </c>
      <c r="Y111" s="90">
        <f t="shared" si="79"/>
        <v>99.063252653039882</v>
      </c>
      <c r="Z111" s="10">
        <f t="shared" si="80"/>
        <v>27665.909090909092</v>
      </c>
      <c r="AA111" s="10">
        <f t="shared" si="81"/>
        <v>44075.181818181816</v>
      </c>
      <c r="AB111" s="60">
        <f t="shared" si="82"/>
        <v>30451.943801652891</v>
      </c>
      <c r="AC111" s="85">
        <f t="shared" si="83"/>
        <v>27665.909090909092</v>
      </c>
      <c r="AD111" s="85">
        <f t="shared" si="52"/>
        <v>30451.943801652891</v>
      </c>
      <c r="AE111" s="83">
        <f t="shared" si="61"/>
        <v>3.0703823697484798</v>
      </c>
      <c r="AF111" s="83">
        <f t="shared" si="62"/>
        <v>2.6924200633733704</v>
      </c>
      <c r="AG111" s="90">
        <f t="shared" si="84"/>
        <v>118.7813686026452</v>
      </c>
      <c r="AH111" s="90">
        <f t="shared" si="85"/>
        <v>165.14870615296147</v>
      </c>
      <c r="AI111" s="10">
        <f t="shared" si="86"/>
        <v>52161.818181818184</v>
      </c>
      <c r="AJ111" s="10">
        <f t="shared" si="87"/>
        <v>83100</v>
      </c>
      <c r="AK111" s="60">
        <f t="shared" si="88"/>
        <v>74407.172727482466</v>
      </c>
      <c r="AL111" s="85">
        <f t="shared" si="89"/>
        <v>53516.530745556171</v>
      </c>
      <c r="AM111" s="85">
        <f t="shared" si="53"/>
        <v>74407.172727482466</v>
      </c>
      <c r="AN111" s="83">
        <f t="shared" si="63"/>
        <v>1.7618043903346998</v>
      </c>
      <c r="AO111" s="83">
        <f t="shared" si="64"/>
        <v>1.4844109148345086</v>
      </c>
      <c r="AP111" s="90">
        <f t="shared" si="90"/>
        <v>90.072455434157561</v>
      </c>
      <c r="AQ111" s="90">
        <f t="shared" si="91"/>
        <v>120.01390140624181</v>
      </c>
      <c r="AR111" s="10">
        <f t="shared" si="92"/>
        <v>30061.454545454544</v>
      </c>
      <c r="AS111" s="10">
        <f t="shared" si="93"/>
        <v>47891.054545454543</v>
      </c>
      <c r="AT111" s="60">
        <f t="shared" si="94"/>
        <v>41425.335170451785</v>
      </c>
      <c r="AU111" s="85">
        <f t="shared" si="95"/>
        <v>31090.412129469343</v>
      </c>
      <c r="AV111" s="85">
        <f t="shared" si="54"/>
        <v>41425.335170451785</v>
      </c>
      <c r="AW111" s="10"/>
      <c r="AX111" s="60">
        <f t="shared" si="65"/>
        <v>897</v>
      </c>
      <c r="AZ111" s="99">
        <f t="shared" ca="1" si="46"/>
        <v>118.7813686026452</v>
      </c>
      <c r="BA111" s="99">
        <f t="shared" ca="1" si="47"/>
        <v>165.14870615296147</v>
      </c>
      <c r="BB111" s="100">
        <f t="shared" ca="1" si="48"/>
        <v>53516.530745556171</v>
      </c>
      <c r="BC111" s="100">
        <f t="shared" ca="1" si="49"/>
        <v>74407.172727482466</v>
      </c>
    </row>
    <row r="112" spans="1:55" ht="11.4" x14ac:dyDescent="0.25">
      <c r="A112" s="1"/>
      <c r="B112" s="1">
        <v>56</v>
      </c>
      <c r="C112" s="66"/>
      <c r="D112" s="83">
        <f t="shared" si="55"/>
        <v>0</v>
      </c>
      <c r="E112" s="83">
        <f t="shared" si="56"/>
        <v>0</v>
      </c>
      <c r="F112" s="90">
        <f t="shared" si="66"/>
        <v>3.9018729976176787</v>
      </c>
      <c r="G112" s="90">
        <f t="shared" si="67"/>
        <v>3.9018729976176787</v>
      </c>
      <c r="H112" s="10">
        <f t="shared" si="68"/>
        <v>1893</v>
      </c>
      <c r="I112" s="10">
        <f t="shared" si="69"/>
        <v>3015.7142857142858</v>
      </c>
      <c r="J112" s="60">
        <f t="shared" si="70"/>
        <v>80.45687481839613</v>
      </c>
      <c r="K112" s="85">
        <f t="shared" si="71"/>
        <v>79.652306070212163</v>
      </c>
      <c r="L112" s="85">
        <f t="shared" si="50"/>
        <v>80.45687481839613</v>
      </c>
      <c r="M112" s="83">
        <f t="shared" si="57"/>
        <v>0.55945841458980761</v>
      </c>
      <c r="N112" s="83">
        <f t="shared" si="58"/>
        <v>0.35505499700182497</v>
      </c>
      <c r="O112" s="90">
        <f t="shared" si="72"/>
        <v>30.534864043374679</v>
      </c>
      <c r="P112" s="90">
        <f t="shared" si="73"/>
        <v>30.534864043374679</v>
      </c>
      <c r="Q112" s="10">
        <f t="shared" si="74"/>
        <v>12858.928571428571</v>
      </c>
      <c r="R112" s="10">
        <f t="shared" si="75"/>
        <v>20486.160714285714</v>
      </c>
      <c r="S112" s="60">
        <f t="shared" si="76"/>
        <v>10606.438368836354</v>
      </c>
      <c r="T112" s="85">
        <f t="shared" si="77"/>
        <v>10500.373985147991</v>
      </c>
      <c r="U112" s="85">
        <f t="shared" si="51"/>
        <v>10606.438368836354</v>
      </c>
      <c r="V112" s="83">
        <f t="shared" si="59"/>
        <v>1.5322508752593362</v>
      </c>
      <c r="W112" s="83">
        <f t="shared" si="60"/>
        <v>1.0424481288148058</v>
      </c>
      <c r="X112" s="90">
        <f t="shared" si="78"/>
        <v>90</v>
      </c>
      <c r="Y112" s="90">
        <f t="shared" si="79"/>
        <v>97.294265998521311</v>
      </c>
      <c r="Z112" s="10">
        <f t="shared" si="80"/>
        <v>27171.875</v>
      </c>
      <c r="AA112" s="10">
        <f t="shared" si="81"/>
        <v>43288.125</v>
      </c>
      <c r="AB112" s="60">
        <f t="shared" si="82"/>
        <v>29374.084821428572</v>
      </c>
      <c r="AC112" s="85">
        <f t="shared" si="83"/>
        <v>27171.875</v>
      </c>
      <c r="AD112" s="85">
        <f t="shared" si="52"/>
        <v>29374.084821428572</v>
      </c>
      <c r="AE112" s="83">
        <f t="shared" si="61"/>
        <v>3.024141037091816</v>
      </c>
      <c r="AF112" s="83">
        <f t="shared" si="62"/>
        <v>2.6043267091177276</v>
      </c>
      <c r="AG112" s="90">
        <f t="shared" si="84"/>
        <v>118.7813686026452</v>
      </c>
      <c r="AH112" s="90">
        <f t="shared" si="85"/>
        <v>162.19962211451573</v>
      </c>
      <c r="AI112" s="10">
        <f t="shared" si="86"/>
        <v>51230.357142857145</v>
      </c>
      <c r="AJ112" s="10">
        <f t="shared" si="87"/>
        <v>81616.071428571435</v>
      </c>
      <c r="AK112" s="60">
        <f t="shared" si="88"/>
        <v>72017.491687729693</v>
      </c>
      <c r="AL112" s="85">
        <f t="shared" si="89"/>
        <v>52739.557062337968</v>
      </c>
      <c r="AM112" s="85">
        <f t="shared" si="53"/>
        <v>72017.491687729693</v>
      </c>
      <c r="AN112" s="83">
        <f t="shared" si="63"/>
        <v>1.7345614986882982</v>
      </c>
      <c r="AO112" s="83">
        <f t="shared" si="64"/>
        <v>1.4351143116486047</v>
      </c>
      <c r="AP112" s="90">
        <f t="shared" si="90"/>
        <v>90.072455434157561</v>
      </c>
      <c r="AQ112" s="90">
        <f t="shared" si="91"/>
        <v>117.8707960239875</v>
      </c>
      <c r="AR112" s="10">
        <f t="shared" si="92"/>
        <v>29524.642857142859</v>
      </c>
      <c r="AS112" s="10">
        <f t="shared" si="93"/>
        <v>47035.857142857145</v>
      </c>
      <c r="AT112" s="60">
        <f t="shared" si="94"/>
        <v>40094.907815218205</v>
      </c>
      <c r="AU112" s="85">
        <f t="shared" si="95"/>
        <v>30639.029506409235</v>
      </c>
      <c r="AV112" s="85">
        <f t="shared" si="54"/>
        <v>40094.907815218205</v>
      </c>
      <c r="AW112" s="10"/>
      <c r="AX112" s="60">
        <f t="shared" si="65"/>
        <v>912.5</v>
      </c>
      <c r="AZ112" s="99">
        <f t="shared" ca="1" si="46"/>
        <v>118.7813686026452</v>
      </c>
      <c r="BA112" s="99">
        <f t="shared" ca="1" si="47"/>
        <v>162.19962211451573</v>
      </c>
      <c r="BB112" s="100">
        <f t="shared" ca="1" si="48"/>
        <v>52739.557062337968</v>
      </c>
      <c r="BC112" s="100">
        <f t="shared" ca="1" si="49"/>
        <v>72017.491687729693</v>
      </c>
    </row>
    <row r="113" spans="1:55" ht="11.4" x14ac:dyDescent="0.25">
      <c r="A113" s="1"/>
      <c r="B113" s="1">
        <v>57</v>
      </c>
      <c r="C113" s="66"/>
      <c r="D113" s="83">
        <f t="shared" si="55"/>
        <v>0</v>
      </c>
      <c r="E113" s="83">
        <f t="shared" si="56"/>
        <v>0</v>
      </c>
      <c r="F113" s="90">
        <f t="shared" si="66"/>
        <v>3.8334190853787717</v>
      </c>
      <c r="G113" s="90">
        <f t="shared" si="67"/>
        <v>3.8334190853787717</v>
      </c>
      <c r="H113" s="10">
        <f t="shared" si="68"/>
        <v>1859.7894736842106</v>
      </c>
      <c r="I113" s="10">
        <f t="shared" si="69"/>
        <v>2962.8070175438597</v>
      </c>
      <c r="J113" s="60">
        <f t="shared" si="70"/>
        <v>76.97436016924857</v>
      </c>
      <c r="K113" s="85">
        <f t="shared" si="71"/>
        <v>76.204616567556087</v>
      </c>
      <c r="L113" s="85">
        <f t="shared" si="50"/>
        <v>76.97436016924857</v>
      </c>
      <c r="M113" s="83">
        <f t="shared" si="57"/>
        <v>0.54164960090958858</v>
      </c>
      <c r="N113" s="83">
        <f t="shared" si="58"/>
        <v>0.3437693286875847</v>
      </c>
      <c r="O113" s="90">
        <f t="shared" si="72"/>
        <v>29.999164674192667</v>
      </c>
      <c r="P113" s="90">
        <f t="shared" si="73"/>
        <v>29.999164674192667</v>
      </c>
      <c r="Q113" s="10">
        <f t="shared" si="74"/>
        <v>12633.333333333334</v>
      </c>
      <c r="R113" s="10">
        <f t="shared" si="75"/>
        <v>20126.754385964912</v>
      </c>
      <c r="S113" s="60">
        <f t="shared" si="76"/>
        <v>10313.934842232877</v>
      </c>
      <c r="T113" s="85">
        <f t="shared" si="77"/>
        <v>10210.795493810549</v>
      </c>
      <c r="U113" s="85">
        <f t="shared" si="51"/>
        <v>10313.934842232877</v>
      </c>
      <c r="V113" s="83">
        <f t="shared" si="59"/>
        <v>1.503523430675366</v>
      </c>
      <c r="W113" s="83">
        <f t="shared" si="60"/>
        <v>1.0044571607879087</v>
      </c>
      <c r="X113" s="90">
        <f t="shared" si="78"/>
        <v>90</v>
      </c>
      <c r="Y113" s="90">
        <f t="shared" si="79"/>
        <v>95.587349051178833</v>
      </c>
      <c r="Z113" s="10">
        <f t="shared" si="80"/>
        <v>26695.175438596492</v>
      </c>
      <c r="AA113" s="10">
        <f t="shared" si="81"/>
        <v>42528.684210526313</v>
      </c>
      <c r="AB113" s="60">
        <f t="shared" si="82"/>
        <v>28352.456140350874</v>
      </c>
      <c r="AC113" s="85">
        <f t="shared" si="83"/>
        <v>26695.175438596492</v>
      </c>
      <c r="AD113" s="85">
        <f t="shared" si="52"/>
        <v>28352.456140350874</v>
      </c>
      <c r="AE113" s="83">
        <f t="shared" si="61"/>
        <v>2.9793357769226199</v>
      </c>
      <c r="AF113" s="83">
        <f t="shared" si="62"/>
        <v>2.5205153130535365</v>
      </c>
      <c r="AG113" s="90">
        <f t="shared" si="84"/>
        <v>118.7813686026452</v>
      </c>
      <c r="AH113" s="90">
        <f t="shared" si="85"/>
        <v>159.35401470899791</v>
      </c>
      <c r="AI113" s="10">
        <f t="shared" si="86"/>
        <v>50331.57894736842</v>
      </c>
      <c r="AJ113" s="10">
        <f t="shared" si="87"/>
        <v>80184.210526315786</v>
      </c>
      <c r="AK113" s="60">
        <f t="shared" si="88"/>
        <v>69744.84440621543</v>
      </c>
      <c r="AL113" s="85">
        <f t="shared" si="89"/>
        <v>51987.31947028276</v>
      </c>
      <c r="AM113" s="85">
        <f t="shared" si="53"/>
        <v>69744.84440621543</v>
      </c>
      <c r="AN113" s="83">
        <f t="shared" si="63"/>
        <v>1.7081498364324426</v>
      </c>
      <c r="AO113" s="83">
        <f t="shared" si="64"/>
        <v>1.3881996099061584</v>
      </c>
      <c r="AP113" s="90">
        <f t="shared" si="90"/>
        <v>90.072455434157561</v>
      </c>
      <c r="AQ113" s="90">
        <f t="shared" si="91"/>
        <v>115.80288732181228</v>
      </c>
      <c r="AR113" s="10">
        <f t="shared" si="92"/>
        <v>29006.666666666668</v>
      </c>
      <c r="AS113" s="10">
        <f t="shared" si="93"/>
        <v>46210.666666666664</v>
      </c>
      <c r="AT113" s="60">
        <f t="shared" si="94"/>
        <v>38829.637654964266</v>
      </c>
      <c r="AU113" s="85">
        <f t="shared" si="95"/>
        <v>30202.017307926661</v>
      </c>
      <c r="AV113" s="85">
        <f t="shared" si="54"/>
        <v>38829.637654964266</v>
      </c>
      <c r="AW113" s="10"/>
      <c r="AX113" s="60">
        <f t="shared" si="65"/>
        <v>928.125</v>
      </c>
      <c r="AZ113" s="99">
        <f t="shared" ca="1" si="46"/>
        <v>118.7813686026452</v>
      </c>
      <c r="BA113" s="99">
        <f t="shared" ca="1" si="47"/>
        <v>159.35401470899791</v>
      </c>
      <c r="BB113" s="100">
        <f t="shared" ca="1" si="48"/>
        <v>51987.31947028276</v>
      </c>
      <c r="BC113" s="100">
        <f t="shared" ca="1" si="49"/>
        <v>69744.84440621543</v>
      </c>
    </row>
    <row r="114" spans="1:55" ht="11.4" x14ac:dyDescent="0.25">
      <c r="A114" s="1"/>
      <c r="B114" s="1">
        <v>58</v>
      </c>
      <c r="C114" s="66"/>
      <c r="D114" s="83">
        <f t="shared" si="55"/>
        <v>0</v>
      </c>
      <c r="E114" s="83">
        <f t="shared" si="56"/>
        <v>0</v>
      </c>
      <c r="F114" s="90">
        <f t="shared" si="66"/>
        <v>3.7673256528722412</v>
      </c>
      <c r="G114" s="90">
        <f t="shared" si="67"/>
        <v>3.7673256528722412</v>
      </c>
      <c r="H114" s="10">
        <f t="shared" si="68"/>
        <v>1827.7241379310344</v>
      </c>
      <c r="I114" s="10">
        <f t="shared" si="69"/>
        <v>2911.7241379310344</v>
      </c>
      <c r="J114" s="60">
        <f t="shared" si="70"/>
        <v>73.699279631125961</v>
      </c>
      <c r="K114" s="85">
        <f t="shared" si="71"/>
        <v>72.962286834814705</v>
      </c>
      <c r="L114" s="85">
        <f t="shared" si="50"/>
        <v>73.699279631125961</v>
      </c>
      <c r="M114" s="83">
        <f t="shared" si="57"/>
        <v>0.52456675630976868</v>
      </c>
      <c r="N114" s="83">
        <f t="shared" si="58"/>
        <v>0.332944090458068</v>
      </c>
      <c r="O114" s="90">
        <f t="shared" si="72"/>
        <v>29.481937697051414</v>
      </c>
      <c r="P114" s="90">
        <f t="shared" si="73"/>
        <v>29.481937697051414</v>
      </c>
      <c r="Q114" s="10">
        <f t="shared" si="74"/>
        <v>12415.51724137931</v>
      </c>
      <c r="R114" s="10">
        <f t="shared" si="75"/>
        <v>19779.741379310344</v>
      </c>
      <c r="S114" s="60">
        <f t="shared" si="76"/>
        <v>10034.377271966187</v>
      </c>
      <c r="T114" s="85">
        <f t="shared" si="77"/>
        <v>9934.033499246525</v>
      </c>
      <c r="U114" s="85">
        <f t="shared" si="51"/>
        <v>10034.377271966187</v>
      </c>
      <c r="V114" s="83">
        <f t="shared" si="59"/>
        <v>1.4757332672324368</v>
      </c>
      <c r="W114" s="83">
        <f t="shared" si="60"/>
        <v>0.96837117261749139</v>
      </c>
      <c r="X114" s="90">
        <f t="shared" si="78"/>
        <v>90</v>
      </c>
      <c r="Y114" s="90">
        <f t="shared" si="79"/>
        <v>93.939291308917134</v>
      </c>
      <c r="Z114" s="10">
        <f t="shared" si="80"/>
        <v>26234.913793103449</v>
      </c>
      <c r="AA114" s="10">
        <f t="shared" si="81"/>
        <v>41795.431034482761</v>
      </c>
      <c r="AB114" s="60">
        <f t="shared" si="82"/>
        <v>27383.213436385257</v>
      </c>
      <c r="AC114" s="85">
        <f t="shared" si="83"/>
        <v>26234.913793103449</v>
      </c>
      <c r="AD114" s="85">
        <f t="shared" si="52"/>
        <v>27383.213436385257</v>
      </c>
      <c r="AE114" s="83">
        <f t="shared" si="61"/>
        <v>2.9358819167166414</v>
      </c>
      <c r="AF114" s="83">
        <f t="shared" si="62"/>
        <v>2.440697000123202</v>
      </c>
      <c r="AG114" s="90">
        <f t="shared" si="84"/>
        <v>118.7813686026452</v>
      </c>
      <c r="AH114" s="90">
        <f t="shared" si="85"/>
        <v>156.60653169677383</v>
      </c>
      <c r="AI114" s="10">
        <f t="shared" si="86"/>
        <v>49463.793103448275</v>
      </c>
      <c r="AJ114" s="10">
        <f t="shared" si="87"/>
        <v>78801.724137931029</v>
      </c>
      <c r="AK114" s="60">
        <f t="shared" si="88"/>
        <v>67581.593831558188</v>
      </c>
      <c r="AL114" s="85">
        <f t="shared" si="89"/>
        <v>51258.61687048609</v>
      </c>
      <c r="AM114" s="85">
        <f t="shared" si="53"/>
        <v>67581.593831558188</v>
      </c>
      <c r="AN114" s="83">
        <f t="shared" si="63"/>
        <v>1.6825141001285773</v>
      </c>
      <c r="AO114" s="83">
        <f t="shared" si="64"/>
        <v>1.3435019229716392</v>
      </c>
      <c r="AP114" s="90">
        <f t="shared" si="90"/>
        <v>90.072455434157561</v>
      </c>
      <c r="AQ114" s="90">
        <f t="shared" si="91"/>
        <v>113.80628581626378</v>
      </c>
      <c r="AR114" s="10">
        <f t="shared" si="92"/>
        <v>28506.551724137931</v>
      </c>
      <c r="AS114" s="10">
        <f t="shared" si="93"/>
        <v>45413.931034482761</v>
      </c>
      <c r="AT114" s="60">
        <f t="shared" si="94"/>
        <v>37625.272849422479</v>
      </c>
      <c r="AU114" s="85">
        <f t="shared" si="95"/>
        <v>29778.677755981305</v>
      </c>
      <c r="AV114" s="85">
        <f t="shared" si="54"/>
        <v>37625.272849422479</v>
      </c>
      <c r="AW114" s="10"/>
      <c r="AX114" s="60">
        <f t="shared" si="65"/>
        <v>944.125</v>
      </c>
      <c r="AZ114" s="99">
        <f t="shared" ca="1" si="46"/>
        <v>118.7813686026452</v>
      </c>
      <c r="BA114" s="99">
        <f t="shared" ca="1" si="47"/>
        <v>156.60653169677383</v>
      </c>
      <c r="BB114" s="100">
        <f t="shared" ca="1" si="48"/>
        <v>51258.61687048609</v>
      </c>
      <c r="BC114" s="100">
        <f t="shared" ca="1" si="49"/>
        <v>67581.593831558188</v>
      </c>
    </row>
    <row r="115" spans="1:55" ht="11.4" x14ac:dyDescent="0.25">
      <c r="A115" s="1"/>
      <c r="B115" s="1">
        <v>59</v>
      </c>
      <c r="C115" s="66"/>
      <c r="D115" s="83">
        <f t="shared" si="55"/>
        <v>0</v>
      </c>
      <c r="E115" s="83">
        <f t="shared" si="56"/>
        <v>0</v>
      </c>
      <c r="F115" s="90">
        <f t="shared" si="66"/>
        <v>3.7034726757049152</v>
      </c>
      <c r="G115" s="90">
        <f t="shared" si="67"/>
        <v>3.7034726757049152</v>
      </c>
      <c r="H115" s="10">
        <f t="shared" si="68"/>
        <v>1796.7457627118645</v>
      </c>
      <c r="I115" s="10">
        <f t="shared" si="69"/>
        <v>2862.3728813559323</v>
      </c>
      <c r="J115" s="60">
        <f t="shared" si="70"/>
        <v>70.616013677693559</v>
      </c>
      <c r="K115" s="85">
        <f t="shared" si="71"/>
        <v>69.909853540916629</v>
      </c>
      <c r="L115" s="85">
        <f t="shared" si="50"/>
        <v>70.616013677693559</v>
      </c>
      <c r="M115" s="83">
        <f t="shared" si="57"/>
        <v>0.50818660910889868</v>
      </c>
      <c r="N115" s="83">
        <f t="shared" si="58"/>
        <v>0.32256438846656516</v>
      </c>
      <c r="O115" s="90">
        <f t="shared" si="72"/>
        <v>28.982243837779354</v>
      </c>
      <c r="P115" s="90">
        <f t="shared" si="73"/>
        <v>28.982243837779354</v>
      </c>
      <c r="Q115" s="10">
        <f t="shared" si="74"/>
        <v>12205.084745762711</v>
      </c>
      <c r="R115" s="10">
        <f t="shared" si="75"/>
        <v>19444.491525423728</v>
      </c>
      <c r="S115" s="60">
        <f t="shared" si="76"/>
        <v>9766.9840167179045</v>
      </c>
      <c r="T115" s="85">
        <f t="shared" si="77"/>
        <v>9669.3141765507262</v>
      </c>
      <c r="U115" s="85">
        <f t="shared" si="51"/>
        <v>9766.9840167179045</v>
      </c>
      <c r="V115" s="83">
        <f t="shared" si="59"/>
        <v>1.4488534954330474</v>
      </c>
      <c r="W115" s="83">
        <f t="shared" si="60"/>
        <v>0.93407492572109219</v>
      </c>
      <c r="X115" s="90">
        <f t="shared" si="78"/>
        <v>90</v>
      </c>
      <c r="Y115" s="90">
        <f t="shared" si="79"/>
        <v>92.347099930799899</v>
      </c>
      <c r="Z115" s="10">
        <f t="shared" si="80"/>
        <v>25790.254237288136</v>
      </c>
      <c r="AA115" s="10">
        <f t="shared" si="81"/>
        <v>41087.033898305082</v>
      </c>
      <c r="AB115" s="60">
        <f t="shared" si="82"/>
        <v>26462.835392128694</v>
      </c>
      <c r="AC115" s="85">
        <f t="shared" si="83"/>
        <v>25790.254237288136</v>
      </c>
      <c r="AD115" s="85">
        <f t="shared" si="52"/>
        <v>26462.835392128694</v>
      </c>
      <c r="AE115" s="83">
        <f t="shared" si="61"/>
        <v>2.8937357882146379</v>
      </c>
      <c r="AF115" s="83">
        <f t="shared" si="62"/>
        <v>2.3646284403694744</v>
      </c>
      <c r="AG115" s="90">
        <f t="shared" si="84"/>
        <v>118.7813686026452</v>
      </c>
      <c r="AH115" s="90">
        <f t="shared" si="85"/>
        <v>153.95218370191324</v>
      </c>
      <c r="AI115" s="10">
        <f t="shared" si="86"/>
        <v>48625.423728813563</v>
      </c>
      <c r="AJ115" s="10">
        <f t="shared" si="87"/>
        <v>77466.101694915254</v>
      </c>
      <c r="AK115" s="60">
        <f t="shared" si="88"/>
        <v>65520.721413804298</v>
      </c>
      <c r="AL115" s="85">
        <f t="shared" si="89"/>
        <v>50552.325886025079</v>
      </c>
      <c r="AM115" s="85">
        <f t="shared" si="53"/>
        <v>65520.721413804298</v>
      </c>
      <c r="AN115" s="83">
        <f t="shared" si="63"/>
        <v>1.6576380901572081</v>
      </c>
      <c r="AO115" s="83">
        <f t="shared" si="64"/>
        <v>1.3008918678668673</v>
      </c>
      <c r="AP115" s="90">
        <f t="shared" si="90"/>
        <v>90.072455434157561</v>
      </c>
      <c r="AQ115" s="90">
        <f t="shared" si="91"/>
        <v>111.87736571768305</v>
      </c>
      <c r="AR115" s="10">
        <f t="shared" si="92"/>
        <v>28023.389830508473</v>
      </c>
      <c r="AS115" s="10">
        <f t="shared" si="93"/>
        <v>44644.203389830509</v>
      </c>
      <c r="AT115" s="60">
        <f t="shared" si="94"/>
        <v>36477.905901861232</v>
      </c>
      <c r="AU115" s="85">
        <f t="shared" si="95"/>
        <v>29368.358225094198</v>
      </c>
      <c r="AV115" s="85">
        <f t="shared" si="54"/>
        <v>36477.905901861232</v>
      </c>
      <c r="AW115" s="10"/>
      <c r="AX115" s="60">
        <f t="shared" si="65"/>
        <v>960.125</v>
      </c>
      <c r="AZ115" s="99">
        <f t="shared" ca="1" si="46"/>
        <v>118.7813686026452</v>
      </c>
      <c r="BA115" s="99">
        <f t="shared" ca="1" si="47"/>
        <v>153.95218370191324</v>
      </c>
      <c r="BB115" s="100">
        <f t="shared" ca="1" si="48"/>
        <v>50552.325886025079</v>
      </c>
      <c r="BC115" s="100">
        <f t="shared" ca="1" si="49"/>
        <v>65520.721413804298</v>
      </c>
    </row>
    <row r="116" spans="1:55" ht="11.4" x14ac:dyDescent="0.25">
      <c r="A116" s="1"/>
      <c r="B116" s="1">
        <v>60</v>
      </c>
      <c r="C116" s="66"/>
      <c r="D116" s="83">
        <f t="shared" si="55"/>
        <v>0</v>
      </c>
      <c r="E116" s="83">
        <f t="shared" si="56"/>
        <v>0</v>
      </c>
      <c r="F116" s="90">
        <f t="shared" si="66"/>
        <v>3.6417481311098334</v>
      </c>
      <c r="G116" s="90">
        <f t="shared" si="67"/>
        <v>3.6417481311098334</v>
      </c>
      <c r="H116" s="10">
        <f t="shared" si="68"/>
        <v>1766.8</v>
      </c>
      <c r="I116" s="10">
        <f t="shared" si="69"/>
        <v>2814.6666666666665</v>
      </c>
      <c r="J116" s="60">
        <f t="shared" si="70"/>
        <v>67.710356569961149</v>
      </c>
      <c r="K116" s="85">
        <f t="shared" si="71"/>
        <v>67.033253004261539</v>
      </c>
      <c r="L116" s="85">
        <f t="shared" si="50"/>
        <v>67.710356569961149</v>
      </c>
      <c r="M116" s="83">
        <f t="shared" si="57"/>
        <v>0.49245284833458841</v>
      </c>
      <c r="N116" s="83">
        <f t="shared" si="58"/>
        <v>0.3125946119572332</v>
      </c>
      <c r="O116" s="90">
        <f t="shared" si="72"/>
        <v>28.499206440483032</v>
      </c>
      <c r="P116" s="90">
        <f t="shared" si="73"/>
        <v>28.499206440483032</v>
      </c>
      <c r="Q116" s="10">
        <f t="shared" si="74"/>
        <v>12001.666666666666</v>
      </c>
      <c r="R116" s="10">
        <f t="shared" si="75"/>
        <v>19120.416666666668</v>
      </c>
      <c r="S116" s="60">
        <f t="shared" si="76"/>
        <v>9511.0328088806873</v>
      </c>
      <c r="T116" s="85">
        <f t="shared" si="77"/>
        <v>9415.9224807918799</v>
      </c>
      <c r="U116" s="85">
        <f t="shared" si="51"/>
        <v>9511.0328088806873</v>
      </c>
      <c r="V116" s="83">
        <f t="shared" si="59"/>
        <v>1.4211781752463695</v>
      </c>
      <c r="W116" s="83">
        <f t="shared" si="60"/>
        <v>0.90144094740536884</v>
      </c>
      <c r="X116" s="90">
        <f t="shared" si="78"/>
        <v>90</v>
      </c>
      <c r="Y116" s="90">
        <f t="shared" si="79"/>
        <v>90.807981598619889</v>
      </c>
      <c r="Z116" s="10">
        <f t="shared" si="80"/>
        <v>25360.416666666668</v>
      </c>
      <c r="AA116" s="10">
        <f t="shared" si="81"/>
        <v>40402.25</v>
      </c>
      <c r="AB116" s="60">
        <f t="shared" si="82"/>
        <v>25588.091666666667</v>
      </c>
      <c r="AC116" s="85">
        <f t="shared" si="83"/>
        <v>25332.210750000002</v>
      </c>
      <c r="AD116" s="85">
        <f t="shared" si="52"/>
        <v>25588.091666666667</v>
      </c>
      <c r="AE116" s="83">
        <f t="shared" si="61"/>
        <v>2.8528214248719475</v>
      </c>
      <c r="AF116" s="83">
        <f t="shared" si="62"/>
        <v>2.2920638866034508</v>
      </c>
      <c r="AG116" s="90">
        <f t="shared" si="84"/>
        <v>118.7813686026452</v>
      </c>
      <c r="AH116" s="90">
        <f t="shared" si="85"/>
        <v>151.38631397354803</v>
      </c>
      <c r="AI116" s="10">
        <f t="shared" si="86"/>
        <v>47815</v>
      </c>
      <c r="AJ116" s="10">
        <f t="shared" si="87"/>
        <v>76175</v>
      </c>
      <c r="AK116" s="60">
        <f t="shared" si="88"/>
        <v>63555.767606197194</v>
      </c>
      <c r="AL116" s="85">
        <f t="shared" si="89"/>
        <v>49867.394619138802</v>
      </c>
      <c r="AM116" s="85">
        <f t="shared" si="53"/>
        <v>63555.767606197194</v>
      </c>
      <c r="AN116" s="83">
        <f t="shared" si="63"/>
        <v>1.6334715608159553</v>
      </c>
      <c r="AO116" s="83">
        <f t="shared" si="64"/>
        <v>1.2602285688997497</v>
      </c>
      <c r="AP116" s="90">
        <f t="shared" si="90"/>
        <v>90.072455434157561</v>
      </c>
      <c r="AQ116" s="90">
        <f t="shared" si="91"/>
        <v>110.01274295572166</v>
      </c>
      <c r="AR116" s="10">
        <f t="shared" si="92"/>
        <v>27556.333333333332</v>
      </c>
      <c r="AS116" s="10">
        <f t="shared" si="93"/>
        <v>43900.133333333331</v>
      </c>
      <c r="AT116" s="60">
        <f t="shared" si="94"/>
        <v>35383.940534131099</v>
      </c>
      <c r="AU116" s="85">
        <f t="shared" si="95"/>
        <v>28970.44761558366</v>
      </c>
      <c r="AV116" s="85">
        <f t="shared" si="54"/>
        <v>35383.940534131099</v>
      </c>
      <c r="AW116" s="10"/>
      <c r="AX116" s="60">
        <f t="shared" si="65"/>
        <v>976.375</v>
      </c>
      <c r="AZ116" s="99">
        <f t="shared" ca="1" si="46"/>
        <v>118.7813686026452</v>
      </c>
      <c r="BA116" s="99">
        <f t="shared" ca="1" si="47"/>
        <v>151.38631397354803</v>
      </c>
      <c r="BB116" s="100">
        <f t="shared" ca="1" si="48"/>
        <v>49867.394619138802</v>
      </c>
      <c r="BC116" s="100">
        <f t="shared" ca="1" si="49"/>
        <v>63555.767606197194</v>
      </c>
    </row>
    <row r="117" spans="1:55" ht="11.4" x14ac:dyDescent="0.25">
      <c r="A117" s="1"/>
      <c r="B117" s="1">
        <v>61</v>
      </c>
      <c r="C117" s="66"/>
      <c r="D117" s="83">
        <f t="shared" si="55"/>
        <v>0</v>
      </c>
      <c r="E117" s="83">
        <f t="shared" si="56"/>
        <v>0</v>
      </c>
      <c r="F117" s="90">
        <f t="shared" si="66"/>
        <v>3.5820473420752457</v>
      </c>
      <c r="G117" s="90">
        <f t="shared" si="67"/>
        <v>3.5820473420752457</v>
      </c>
      <c r="H117" s="10">
        <f t="shared" si="68"/>
        <v>1737.8360655737704</v>
      </c>
      <c r="I117" s="10">
        <f t="shared" si="69"/>
        <v>2768.5245901639346</v>
      </c>
      <c r="J117" s="60">
        <f t="shared" si="70"/>
        <v>64.969367575198859</v>
      </c>
      <c r="K117" s="85">
        <f t="shared" si="71"/>
        <v>64.319673899446869</v>
      </c>
      <c r="L117" s="85">
        <f t="shared" si="50"/>
        <v>64.969367575198859</v>
      </c>
      <c r="M117" s="83">
        <f t="shared" si="57"/>
        <v>0.47732686828359361</v>
      </c>
      <c r="N117" s="83">
        <f t="shared" si="58"/>
        <v>0.30301028348100922</v>
      </c>
      <c r="O117" s="90">
        <f t="shared" si="72"/>
        <v>28.032006334901343</v>
      </c>
      <c r="P117" s="90">
        <f t="shared" si="73"/>
        <v>28.032006334901343</v>
      </c>
      <c r="Q117" s="10">
        <f t="shared" si="74"/>
        <v>11804.918032786885</v>
      </c>
      <c r="R117" s="10">
        <f t="shared" si="75"/>
        <v>18806.967213114753</v>
      </c>
      <c r="S117" s="60">
        <f t="shared" si="76"/>
        <v>9265.8553495018496</v>
      </c>
      <c r="T117" s="85">
        <f t="shared" si="77"/>
        <v>9173.1967960068305</v>
      </c>
      <c r="U117" s="85">
        <f t="shared" si="51"/>
        <v>9265.8553495018496</v>
      </c>
      <c r="V117" s="83">
        <f t="shared" si="59"/>
        <v>1.3721486923233308</v>
      </c>
      <c r="W117" s="83">
        <f t="shared" si="60"/>
        <v>0.87036053946780101</v>
      </c>
      <c r="X117" s="90">
        <f t="shared" si="78"/>
        <v>89.319326162576942</v>
      </c>
      <c r="Y117" s="90">
        <f t="shared" si="79"/>
        <v>89.319326162576942</v>
      </c>
      <c r="Z117" s="10">
        <f t="shared" si="80"/>
        <v>24944.672131147541</v>
      </c>
      <c r="AA117" s="10">
        <f t="shared" si="81"/>
        <v>39739.918032786882</v>
      </c>
      <c r="AB117" s="60">
        <f t="shared" si="82"/>
        <v>24756.014512227895</v>
      </c>
      <c r="AC117" s="85">
        <f t="shared" si="83"/>
        <v>24508.454367105616</v>
      </c>
      <c r="AD117" s="85">
        <f t="shared" si="52"/>
        <v>24756.014512227895</v>
      </c>
      <c r="AE117" s="83">
        <f t="shared" si="61"/>
        <v>2.8130812891407526</v>
      </c>
      <c r="AF117" s="83">
        <f t="shared" si="62"/>
        <v>2.2227852850777921</v>
      </c>
      <c r="AG117" s="90">
        <f t="shared" si="84"/>
        <v>118.7813686026452</v>
      </c>
      <c r="AH117" s="90">
        <f t="shared" si="85"/>
        <v>148.90457112152265</v>
      </c>
      <c r="AI117" s="10">
        <f t="shared" si="86"/>
        <v>47031.147540983606</v>
      </c>
      <c r="AJ117" s="10">
        <f t="shared" si="87"/>
        <v>74926.229508196717</v>
      </c>
      <c r="AK117" s="60">
        <f t="shared" si="88"/>
        <v>61680.778966014906</v>
      </c>
      <c r="AL117" s="85">
        <f t="shared" si="89"/>
        <v>49202.837004118846</v>
      </c>
      <c r="AM117" s="85">
        <f t="shared" si="53"/>
        <v>61680.778966014906</v>
      </c>
      <c r="AN117" s="83">
        <f t="shared" si="63"/>
        <v>1.6099810856840515</v>
      </c>
      <c r="AO117" s="83">
        <f t="shared" si="64"/>
        <v>1.2213906271615855</v>
      </c>
      <c r="AP117" s="90">
        <f t="shared" si="90"/>
        <v>90.072455434157561</v>
      </c>
      <c r="AQ117" s="90">
        <f t="shared" si="91"/>
        <v>108.2092553662836</v>
      </c>
      <c r="AR117" s="10">
        <f t="shared" si="92"/>
        <v>27104.590163934427</v>
      </c>
      <c r="AS117" s="10">
        <f t="shared" si="93"/>
        <v>43180.459016393441</v>
      </c>
      <c r="AT117" s="60">
        <f t="shared" si="94"/>
        <v>34340.062235666293</v>
      </c>
      <c r="AU117" s="85">
        <f t="shared" si="95"/>
        <v>28584.373072878676</v>
      </c>
      <c r="AV117" s="85">
        <f t="shared" si="54"/>
        <v>34340.062235666293</v>
      </c>
      <c r="AW117" s="10"/>
      <c r="AX117" s="60">
        <f t="shared" si="65"/>
        <v>992.875</v>
      </c>
      <c r="AZ117" s="99">
        <f t="shared" ca="1" si="46"/>
        <v>118.7813686026452</v>
      </c>
      <c r="BA117" s="99">
        <f t="shared" ca="1" si="47"/>
        <v>148.90457112152265</v>
      </c>
      <c r="BB117" s="100">
        <f t="shared" ca="1" si="48"/>
        <v>49202.837004118846</v>
      </c>
      <c r="BC117" s="100">
        <f t="shared" ca="1" si="49"/>
        <v>61680.778966014906</v>
      </c>
    </row>
    <row r="118" spans="1:55" ht="11.4" x14ac:dyDescent="0.25">
      <c r="A118" s="1"/>
      <c r="B118" s="1">
        <v>62</v>
      </c>
      <c r="C118" s="66"/>
      <c r="D118" s="83">
        <f t="shared" si="55"/>
        <v>0</v>
      </c>
      <c r="E118" s="83">
        <f t="shared" si="56"/>
        <v>0</v>
      </c>
      <c r="F118" s="90">
        <f t="shared" si="66"/>
        <v>3.5242723849449997</v>
      </c>
      <c r="G118" s="90">
        <f t="shared" si="67"/>
        <v>3.5242723849449997</v>
      </c>
      <c r="H118" s="10">
        <f t="shared" si="68"/>
        <v>1709.8064516129032</v>
      </c>
      <c r="I118" s="10">
        <f t="shared" si="69"/>
        <v>2723.8709677419356</v>
      </c>
      <c r="J118" s="60">
        <f t="shared" si="70"/>
        <v>62.381239963348271</v>
      </c>
      <c r="K118" s="85">
        <f t="shared" si="71"/>
        <v>61.757427563714785</v>
      </c>
      <c r="L118" s="85">
        <f t="shared" si="50"/>
        <v>62.381239963348271</v>
      </c>
      <c r="M118" s="83">
        <f t="shared" si="57"/>
        <v>0.46277290161127677</v>
      </c>
      <c r="N118" s="83">
        <f t="shared" si="58"/>
        <v>0.29378872521355914</v>
      </c>
      <c r="O118" s="90">
        <f t="shared" si="72"/>
        <v>27.57987720046745</v>
      </c>
      <c r="P118" s="90">
        <f t="shared" si="73"/>
        <v>27.57987720046745</v>
      </c>
      <c r="Q118" s="10">
        <f t="shared" si="74"/>
        <v>11614.516129032258</v>
      </c>
      <c r="R118" s="10">
        <f t="shared" si="75"/>
        <v>18503.629032258064</v>
      </c>
      <c r="S118" s="60">
        <f t="shared" si="76"/>
        <v>9030.8324741328106</v>
      </c>
      <c r="T118" s="85">
        <f t="shared" si="77"/>
        <v>8940.5241493914818</v>
      </c>
      <c r="U118" s="85">
        <f t="shared" si="51"/>
        <v>9030.8324741328106</v>
      </c>
      <c r="V118" s="83">
        <f t="shared" si="59"/>
        <v>1.3254116215090825</v>
      </c>
      <c r="W118" s="83">
        <f t="shared" si="60"/>
        <v>0.84073369840232692</v>
      </c>
      <c r="X118" s="90">
        <f t="shared" si="78"/>
        <v>87.878691869632164</v>
      </c>
      <c r="Y118" s="90">
        <f t="shared" si="79"/>
        <v>87.878691869632164</v>
      </c>
      <c r="Z118" s="10">
        <f t="shared" si="80"/>
        <v>24542.33870967742</v>
      </c>
      <c r="AA118" s="10">
        <f t="shared" si="81"/>
        <v>39098.951612903227</v>
      </c>
      <c r="AB118" s="60">
        <f t="shared" si="82"/>
        <v>23963.873569198753</v>
      </c>
      <c r="AC118" s="85">
        <f t="shared" si="83"/>
        <v>23724.234833506765</v>
      </c>
      <c r="AD118" s="85">
        <f t="shared" si="52"/>
        <v>23963.873569198753</v>
      </c>
      <c r="AE118" s="83">
        <f t="shared" si="61"/>
        <v>2.7744613862373058</v>
      </c>
      <c r="AF118" s="83">
        <f t="shared" si="62"/>
        <v>2.1565913928024858</v>
      </c>
      <c r="AG118" s="90">
        <f t="shared" si="84"/>
        <v>118.7813686026452</v>
      </c>
      <c r="AH118" s="90">
        <f t="shared" si="85"/>
        <v>146.50288449053033</v>
      </c>
      <c r="AI118" s="10">
        <f t="shared" si="86"/>
        <v>46272.580645161288</v>
      </c>
      <c r="AJ118" s="10">
        <f t="shared" si="87"/>
        <v>73717.741935483864</v>
      </c>
      <c r="AK118" s="60">
        <f t="shared" si="88"/>
        <v>59890.261028572197</v>
      </c>
      <c r="AL118" s="85">
        <f t="shared" si="89"/>
        <v>48557.727690360225</v>
      </c>
      <c r="AM118" s="85">
        <f t="shared" si="53"/>
        <v>59890.261028572197</v>
      </c>
      <c r="AN118" s="83">
        <f t="shared" si="63"/>
        <v>1.587135296508434</v>
      </c>
      <c r="AO118" s="83">
        <f t="shared" si="64"/>
        <v>1.1842660029389118</v>
      </c>
      <c r="AP118" s="90">
        <f t="shared" si="90"/>
        <v>90.072455434157561</v>
      </c>
      <c r="AQ118" s="90">
        <f t="shared" si="91"/>
        <v>106.46394479585967</v>
      </c>
      <c r="AR118" s="10">
        <f t="shared" si="92"/>
        <v>26667.419354838708</v>
      </c>
      <c r="AS118" s="10">
        <f t="shared" si="93"/>
        <v>42484</v>
      </c>
      <c r="AT118" s="60">
        <f t="shared" si="94"/>
        <v>33343.212026628935</v>
      </c>
      <c r="AU118" s="85">
        <f t="shared" si="95"/>
        <v>28209.597014828985</v>
      </c>
      <c r="AV118" s="85">
        <f t="shared" si="54"/>
        <v>33343.212026628935</v>
      </c>
      <c r="AW118" s="10"/>
      <c r="AX118" s="60">
        <f t="shared" si="65"/>
        <v>1009.625</v>
      </c>
      <c r="AZ118" s="99">
        <f t="shared" ca="1" si="46"/>
        <v>118.7813686026452</v>
      </c>
      <c r="BA118" s="99">
        <f t="shared" ca="1" si="47"/>
        <v>146.50288449053033</v>
      </c>
      <c r="BB118" s="100">
        <f t="shared" ca="1" si="48"/>
        <v>48557.727690360225</v>
      </c>
      <c r="BC118" s="100">
        <f t="shared" ca="1" si="49"/>
        <v>59890.261028572197</v>
      </c>
    </row>
    <row r="119" spans="1:55" ht="11.4" x14ac:dyDescent="0.25">
      <c r="A119" s="1"/>
      <c r="B119" s="1">
        <v>63</v>
      </c>
      <c r="C119" s="66"/>
      <c r="D119" s="83">
        <f t="shared" si="55"/>
        <v>0</v>
      </c>
      <c r="E119" s="83">
        <f t="shared" si="56"/>
        <v>0</v>
      </c>
      <c r="F119" s="90">
        <f t="shared" si="66"/>
        <v>3.4683315534379364</v>
      </c>
      <c r="G119" s="90">
        <f t="shared" si="67"/>
        <v>3.4683315534379364</v>
      </c>
      <c r="H119" s="10">
        <f t="shared" si="68"/>
        <v>1682.6666666666667</v>
      </c>
      <c r="I119" s="10">
        <f t="shared" si="69"/>
        <v>2680.6349206349205</v>
      </c>
      <c r="J119" s="60">
        <f t="shared" si="70"/>
        <v>59.935185411334473</v>
      </c>
      <c r="K119" s="85">
        <f t="shared" si="71"/>
        <v>59.335833557221129</v>
      </c>
      <c r="L119" s="85">
        <f t="shared" si="50"/>
        <v>59.935185411334473</v>
      </c>
      <c r="M119" s="83">
        <f t="shared" si="57"/>
        <v>0.4487650629346504</v>
      </c>
      <c r="N119" s="83">
        <f t="shared" si="58"/>
        <v>0.28491347861551836</v>
      </c>
      <c r="O119" s="90">
        <f t="shared" si="72"/>
        <v>27.142101371888604</v>
      </c>
      <c r="P119" s="90">
        <f t="shared" si="73"/>
        <v>27.142101371888604</v>
      </c>
      <c r="Q119" s="10">
        <f t="shared" si="74"/>
        <v>11430.15873015873</v>
      </c>
      <c r="R119" s="10">
        <f t="shared" si="75"/>
        <v>18209.920634920636</v>
      </c>
      <c r="S119" s="60">
        <f t="shared" si="76"/>
        <v>8805.3898212166641</v>
      </c>
      <c r="T119" s="85">
        <f t="shared" si="77"/>
        <v>8717.3359230044971</v>
      </c>
      <c r="U119" s="85">
        <f t="shared" si="51"/>
        <v>8805.3898212166641</v>
      </c>
      <c r="V119" s="83">
        <f t="shared" si="59"/>
        <v>1.2808289493183167</v>
      </c>
      <c r="W119" s="83">
        <f t="shared" si="60"/>
        <v>0.81247287229004517</v>
      </c>
      <c r="X119" s="90">
        <f t="shared" si="78"/>
        <v>86.483791998685618</v>
      </c>
      <c r="Y119" s="90">
        <f t="shared" si="79"/>
        <v>86.483791998685618</v>
      </c>
      <c r="Z119" s="10">
        <f t="shared" si="80"/>
        <v>24152.777777777777</v>
      </c>
      <c r="AA119" s="10">
        <f t="shared" si="81"/>
        <v>38478.333333333336</v>
      </c>
      <c r="AB119" s="60">
        <f t="shared" si="82"/>
        <v>23209.153439153441</v>
      </c>
      <c r="AC119" s="85">
        <f t="shared" si="83"/>
        <v>22977.061904761907</v>
      </c>
      <c r="AD119" s="85">
        <f t="shared" si="52"/>
        <v>23209.153439153441</v>
      </c>
      <c r="AE119" s="83">
        <f t="shared" si="61"/>
        <v>2.7369182869778745</v>
      </c>
      <c r="AF119" s="83">
        <f t="shared" si="62"/>
        <v>2.0933008152006538</v>
      </c>
      <c r="AG119" s="90">
        <f t="shared" si="84"/>
        <v>118.7813686026452</v>
      </c>
      <c r="AH119" s="90">
        <f t="shared" si="85"/>
        <v>144.17744187956956</v>
      </c>
      <c r="AI119" s="10">
        <f t="shared" si="86"/>
        <v>45538.095238095237</v>
      </c>
      <c r="AJ119" s="10">
        <f t="shared" si="87"/>
        <v>72547.619047619053</v>
      </c>
      <c r="AK119" s="60">
        <f t="shared" si="88"/>
        <v>58179.13624324018</v>
      </c>
      <c r="AL119" s="85">
        <f t="shared" si="89"/>
        <v>47931.197398163036</v>
      </c>
      <c r="AM119" s="85">
        <f t="shared" si="53"/>
        <v>58179.13624324018</v>
      </c>
      <c r="AN119" s="83">
        <f t="shared" si="63"/>
        <v>1.5649120195989035</v>
      </c>
      <c r="AO119" s="83">
        <f t="shared" si="64"/>
        <v>1.1487557362829517</v>
      </c>
      <c r="AP119" s="90">
        <f t="shared" si="90"/>
        <v>90.072455434157561</v>
      </c>
      <c r="AQ119" s="90">
        <f t="shared" si="91"/>
        <v>104.7740409102111</v>
      </c>
      <c r="AR119" s="10">
        <f t="shared" si="92"/>
        <v>26244.126984126986</v>
      </c>
      <c r="AS119" s="10">
        <f t="shared" si="93"/>
        <v>41809.650793650791</v>
      </c>
      <c r="AT119" s="60">
        <f t="shared" si="94"/>
        <v>32390.563039273104</v>
      </c>
      <c r="AU119" s="85">
        <f t="shared" si="95"/>
        <v>27845.61443365943</v>
      </c>
      <c r="AV119" s="85">
        <f t="shared" si="54"/>
        <v>32390.563039273104</v>
      </c>
      <c r="AW119" s="10"/>
      <c r="AX119" s="60">
        <f t="shared" si="65"/>
        <v>1026.5</v>
      </c>
      <c r="AZ119" s="99">
        <f t="shared" ca="1" si="46"/>
        <v>118.7813686026452</v>
      </c>
      <c r="BA119" s="99">
        <f t="shared" ca="1" si="47"/>
        <v>144.17744187956956</v>
      </c>
      <c r="BB119" s="100">
        <f t="shared" ca="1" si="48"/>
        <v>47931.197398163036</v>
      </c>
      <c r="BC119" s="100">
        <f t="shared" ca="1" si="49"/>
        <v>58179.13624324018</v>
      </c>
    </row>
    <row r="120" spans="1:55" ht="11.4" x14ac:dyDescent="0.25">
      <c r="A120" s="1"/>
      <c r="B120" s="1">
        <v>64</v>
      </c>
      <c r="C120" s="66"/>
      <c r="D120" s="83">
        <f t="shared" ref="D120:D151" si="96">MAX((K120-$AX120)/M_empty*3.6,0)</f>
        <v>0</v>
      </c>
      <c r="E120" s="83">
        <f t="shared" ref="E120:E151" si="97">MAX((L120-$AX120)/M_full*3.6,0)</f>
        <v>0</v>
      </c>
      <c r="F120" s="90">
        <f t="shared" si="66"/>
        <v>3.4141388729154687</v>
      </c>
      <c r="G120" s="90">
        <f t="shared" si="67"/>
        <v>3.4141388729154687</v>
      </c>
      <c r="H120" s="10">
        <f t="shared" si="68"/>
        <v>1656.375</v>
      </c>
      <c r="I120" s="10">
        <f t="shared" si="69"/>
        <v>2638.75</v>
      </c>
      <c r="J120" s="60">
        <f t="shared" si="70"/>
        <v>57.621331793238028</v>
      </c>
      <c r="K120" s="85">
        <f t="shared" si="71"/>
        <v>57.045118475305649</v>
      </c>
      <c r="L120" s="85">
        <f t="shared" si="50"/>
        <v>57.621331793238028</v>
      </c>
      <c r="M120" s="83">
        <f t="shared" ref="M120:M151" si="98">MAX((T120-$AX120)/M_empty*3.6,0)</f>
        <v>0.43526524273200845</v>
      </c>
      <c r="N120" s="83">
        <f t="shared" ref="N120:N151" si="99">MAX((U120-$AX120)/M_full*3.6,0)</f>
        <v>0.2763604270809159</v>
      </c>
      <c r="O120" s="90">
        <f t="shared" si="72"/>
        <v>26.718006037952843</v>
      </c>
      <c r="P120" s="90">
        <f t="shared" si="73"/>
        <v>26.718006037952843</v>
      </c>
      <c r="Q120" s="10">
        <f t="shared" si="74"/>
        <v>11251.5625</v>
      </c>
      <c r="R120" s="10">
        <f t="shared" si="75"/>
        <v>17925.390625</v>
      </c>
      <c r="S120" s="60">
        <f t="shared" si="76"/>
        <v>8588.9939437693574</v>
      </c>
      <c r="T120" s="85">
        <f t="shared" si="77"/>
        <v>8503.1040043316643</v>
      </c>
      <c r="U120" s="85">
        <f t="shared" si="51"/>
        <v>8588.9939437693574</v>
      </c>
      <c r="V120" s="83">
        <f t="shared" ref="V120:V151" si="100">MAX((AC120-$AX120)/M_empty*3.6,0)</f>
        <v>1.2382593373342174</v>
      </c>
      <c r="W120" s="83">
        <f t="shared" ref="W120:W151" si="101">MAX((AD120-$AX120)/M_full*3.6,0)</f>
        <v>0.7854884935731945</v>
      </c>
      <c r="X120" s="90">
        <f t="shared" si="78"/>
        <v>85.132482748706153</v>
      </c>
      <c r="Y120" s="90">
        <f t="shared" si="79"/>
        <v>85.132482748706153</v>
      </c>
      <c r="Z120" s="10">
        <f t="shared" si="80"/>
        <v>23775.390625</v>
      </c>
      <c r="AA120" s="10">
        <f t="shared" si="81"/>
        <v>37877.109375</v>
      </c>
      <c r="AB120" s="60">
        <f t="shared" si="82"/>
        <v>22489.53369140625</v>
      </c>
      <c r="AC120" s="85">
        <f t="shared" si="83"/>
        <v>22264.638354492188</v>
      </c>
      <c r="AD120" s="85">
        <f t="shared" si="52"/>
        <v>22489.53369140625</v>
      </c>
      <c r="AE120" s="83">
        <f t="shared" ref="AE120:AE151" si="102">MAX((AL120-$AX120)/M_empty*3.6,0)</f>
        <v>2.7003969999483965</v>
      </c>
      <c r="AF120" s="83">
        <f t="shared" ref="AF120:AF151" si="103">MAX((AM120-$AX120)/M_full*3.6,0)</f>
        <v>2.0327368934363919</v>
      </c>
      <c r="AG120" s="90">
        <f t="shared" si="84"/>
        <v>118.7813686026452</v>
      </c>
      <c r="AH120" s="90">
        <f t="shared" si="85"/>
        <v>141.92466935020127</v>
      </c>
      <c r="AI120" s="10">
        <f t="shared" si="86"/>
        <v>44826.5625</v>
      </c>
      <c r="AJ120" s="10">
        <f t="shared" si="87"/>
        <v>71414.0625</v>
      </c>
      <c r="AK120" s="60">
        <f t="shared" si="88"/>
        <v>56542.706357615629</v>
      </c>
      <c r="AL120" s="85">
        <f t="shared" si="89"/>
        <v>47322.428696893403</v>
      </c>
      <c r="AM120" s="85">
        <f t="shared" si="53"/>
        <v>56542.706357615629</v>
      </c>
      <c r="AN120" s="83">
        <f t="shared" ref="AN120:AN151" si="104">MAX((AU120-$AX120)/M_empty*3.6,0)</f>
        <v>1.5432762512295437</v>
      </c>
      <c r="AO120" s="83">
        <f t="shared" ref="AO120:AO151" si="105">MAX((AV120-$AX120)/M_full*3.6,0)</f>
        <v>1.1147594450348639</v>
      </c>
      <c r="AP120" s="90">
        <f t="shared" si="90"/>
        <v>90.072455434157561</v>
      </c>
      <c r="AQ120" s="90">
        <f t="shared" si="91"/>
        <v>103.13694652098906</v>
      </c>
      <c r="AR120" s="10">
        <f t="shared" si="92"/>
        <v>25834.0625</v>
      </c>
      <c r="AS120" s="10">
        <f t="shared" si="93"/>
        <v>41156.375</v>
      </c>
      <c r="AT120" s="60">
        <f t="shared" si="94"/>
        <v>31479.499575765069</v>
      </c>
      <c r="AU120" s="85">
        <f t="shared" si="95"/>
        <v>27491.950443293867</v>
      </c>
      <c r="AV120" s="85">
        <f t="shared" si="54"/>
        <v>31479.499575765069</v>
      </c>
      <c r="AW120" s="10"/>
      <c r="AX120" s="60">
        <f t="shared" ref="AX120:AX151" si="106">ROUND(RunningResistanceFactor_a*(Speed^2)+RunningResistanceFactor_b*Speed+RunningResistanceFactor_c,0)/(MotorcarCount+TrailerCount)</f>
        <v>1043.625</v>
      </c>
      <c r="AZ120" s="99">
        <f t="shared" ca="1" si="46"/>
        <v>118.7813686026452</v>
      </c>
      <c r="BA120" s="99">
        <f t="shared" ca="1" si="47"/>
        <v>141.92466935020127</v>
      </c>
      <c r="BB120" s="100">
        <f t="shared" ca="1" si="48"/>
        <v>47322.428696893403</v>
      </c>
      <c r="BC120" s="100">
        <f t="shared" ca="1" si="49"/>
        <v>56542.706357615629</v>
      </c>
    </row>
    <row r="121" spans="1:55" ht="11.4" x14ac:dyDescent="0.25">
      <c r="A121" s="1"/>
      <c r="B121" s="1">
        <v>65</v>
      </c>
      <c r="C121" s="66"/>
      <c r="D121" s="83">
        <f t="shared" si="96"/>
        <v>0</v>
      </c>
      <c r="E121" s="83">
        <f t="shared" si="97"/>
        <v>0</v>
      </c>
      <c r="F121" s="90">
        <f t="shared" ref="F121:F152" si="107">MIN(E$41*E$45/Speed,F$56)</f>
        <v>3.3616136594859998</v>
      </c>
      <c r="G121" s="90">
        <f t="shared" ref="G121:G152" si="108">MIN(E$41*E$45/Speed,G$56)</f>
        <v>3.3616136594859998</v>
      </c>
      <c r="H121" s="10">
        <f t="shared" ref="H121:H152" si="109">D$39*D$40/Speed</f>
        <v>1630.8923076923077</v>
      </c>
      <c r="I121" s="10">
        <f t="shared" ref="I121:I152" si="110">E$39*E$40/Speed</f>
        <v>2598.1538461538462</v>
      </c>
      <c r="J121" s="60">
        <f t="shared" ref="J121:J152" si="111">(E$39*E$40/Speed)*(E$45^(E$47-1)/Speed^(E$47-1))</f>
        <v>55.430632626341236</v>
      </c>
      <c r="K121" s="85">
        <f t="shared" ref="K121:K152" si="112">MIN(D$39,MAX(H121,L121*F121/G121),J121*D$46)</f>
        <v>54.876326300077821</v>
      </c>
      <c r="L121" s="85">
        <f t="shared" si="50"/>
        <v>55.430632626341236</v>
      </c>
      <c r="M121" s="83">
        <f t="shared" si="98"/>
        <v>0.42225208067226766</v>
      </c>
      <c r="N121" s="83">
        <f t="shared" si="99"/>
        <v>0.26811598112128388</v>
      </c>
      <c r="O121" s="90">
        <f t="shared" ref="O121:O152" si="113">MIN(N$41*N$45/Speed,O$56)</f>
        <v>26.306959791215107</v>
      </c>
      <c r="P121" s="90">
        <f t="shared" ref="P121:P152" si="114">MIN(N$41*N$45/Speed,P$56)</f>
        <v>26.306959791215107</v>
      </c>
      <c r="Q121" s="10">
        <f t="shared" ref="Q121:Q152" si="115">M$39*M$40/Speed</f>
        <v>11078.461538461539</v>
      </c>
      <c r="R121" s="10">
        <f t="shared" ref="R121:R152" si="116">N$39*N$40/Speed</f>
        <v>17649.615384615383</v>
      </c>
      <c r="S121" s="60">
        <f t="shared" ref="S121:S152" si="117">(N$39*N$40/Speed)*(N$45^(N$47-1)/Speed^(N$47-1))</f>
        <v>8381.1488128945639</v>
      </c>
      <c r="T121" s="85">
        <f t="shared" ref="T121:T152" si="118">MIN(M$39,MAX(Q121,U121*O121/P121),S121*M$46)</f>
        <v>8297.3373247656182</v>
      </c>
      <c r="U121" s="85">
        <f t="shared" si="51"/>
        <v>8381.1488128945639</v>
      </c>
      <c r="V121" s="83">
        <f t="shared" si="100"/>
        <v>1.1975862659668175</v>
      </c>
      <c r="W121" s="83">
        <f t="shared" si="101"/>
        <v>0.75970663826046303</v>
      </c>
      <c r="X121" s="90">
        <f t="shared" ref="X121:X152" si="119">MIN(W$41*W$45/Speed,X$56)</f>
        <v>83.822752244879908</v>
      </c>
      <c r="Y121" s="90">
        <f t="shared" ref="Y121:Y152" si="120">MIN(W$41*W$45/Speed,Y$56)</f>
        <v>83.822752244879908</v>
      </c>
      <c r="Z121" s="10">
        <f t="shared" ref="Z121:Z152" si="121">V$39*V$40/Speed</f>
        <v>23409.615384615383</v>
      </c>
      <c r="AA121" s="10">
        <f t="shared" ref="AA121:AA152" si="122">W$39*W$40/Speed</f>
        <v>37294.384615384617</v>
      </c>
      <c r="AB121" s="60">
        <f t="shared" ref="AB121:AB152" si="123">(W$39*W$40/Speed)*(W$45^(W$47-1)/Speed^(W$47-1))</f>
        <v>21802.871005917161</v>
      </c>
      <c r="AC121" s="85">
        <f t="shared" ref="AC121:AC152" si="124">MIN(V$39,MAX(Z121,AD121*X121/Y121),AB121*V$46)</f>
        <v>21584.84229585799</v>
      </c>
      <c r="AD121" s="85">
        <f t="shared" si="52"/>
        <v>21802.871005917161</v>
      </c>
      <c r="AE121" s="83">
        <f t="shared" si="102"/>
        <v>2.6648599225272016</v>
      </c>
      <c r="AF121" s="83">
        <f t="shared" si="103"/>
        <v>1.97474478339169</v>
      </c>
      <c r="AG121" s="90">
        <f t="shared" ref="AG121:AG152" si="125">MIN(AF$41*AF$45/Speed,AG$56)</f>
        <v>118.7813686026452</v>
      </c>
      <c r="AH121" s="90">
        <f t="shared" ref="AH121:AH152" si="126">MIN(AF$41*AF$45/Speed,AH$56)</f>
        <v>139.74121289865971</v>
      </c>
      <c r="AI121" s="10">
        <f t="shared" ref="AI121:AI152" si="127">AE$39*AE$40/Speed</f>
        <v>44136.923076923078</v>
      </c>
      <c r="AJ121" s="10">
        <f t="shared" ref="AJ121:AJ152" si="128">AF$39*AF$40/Speed</f>
        <v>70315.38461538461</v>
      </c>
      <c r="AK121" s="60">
        <f t="shared" ref="AK121:AK152" si="129">(AF$39*AF$40/Speed)*(AF$45^(AF$47-1)/Speed^(AF$47-1))</f>
        <v>54976.618718660422</v>
      </c>
      <c r="AL121" s="85">
        <f t="shared" ref="AL121:AL152" si="130">MIN(AE$39,MAX(AI121,AM121*AG121/AH121),AK121*AE$46)</f>
        <v>46730.652161177284</v>
      </c>
      <c r="AM121" s="85">
        <f t="shared" si="53"/>
        <v>54976.618718660422</v>
      </c>
      <c r="AN121" s="83">
        <f t="shared" si="104"/>
        <v>1.5222092026495997</v>
      </c>
      <c r="AO121" s="83">
        <f t="shared" si="105"/>
        <v>1.0821929509076009</v>
      </c>
      <c r="AP121" s="90">
        <f t="shared" ref="AP121:AP152" si="131">MIN(AO$41*AO$45/Speed,AP$56)</f>
        <v>90.072455434157561</v>
      </c>
      <c r="AQ121" s="90">
        <f t="shared" ref="AQ121:AQ152" si="132">MIN(AO$41*AO$45/Speed,AQ$56)</f>
        <v>101.55022426682</v>
      </c>
      <c r="AR121" s="10">
        <f t="shared" ref="AR121:AR152" si="133">AN$39*AN$40/Speed</f>
        <v>25436.615384615383</v>
      </c>
      <c r="AS121" s="10">
        <f t="shared" ref="AS121:AS152" si="134">AO$39*AO$40/Speed</f>
        <v>40523.199999999997</v>
      </c>
      <c r="AT121" s="60">
        <f t="shared" ref="AT121:AT152" si="135">(AO$39*AO$40/Speed)*(AO$45^(AO$47-1)/Speed^(AO$47-1))</f>
        <v>30607.598346731284</v>
      </c>
      <c r="AU121" s="85">
        <f t="shared" ref="AU121:AU152" si="136">MIN(AN$39,MAX(AR121,AV121*AP121/AQ121),AT121*AN$46)</f>
        <v>27148.158046297136</v>
      </c>
      <c r="AV121" s="85">
        <f t="shared" si="54"/>
        <v>30607.598346731284</v>
      </c>
      <c r="AW121" s="10"/>
      <c r="AX121" s="60">
        <f t="shared" si="106"/>
        <v>1060.875</v>
      </c>
      <c r="AZ121" s="99">
        <f t="shared" ref="AZ121:AZ184" ca="1" si="137">OFFSET(F121,0,($AZ$32-1)*9)</f>
        <v>118.7813686026452</v>
      </c>
      <c r="BA121" s="99">
        <f t="shared" ref="BA121:BA184" ca="1" si="138">OFFSET(G121,0,($AZ$32-1)*9)</f>
        <v>139.74121289865971</v>
      </c>
      <c r="BB121" s="100">
        <f t="shared" ref="BB121:BB184" ca="1" si="139">OFFSET(K121,0,($AZ$32-1)*9)</f>
        <v>46730.652161177284</v>
      </c>
      <c r="BC121" s="100">
        <f t="shared" ref="BC121:BC184" ca="1" si="140">OFFSET(L121,0,($AZ$32-1)*9)</f>
        <v>54976.618718660422</v>
      </c>
    </row>
    <row r="122" spans="1:55" ht="11.4" x14ac:dyDescent="0.25">
      <c r="A122" s="1"/>
      <c r="B122" s="1">
        <v>66</v>
      </c>
      <c r="C122" s="66"/>
      <c r="D122" s="83">
        <f t="shared" si="96"/>
        <v>0</v>
      </c>
      <c r="E122" s="83">
        <f t="shared" si="97"/>
        <v>0</v>
      </c>
      <c r="F122" s="90">
        <f t="shared" si="107"/>
        <v>3.3106801191907573</v>
      </c>
      <c r="G122" s="90">
        <f t="shared" si="108"/>
        <v>3.3106801191907573</v>
      </c>
      <c r="H122" s="10">
        <f t="shared" si="109"/>
        <v>1606.1818181818182</v>
      </c>
      <c r="I122" s="10">
        <f t="shared" si="110"/>
        <v>2558.787878787879</v>
      </c>
      <c r="J122" s="60">
        <f t="shared" si="111"/>
        <v>53.354786689204502</v>
      </c>
      <c r="K122" s="85">
        <f t="shared" si="112"/>
        <v>52.821238822312459</v>
      </c>
      <c r="L122" s="85">
        <f t="shared" si="50"/>
        <v>53.354786689204502</v>
      </c>
      <c r="M122" s="83">
        <f t="shared" si="98"/>
        <v>0.40969160836902579</v>
      </c>
      <c r="N122" s="83">
        <f t="shared" si="99"/>
        <v>0.26015864976416986</v>
      </c>
      <c r="O122" s="90">
        <f t="shared" si="113"/>
        <v>25.908369491348211</v>
      </c>
      <c r="P122" s="90">
        <f t="shared" si="114"/>
        <v>25.908369491348211</v>
      </c>
      <c r="Q122" s="10">
        <f t="shared" si="115"/>
        <v>10910.60606060606</v>
      </c>
      <c r="R122" s="10">
        <f t="shared" si="116"/>
        <v>17382.196969696968</v>
      </c>
      <c r="S122" s="60">
        <f t="shared" si="117"/>
        <v>8181.3926683320469</v>
      </c>
      <c r="T122" s="85">
        <f t="shared" si="118"/>
        <v>8099.5787416487265</v>
      </c>
      <c r="U122" s="85">
        <f t="shared" si="51"/>
        <v>8181.3926683320469</v>
      </c>
      <c r="V122" s="83">
        <f t="shared" si="100"/>
        <v>1.1586879361561679</v>
      </c>
      <c r="W122" s="83">
        <f t="shared" si="101"/>
        <v>0.73505012747172627</v>
      </c>
      <c r="X122" s="90">
        <f t="shared" si="119"/>
        <v>82.552710544199911</v>
      </c>
      <c r="Y122" s="90">
        <f t="shared" si="120"/>
        <v>82.552710544199911</v>
      </c>
      <c r="Z122" s="10">
        <f t="shared" si="121"/>
        <v>23054.924242424244</v>
      </c>
      <c r="AA122" s="10">
        <f t="shared" si="122"/>
        <v>36729.318181818184</v>
      </c>
      <c r="AB122" s="60">
        <f t="shared" si="123"/>
        <v>21147.18319559229</v>
      </c>
      <c r="AC122" s="85">
        <f t="shared" si="124"/>
        <v>20935.711363636368</v>
      </c>
      <c r="AD122" s="85">
        <f t="shared" si="52"/>
        <v>21147.18319559229</v>
      </c>
      <c r="AE122" s="83">
        <f t="shared" si="102"/>
        <v>2.6302574610638514</v>
      </c>
      <c r="AF122" s="83">
        <f t="shared" si="103"/>
        <v>1.9191720347379244</v>
      </c>
      <c r="AG122" s="90">
        <f t="shared" si="125"/>
        <v>118.7813686026452</v>
      </c>
      <c r="AH122" s="90">
        <f t="shared" si="126"/>
        <v>137.62392179413456</v>
      </c>
      <c r="AI122" s="10">
        <f t="shared" si="127"/>
        <v>43468.181818181816</v>
      </c>
      <c r="AJ122" s="10">
        <f t="shared" si="128"/>
        <v>69250</v>
      </c>
      <c r="AK122" s="60">
        <f t="shared" si="129"/>
        <v>53476.836030103666</v>
      </c>
      <c r="AL122" s="85">
        <f t="shared" si="130"/>
        <v>46155.142866054273</v>
      </c>
      <c r="AM122" s="85">
        <f t="shared" si="53"/>
        <v>53476.836030103666</v>
      </c>
      <c r="AN122" s="83">
        <f t="shared" si="104"/>
        <v>1.5016790059622775</v>
      </c>
      <c r="AO122" s="83">
        <f t="shared" si="105"/>
        <v>1.0509693495495174</v>
      </c>
      <c r="AP122" s="90">
        <f t="shared" si="131"/>
        <v>90.072455434157561</v>
      </c>
      <c r="AQ122" s="90">
        <f t="shared" si="132"/>
        <v>100.01158450520151</v>
      </c>
      <c r="AR122" s="10">
        <f t="shared" si="133"/>
        <v>25051.21212121212</v>
      </c>
      <c r="AS122" s="10">
        <f t="shared" si="134"/>
        <v>39909.21212121212</v>
      </c>
      <c r="AT122" s="60">
        <f t="shared" si="135"/>
        <v>29772.611634040913</v>
      </c>
      <c r="AU122" s="85">
        <f t="shared" si="136"/>
        <v>26813.816097735744</v>
      </c>
      <c r="AV122" s="85">
        <f t="shared" si="54"/>
        <v>29772.611634040913</v>
      </c>
      <c r="AW122" s="10"/>
      <c r="AX122" s="60">
        <f t="shared" si="106"/>
        <v>1078.375</v>
      </c>
      <c r="AZ122" s="99">
        <f t="shared" ca="1" si="137"/>
        <v>118.7813686026452</v>
      </c>
      <c r="BA122" s="99">
        <f t="shared" ca="1" si="138"/>
        <v>137.62392179413456</v>
      </c>
      <c r="BB122" s="100">
        <f t="shared" ca="1" si="139"/>
        <v>46155.142866054273</v>
      </c>
      <c r="BC122" s="100">
        <f t="shared" ca="1" si="140"/>
        <v>53476.836030103666</v>
      </c>
    </row>
    <row r="123" spans="1:55" ht="11.4" x14ac:dyDescent="0.25">
      <c r="A123" s="1"/>
      <c r="B123" s="1">
        <v>67</v>
      </c>
      <c r="C123" s="66"/>
      <c r="D123" s="83">
        <f t="shared" si="96"/>
        <v>0</v>
      </c>
      <c r="E123" s="83">
        <f t="shared" si="97"/>
        <v>0</v>
      </c>
      <c r="F123" s="90">
        <f t="shared" si="107"/>
        <v>3.2612669830834329</v>
      </c>
      <c r="G123" s="90">
        <f t="shared" si="108"/>
        <v>3.2612669830834329</v>
      </c>
      <c r="H123" s="10">
        <f t="shared" si="109"/>
        <v>1582.2089552238806</v>
      </c>
      <c r="I123" s="10">
        <f t="shared" si="110"/>
        <v>2520.5970149253731</v>
      </c>
      <c r="J123" s="60">
        <f t="shared" si="111"/>
        <v>51.386166535928311</v>
      </c>
      <c r="K123" s="85">
        <f t="shared" si="112"/>
        <v>50.872304870569025</v>
      </c>
      <c r="L123" s="85">
        <f t="shared" si="50"/>
        <v>51.386166535928311</v>
      </c>
      <c r="M123" s="83">
        <f t="shared" si="98"/>
        <v>0.39756626054612959</v>
      </c>
      <c r="N123" s="83">
        <f t="shared" si="99"/>
        <v>0.25247724972681979</v>
      </c>
      <c r="O123" s="90">
        <f t="shared" si="113"/>
        <v>25.521677409387792</v>
      </c>
      <c r="P123" s="90">
        <f t="shared" si="114"/>
        <v>25.521677409387792</v>
      </c>
      <c r="Q123" s="10">
        <f t="shared" si="115"/>
        <v>10747.76119402985</v>
      </c>
      <c r="R123" s="10">
        <f t="shared" si="116"/>
        <v>17122.761194029852</v>
      </c>
      <c r="S123" s="60">
        <f t="shared" si="117"/>
        <v>7989.295176951181</v>
      </c>
      <c r="T123" s="85">
        <f t="shared" si="118"/>
        <v>7909.4022251816696</v>
      </c>
      <c r="U123" s="85">
        <f t="shared" si="51"/>
        <v>7989.295176951181</v>
      </c>
      <c r="V123" s="83">
        <f t="shared" si="100"/>
        <v>1.1214656174001638</v>
      </c>
      <c r="W123" s="83">
        <f t="shared" si="101"/>
        <v>0.71145631615778304</v>
      </c>
      <c r="X123" s="90">
        <f t="shared" si="119"/>
        <v>81.320580536077514</v>
      </c>
      <c r="Y123" s="90">
        <f t="shared" si="120"/>
        <v>81.320580536077514</v>
      </c>
      <c r="Z123" s="10">
        <f t="shared" si="121"/>
        <v>22710.820895522389</v>
      </c>
      <c r="AA123" s="10">
        <f t="shared" si="122"/>
        <v>36181.119402985074</v>
      </c>
      <c r="AB123" s="60">
        <f t="shared" si="123"/>
        <v>20520.634885275114</v>
      </c>
      <c r="AC123" s="85">
        <f t="shared" si="124"/>
        <v>20315.428536422362</v>
      </c>
      <c r="AD123" s="85">
        <f t="shared" si="52"/>
        <v>20520.634885275114</v>
      </c>
      <c r="AE123" s="83">
        <f t="shared" si="102"/>
        <v>2.5965570194452239</v>
      </c>
      <c r="AF123" s="83">
        <f t="shared" si="103"/>
        <v>1.8658859084258277</v>
      </c>
      <c r="AG123" s="90">
        <f t="shared" si="125"/>
        <v>118.7813686026452</v>
      </c>
      <c r="AH123" s="90">
        <f t="shared" si="126"/>
        <v>135.56983340914749</v>
      </c>
      <c r="AI123" s="10">
        <f t="shared" si="127"/>
        <v>42819.40298507463</v>
      </c>
      <c r="AJ123" s="10">
        <f t="shared" si="128"/>
        <v>68216.417910447766</v>
      </c>
      <c r="AK123" s="60">
        <f t="shared" si="129"/>
        <v>52039.609165616777</v>
      </c>
      <c r="AL123" s="85">
        <f t="shared" si="130"/>
        <v>45595.217186581263</v>
      </c>
      <c r="AM123" s="85">
        <f t="shared" si="53"/>
        <v>52039.609165616777</v>
      </c>
      <c r="AN123" s="83">
        <f t="shared" si="104"/>
        <v>1.4816697809464294</v>
      </c>
      <c r="AO123" s="83">
        <f t="shared" si="105"/>
        <v>1.0210167694156207</v>
      </c>
      <c r="AP123" s="90">
        <f t="shared" si="131"/>
        <v>90.072455434157561</v>
      </c>
      <c r="AQ123" s="90">
        <f t="shared" si="132"/>
        <v>98.518874288705959</v>
      </c>
      <c r="AR123" s="10">
        <f t="shared" si="133"/>
        <v>24677.313432835821</v>
      </c>
      <c r="AS123" s="10">
        <f t="shared" si="134"/>
        <v>39313.552238805969</v>
      </c>
      <c r="AT123" s="60">
        <f t="shared" si="135"/>
        <v>28972.452154854625</v>
      </c>
      <c r="AU123" s="85">
        <f t="shared" si="136"/>
        <v>26488.527445908585</v>
      </c>
      <c r="AV123" s="85">
        <f t="shared" si="54"/>
        <v>28972.452154854625</v>
      </c>
      <c r="AW123" s="10"/>
      <c r="AX123" s="60">
        <f t="shared" si="106"/>
        <v>1096</v>
      </c>
      <c r="AZ123" s="99">
        <f t="shared" ca="1" si="137"/>
        <v>118.7813686026452</v>
      </c>
      <c r="BA123" s="99">
        <f t="shared" ca="1" si="138"/>
        <v>135.56983340914749</v>
      </c>
      <c r="BB123" s="100">
        <f t="shared" ca="1" si="139"/>
        <v>45595.217186581263</v>
      </c>
      <c r="BC123" s="100">
        <f t="shared" ca="1" si="140"/>
        <v>52039.609165616777</v>
      </c>
    </row>
    <row r="124" spans="1:55" ht="11.4" x14ac:dyDescent="0.25">
      <c r="A124" s="1"/>
      <c r="B124" s="1">
        <v>68</v>
      </c>
      <c r="C124" s="66"/>
      <c r="D124" s="83">
        <f t="shared" si="96"/>
        <v>0</v>
      </c>
      <c r="E124" s="83">
        <f t="shared" si="97"/>
        <v>0</v>
      </c>
      <c r="F124" s="90">
        <f t="shared" si="107"/>
        <v>3.2133071745086763</v>
      </c>
      <c r="G124" s="90">
        <f t="shared" si="108"/>
        <v>3.2133071745086763</v>
      </c>
      <c r="H124" s="10">
        <f t="shared" si="109"/>
        <v>1558.9411764705883</v>
      </c>
      <c r="I124" s="10">
        <f t="shared" si="110"/>
        <v>2483.5294117647059</v>
      </c>
      <c r="J124" s="60">
        <f t="shared" si="111"/>
        <v>49.517754807005041</v>
      </c>
      <c r="K124" s="85">
        <f t="shared" si="112"/>
        <v>49.022577258934987</v>
      </c>
      <c r="L124" s="85">
        <f t="shared" si="50"/>
        <v>49.517754807005041</v>
      </c>
      <c r="M124" s="83">
        <f t="shared" si="98"/>
        <v>0.38583825756778223</v>
      </c>
      <c r="N124" s="83">
        <f t="shared" si="99"/>
        <v>0.24504791980875185</v>
      </c>
      <c r="O124" s="90">
        <f t="shared" si="113"/>
        <v>25.146358623955617</v>
      </c>
      <c r="P124" s="90">
        <f t="shared" si="114"/>
        <v>25.146358623955617</v>
      </c>
      <c r="Q124" s="10">
        <f t="shared" si="115"/>
        <v>10589.705882352941</v>
      </c>
      <c r="R124" s="10">
        <f t="shared" si="116"/>
        <v>16870.955882352941</v>
      </c>
      <c r="S124" s="60">
        <f t="shared" si="117"/>
        <v>7804.454865011754</v>
      </c>
      <c r="T124" s="85">
        <f t="shared" si="118"/>
        <v>7726.4103163616364</v>
      </c>
      <c r="U124" s="85">
        <f t="shared" si="51"/>
        <v>7804.454865011754</v>
      </c>
      <c r="V124" s="83">
        <f t="shared" si="100"/>
        <v>1.0858064358594077</v>
      </c>
      <c r="W124" s="83">
        <f t="shared" si="101"/>
        <v>0.68885373060525557</v>
      </c>
      <c r="X124" s="90">
        <f t="shared" si="119"/>
        <v>80.124689645841087</v>
      </c>
      <c r="Y124" s="90">
        <f t="shared" si="120"/>
        <v>80.124689645841087</v>
      </c>
      <c r="Z124" s="10">
        <f t="shared" si="121"/>
        <v>22376.838235294119</v>
      </c>
      <c r="AA124" s="10">
        <f t="shared" si="122"/>
        <v>35649.044117647056</v>
      </c>
      <c r="AB124" s="60">
        <f t="shared" si="123"/>
        <v>19921.524653979239</v>
      </c>
      <c r="AC124" s="85">
        <f t="shared" si="124"/>
        <v>19722.309407439447</v>
      </c>
      <c r="AD124" s="85">
        <f t="shared" si="52"/>
        <v>19921.524653979239</v>
      </c>
      <c r="AE124" s="83">
        <f t="shared" si="102"/>
        <v>2.5637063591941844</v>
      </c>
      <c r="AF124" s="83">
        <f t="shared" si="103"/>
        <v>1.8147495885101506</v>
      </c>
      <c r="AG124" s="90">
        <f t="shared" si="125"/>
        <v>118.7813686026452</v>
      </c>
      <c r="AH124" s="90">
        <f t="shared" si="126"/>
        <v>133.57615938842471</v>
      </c>
      <c r="AI124" s="10">
        <f t="shared" si="127"/>
        <v>42189.705882352944</v>
      </c>
      <c r="AJ124" s="10">
        <f t="shared" si="128"/>
        <v>67213.23529411765</v>
      </c>
      <c r="AK124" s="60">
        <f t="shared" si="129"/>
        <v>50661.45268885234</v>
      </c>
      <c r="AL124" s="85">
        <f t="shared" si="130"/>
        <v>45050.229871345669</v>
      </c>
      <c r="AM124" s="85">
        <f t="shared" si="53"/>
        <v>50661.45268885234</v>
      </c>
      <c r="AN124" s="83">
        <f t="shared" si="104"/>
        <v>1.4621450667132252</v>
      </c>
      <c r="AO124" s="83">
        <f t="shared" si="105"/>
        <v>0.99225498102725951</v>
      </c>
      <c r="AP124" s="90">
        <f t="shared" si="131"/>
        <v>90.072455434157561</v>
      </c>
      <c r="AQ124" s="90">
        <f t="shared" si="132"/>
        <v>97.070067313872059</v>
      </c>
      <c r="AR124" s="10">
        <f t="shared" si="133"/>
        <v>24314.411764705881</v>
      </c>
      <c r="AS124" s="10">
        <f t="shared" si="134"/>
        <v>38735.411764705881</v>
      </c>
      <c r="AT124" s="60">
        <f t="shared" si="135"/>
        <v>28205.179432688561</v>
      </c>
      <c r="AU124" s="85">
        <f t="shared" si="136"/>
        <v>26171.917232205316</v>
      </c>
      <c r="AV124" s="85">
        <f t="shared" si="54"/>
        <v>28205.179432688561</v>
      </c>
      <c r="AW124" s="10"/>
      <c r="AX124" s="60">
        <f t="shared" si="106"/>
        <v>1114</v>
      </c>
      <c r="AZ124" s="99">
        <f t="shared" ca="1" si="137"/>
        <v>118.7813686026452</v>
      </c>
      <c r="BA124" s="99">
        <f t="shared" ca="1" si="138"/>
        <v>133.57615938842471</v>
      </c>
      <c r="BB124" s="100">
        <f t="shared" ca="1" si="139"/>
        <v>45050.229871345669</v>
      </c>
      <c r="BC124" s="100">
        <f t="shared" ca="1" si="140"/>
        <v>50661.45268885234</v>
      </c>
    </row>
    <row r="125" spans="1:55" ht="11.4" x14ac:dyDescent="0.25">
      <c r="A125" s="1"/>
      <c r="B125" s="1">
        <v>69</v>
      </c>
      <c r="C125" s="66"/>
      <c r="D125" s="83">
        <f t="shared" si="96"/>
        <v>0</v>
      </c>
      <c r="E125" s="83">
        <f t="shared" si="97"/>
        <v>0</v>
      </c>
      <c r="F125" s="90">
        <f t="shared" si="107"/>
        <v>3.1667375053128985</v>
      </c>
      <c r="G125" s="90">
        <f t="shared" si="108"/>
        <v>3.1667375053128985</v>
      </c>
      <c r="H125" s="10">
        <f t="shared" si="109"/>
        <v>1536.3478260869565</v>
      </c>
      <c r="I125" s="10">
        <f t="shared" si="110"/>
        <v>2447.536231884058</v>
      </c>
      <c r="J125" s="60">
        <f t="shared" si="111"/>
        <v>47.743087386884561</v>
      </c>
      <c r="K125" s="85">
        <f t="shared" si="112"/>
        <v>47.265656513015713</v>
      </c>
      <c r="L125" s="85">
        <f t="shared" si="50"/>
        <v>47.743087386884561</v>
      </c>
      <c r="M125" s="83">
        <f t="shared" si="98"/>
        <v>0.37450782181490888</v>
      </c>
      <c r="N125" s="83">
        <f t="shared" si="99"/>
        <v>0.23787066227100018</v>
      </c>
      <c r="O125" s="90">
        <f t="shared" si="113"/>
        <v>24.78191864389829</v>
      </c>
      <c r="P125" s="90">
        <f t="shared" si="114"/>
        <v>24.78191864389829</v>
      </c>
      <c r="Q125" s="10">
        <f t="shared" si="115"/>
        <v>10436.231884057972</v>
      </c>
      <c r="R125" s="10">
        <f t="shared" si="116"/>
        <v>16626.44927536232</v>
      </c>
      <c r="S125" s="60">
        <f t="shared" si="117"/>
        <v>7626.4967942459643</v>
      </c>
      <c r="T125" s="85">
        <f t="shared" si="118"/>
        <v>7550.2318263035049</v>
      </c>
      <c r="U125" s="85">
        <f t="shared" si="51"/>
        <v>7626.4967942459643</v>
      </c>
      <c r="V125" s="83">
        <f t="shared" si="100"/>
        <v>1.0516410570225665</v>
      </c>
      <c r="W125" s="83">
        <f t="shared" si="101"/>
        <v>0.66719827142324273</v>
      </c>
      <c r="X125" s="90">
        <f t="shared" si="119"/>
        <v>78.96346225966947</v>
      </c>
      <c r="Y125" s="90">
        <f t="shared" si="120"/>
        <v>78.96346225966947</v>
      </c>
      <c r="Z125" s="10">
        <f t="shared" si="121"/>
        <v>22052.536231884056</v>
      </c>
      <c r="AA125" s="10">
        <f t="shared" si="122"/>
        <v>35132.391304347824</v>
      </c>
      <c r="AB125" s="60">
        <f t="shared" si="123"/>
        <v>19348.27347195967</v>
      </c>
      <c r="AC125" s="85">
        <f t="shared" si="124"/>
        <v>19154.790737240073</v>
      </c>
      <c r="AD125" s="85">
        <f t="shared" si="52"/>
        <v>19348.27347195967</v>
      </c>
      <c r="AE125" s="83">
        <f t="shared" si="102"/>
        <v>2.531691793732429</v>
      </c>
      <c r="AF125" s="83">
        <f t="shared" si="103"/>
        <v>1.7656580000164843</v>
      </c>
      <c r="AG125" s="90">
        <f t="shared" si="125"/>
        <v>118.7813686026452</v>
      </c>
      <c r="AH125" s="90">
        <f t="shared" si="126"/>
        <v>131.64027302047654</v>
      </c>
      <c r="AI125" s="10">
        <f t="shared" si="127"/>
        <v>41578.260869565216</v>
      </c>
      <c r="AJ125" s="10">
        <f t="shared" si="128"/>
        <v>66239.130434782608</v>
      </c>
      <c r="AK125" s="60">
        <f t="shared" si="129"/>
        <v>49339.122775727839</v>
      </c>
      <c r="AL125" s="85">
        <f t="shared" si="130"/>
        <v>44519.571362809984</v>
      </c>
      <c r="AM125" s="85">
        <f t="shared" si="53"/>
        <v>49339.122775727839</v>
      </c>
      <c r="AN125" s="83">
        <f t="shared" si="104"/>
        <v>1.4431060814915255</v>
      </c>
      <c r="AO125" s="83">
        <f t="shared" si="105"/>
        <v>0.96463157327325766</v>
      </c>
      <c r="AP125" s="90">
        <f t="shared" si="131"/>
        <v>90.072455434157561</v>
      </c>
      <c r="AQ125" s="90">
        <f t="shared" si="132"/>
        <v>95.663254744105785</v>
      </c>
      <c r="AR125" s="10">
        <f t="shared" si="133"/>
        <v>23962.028985507248</v>
      </c>
      <c r="AS125" s="10">
        <f t="shared" si="134"/>
        <v>38174.028985507248</v>
      </c>
      <c r="AT125" s="60">
        <f t="shared" si="135"/>
        <v>27468.987505900513</v>
      </c>
      <c r="AU125" s="85">
        <f t="shared" si="136"/>
        <v>25863.631334361435</v>
      </c>
      <c r="AV125" s="85">
        <f t="shared" si="54"/>
        <v>27468.987505900513</v>
      </c>
      <c r="AW125" s="10"/>
      <c r="AX125" s="60">
        <f t="shared" si="106"/>
        <v>1132</v>
      </c>
      <c r="AZ125" s="99">
        <f t="shared" ca="1" si="137"/>
        <v>118.7813686026452</v>
      </c>
      <c r="BA125" s="99">
        <f t="shared" ca="1" si="138"/>
        <v>131.64027302047654</v>
      </c>
      <c r="BB125" s="100">
        <f t="shared" ca="1" si="139"/>
        <v>44519.571362809984</v>
      </c>
      <c r="BC125" s="100">
        <f t="shared" ca="1" si="140"/>
        <v>49339.122775727839</v>
      </c>
    </row>
    <row r="126" spans="1:55" ht="11.4" x14ac:dyDescent="0.25">
      <c r="A126" s="1"/>
      <c r="B126" s="1">
        <v>70</v>
      </c>
      <c r="C126" s="66"/>
      <c r="D126" s="83">
        <f t="shared" si="96"/>
        <v>0</v>
      </c>
      <c r="E126" s="83">
        <f t="shared" si="97"/>
        <v>0</v>
      </c>
      <c r="F126" s="90">
        <f t="shared" si="107"/>
        <v>3.1214983980941429</v>
      </c>
      <c r="G126" s="90">
        <f t="shared" si="108"/>
        <v>3.1214983980941429</v>
      </c>
      <c r="H126" s="10">
        <f t="shared" si="109"/>
        <v>1514.4</v>
      </c>
      <c r="I126" s="10">
        <f t="shared" si="110"/>
        <v>2412.5714285714284</v>
      </c>
      <c r="J126" s="60">
        <f t="shared" si="111"/>
        <v>46.056202585887931</v>
      </c>
      <c r="K126" s="85">
        <f t="shared" si="112"/>
        <v>45.595640560029054</v>
      </c>
      <c r="L126" s="85">
        <f t="shared" si="50"/>
        <v>46.056202585887931</v>
      </c>
      <c r="M126" s="83">
        <f t="shared" si="98"/>
        <v>0.36353282389939001</v>
      </c>
      <c r="N126" s="83">
        <f t="shared" si="99"/>
        <v>0.23091890425420522</v>
      </c>
      <c r="O126" s="90">
        <f t="shared" si="113"/>
        <v>24.427891234699743</v>
      </c>
      <c r="P126" s="90">
        <f t="shared" si="114"/>
        <v>24.427891234699743</v>
      </c>
      <c r="Q126" s="10">
        <f t="shared" si="115"/>
        <v>10287.142857142857</v>
      </c>
      <c r="R126" s="10">
        <f t="shared" si="116"/>
        <v>16388.928571428572</v>
      </c>
      <c r="S126" s="60">
        <f t="shared" si="117"/>
        <v>7455.0704554704726</v>
      </c>
      <c r="T126" s="85">
        <f t="shared" si="118"/>
        <v>7380.5197509157679</v>
      </c>
      <c r="U126" s="85">
        <f t="shared" si="51"/>
        <v>7455.0704554704726</v>
      </c>
      <c r="V126" s="83">
        <f t="shared" si="100"/>
        <v>1.0188628519561349</v>
      </c>
      <c r="W126" s="83">
        <f t="shared" si="101"/>
        <v>0.64642247064611602</v>
      </c>
      <c r="X126" s="90">
        <f t="shared" si="119"/>
        <v>77.83541279881706</v>
      </c>
      <c r="Y126" s="90">
        <f t="shared" si="120"/>
        <v>77.83541279881706</v>
      </c>
      <c r="Z126" s="10">
        <f t="shared" si="121"/>
        <v>21737.5</v>
      </c>
      <c r="AA126" s="10">
        <f t="shared" si="122"/>
        <v>34630.5</v>
      </c>
      <c r="AB126" s="60">
        <f t="shared" si="123"/>
        <v>18799.414285714283</v>
      </c>
      <c r="AC126" s="85">
        <f t="shared" si="124"/>
        <v>18611.42014285714</v>
      </c>
      <c r="AD126" s="85">
        <f t="shared" si="52"/>
        <v>18799.414285714283</v>
      </c>
      <c r="AE126" s="83">
        <f t="shared" si="102"/>
        <v>2.5004578129144566</v>
      </c>
      <c r="AF126" s="83">
        <f t="shared" si="103"/>
        <v>1.718486717104456</v>
      </c>
      <c r="AG126" s="90">
        <f t="shared" si="125"/>
        <v>118.7813686026452</v>
      </c>
      <c r="AH126" s="90">
        <f t="shared" si="126"/>
        <v>129.75969769161259</v>
      </c>
      <c r="AI126" s="10">
        <f t="shared" si="127"/>
        <v>40984.285714285717</v>
      </c>
      <c r="AJ126" s="10">
        <f t="shared" si="128"/>
        <v>65292.857142857145</v>
      </c>
      <c r="AK126" s="60">
        <f t="shared" si="129"/>
        <v>48069.597272455117</v>
      </c>
      <c r="AL126" s="85">
        <f t="shared" si="130"/>
        <v>44002.6653404362</v>
      </c>
      <c r="AM126" s="85">
        <f t="shared" si="53"/>
        <v>48069.597272455117</v>
      </c>
      <c r="AN126" s="83">
        <f t="shared" si="104"/>
        <v>1.4245114072369898</v>
      </c>
      <c r="AO126" s="83">
        <f t="shared" si="105"/>
        <v>0.93807118533332634</v>
      </c>
      <c r="AP126" s="90">
        <f t="shared" si="131"/>
        <v>90.072455434157561</v>
      </c>
      <c r="AQ126" s="90">
        <f t="shared" si="132"/>
        <v>94.296636819189999</v>
      </c>
      <c r="AR126" s="10">
        <f t="shared" si="133"/>
        <v>23619.714285714286</v>
      </c>
      <c r="AS126" s="10">
        <f t="shared" si="134"/>
        <v>37628.685714285712</v>
      </c>
      <c r="AT126" s="60">
        <f t="shared" si="135"/>
        <v>26762.193825227772</v>
      </c>
      <c r="AU126" s="85">
        <f t="shared" si="136"/>
        <v>25563.334939137032</v>
      </c>
      <c r="AV126" s="85">
        <f t="shared" si="54"/>
        <v>26762.193825227772</v>
      </c>
      <c r="AW126" s="10"/>
      <c r="AX126" s="60">
        <f t="shared" si="106"/>
        <v>1150.375</v>
      </c>
      <c r="AZ126" s="99">
        <f t="shared" ca="1" si="137"/>
        <v>118.7813686026452</v>
      </c>
      <c r="BA126" s="99">
        <f t="shared" ca="1" si="138"/>
        <v>129.75969769161259</v>
      </c>
      <c r="BB126" s="100">
        <f t="shared" ca="1" si="139"/>
        <v>44002.6653404362</v>
      </c>
      <c r="BC126" s="100">
        <f t="shared" ca="1" si="140"/>
        <v>48069.597272455117</v>
      </c>
    </row>
    <row r="127" spans="1:55" ht="11.4" x14ac:dyDescent="0.25">
      <c r="A127" s="1"/>
      <c r="B127" s="1">
        <v>71</v>
      </c>
      <c r="C127" s="66"/>
      <c r="D127" s="83">
        <f t="shared" si="96"/>
        <v>0</v>
      </c>
      <c r="E127" s="83">
        <f t="shared" si="97"/>
        <v>0</v>
      </c>
      <c r="F127" s="90">
        <f t="shared" si="107"/>
        <v>3.0775336319238029</v>
      </c>
      <c r="G127" s="90">
        <f t="shared" si="108"/>
        <v>3.0775336319238029</v>
      </c>
      <c r="H127" s="10">
        <f t="shared" si="109"/>
        <v>1493.0704225352113</v>
      </c>
      <c r="I127" s="10">
        <f t="shared" si="110"/>
        <v>2378.5915492957747</v>
      </c>
      <c r="J127" s="60">
        <f t="shared" si="111"/>
        <v>44.451595632959901</v>
      </c>
      <c r="K127" s="85">
        <f t="shared" si="112"/>
        <v>44.007079676630305</v>
      </c>
      <c r="L127" s="85">
        <f t="shared" si="50"/>
        <v>44.451595632959901</v>
      </c>
      <c r="M127" s="83">
        <f t="shared" si="98"/>
        <v>0.35290890432001226</v>
      </c>
      <c r="N127" s="83">
        <f t="shared" si="99"/>
        <v>0.22418978918160257</v>
      </c>
      <c r="O127" s="90">
        <f t="shared" si="113"/>
        <v>24.083836428577211</v>
      </c>
      <c r="P127" s="90">
        <f t="shared" si="114"/>
        <v>24.083836428577211</v>
      </c>
      <c r="Q127" s="10">
        <f t="shared" si="115"/>
        <v>10142.25352112676</v>
      </c>
      <c r="R127" s="10">
        <f t="shared" si="116"/>
        <v>16158.098591549297</v>
      </c>
      <c r="S127" s="60">
        <f t="shared" si="117"/>
        <v>7289.8478566014237</v>
      </c>
      <c r="T127" s="85">
        <f t="shared" si="118"/>
        <v>7216.9493780354096</v>
      </c>
      <c r="U127" s="85">
        <f t="shared" si="51"/>
        <v>7289.8478566014237</v>
      </c>
      <c r="V127" s="83">
        <f t="shared" si="100"/>
        <v>0.98740758665997952</v>
      </c>
      <c r="W127" s="83">
        <f t="shared" si="101"/>
        <v>0.62648550904200273</v>
      </c>
      <c r="X127" s="90">
        <f t="shared" si="119"/>
        <v>76.7391393791154</v>
      </c>
      <c r="Y127" s="90">
        <f t="shared" si="120"/>
        <v>76.7391393791154</v>
      </c>
      <c r="Z127" s="10">
        <f t="shared" si="121"/>
        <v>21431.338028169015</v>
      </c>
      <c r="AA127" s="10">
        <f t="shared" si="122"/>
        <v>34142.74647887324</v>
      </c>
      <c r="AB127" s="60">
        <f t="shared" si="123"/>
        <v>18273.582622495534</v>
      </c>
      <c r="AC127" s="85">
        <f t="shared" si="124"/>
        <v>18090.84679627058</v>
      </c>
      <c r="AD127" s="85">
        <f t="shared" si="52"/>
        <v>18273.582622495534</v>
      </c>
      <c r="AE127" s="83">
        <f t="shared" si="102"/>
        <v>2.4699871835236316</v>
      </c>
      <c r="AF127" s="83">
        <f t="shared" si="103"/>
        <v>1.6731416637638008</v>
      </c>
      <c r="AG127" s="90">
        <f t="shared" si="125"/>
        <v>118.7813686026452</v>
      </c>
      <c r="AH127" s="90">
        <f t="shared" si="126"/>
        <v>127.93209631567439</v>
      </c>
      <c r="AI127" s="10">
        <f t="shared" si="127"/>
        <v>40407.042253521126</v>
      </c>
      <c r="AJ127" s="10">
        <f t="shared" si="128"/>
        <v>64373.239436619719</v>
      </c>
      <c r="AK127" s="60">
        <f t="shared" si="129"/>
        <v>46850.057655697805</v>
      </c>
      <c r="AL127" s="85">
        <f t="shared" si="130"/>
        <v>43498.966465187215</v>
      </c>
      <c r="AM127" s="85">
        <f t="shared" si="53"/>
        <v>46850.057655697805</v>
      </c>
      <c r="AN127" s="83">
        <f t="shared" si="104"/>
        <v>1.4063571452792516</v>
      </c>
      <c r="AO127" s="83">
        <f t="shared" si="105"/>
        <v>0.91252550025309564</v>
      </c>
      <c r="AP127" s="90">
        <f t="shared" si="131"/>
        <v>90.072455434157561</v>
      </c>
      <c r="AQ127" s="90">
        <f t="shared" si="132"/>
        <v>92.968515173849283</v>
      </c>
      <c r="AR127" s="10">
        <f t="shared" si="133"/>
        <v>23287.042253521126</v>
      </c>
      <c r="AS127" s="10">
        <f t="shared" si="134"/>
        <v>37098.704225352114</v>
      </c>
      <c r="AT127" s="60">
        <f t="shared" si="135"/>
        <v>26083.229210312958</v>
      </c>
      <c r="AU127" s="85">
        <f t="shared" si="136"/>
        <v>25270.711231985752</v>
      </c>
      <c r="AV127" s="85">
        <f t="shared" si="54"/>
        <v>26083.229210312958</v>
      </c>
      <c r="AW127" s="10"/>
      <c r="AX127" s="60">
        <f t="shared" si="106"/>
        <v>1168.875</v>
      </c>
      <c r="AZ127" s="99">
        <f t="shared" ca="1" si="137"/>
        <v>118.7813686026452</v>
      </c>
      <c r="BA127" s="99">
        <f t="shared" ca="1" si="138"/>
        <v>127.93209631567439</v>
      </c>
      <c r="BB127" s="100">
        <f t="shared" ca="1" si="139"/>
        <v>43498.966465187215</v>
      </c>
      <c r="BC127" s="100">
        <f t="shared" ca="1" si="140"/>
        <v>46850.057655697805</v>
      </c>
    </row>
    <row r="128" spans="1:55" ht="11.4" x14ac:dyDescent="0.25">
      <c r="A128" s="1"/>
      <c r="B128" s="1">
        <v>72</v>
      </c>
      <c r="C128" s="66"/>
      <c r="D128" s="83">
        <f t="shared" si="96"/>
        <v>0</v>
      </c>
      <c r="E128" s="83">
        <f t="shared" si="97"/>
        <v>0</v>
      </c>
      <c r="F128" s="90">
        <f t="shared" si="107"/>
        <v>3.0347901092581946</v>
      </c>
      <c r="G128" s="90">
        <f t="shared" si="108"/>
        <v>3.0347901092581946</v>
      </c>
      <c r="H128" s="10">
        <f t="shared" si="109"/>
        <v>1472.3333333333333</v>
      </c>
      <c r="I128" s="10">
        <f t="shared" si="110"/>
        <v>2345.5555555555557</v>
      </c>
      <c r="J128" s="60">
        <f t="shared" si="111"/>
        <v>42.924177858895639</v>
      </c>
      <c r="K128" s="85">
        <f t="shared" si="112"/>
        <v>42.49493608030668</v>
      </c>
      <c r="L128" s="85">
        <f t="shared" si="50"/>
        <v>42.924177858895639</v>
      </c>
      <c r="M128" s="83">
        <f t="shared" si="98"/>
        <v>0.34261831627066164</v>
      </c>
      <c r="N128" s="83">
        <f t="shared" si="99"/>
        <v>0.21767206491928007</v>
      </c>
      <c r="O128" s="90">
        <f t="shared" si="113"/>
        <v>23.749338700402529</v>
      </c>
      <c r="P128" s="90">
        <f t="shared" si="114"/>
        <v>23.749338700402529</v>
      </c>
      <c r="Q128" s="10">
        <f t="shared" si="115"/>
        <v>10001.388888888889</v>
      </c>
      <c r="R128" s="10">
        <f t="shared" si="116"/>
        <v>15933.680555555555</v>
      </c>
      <c r="S128" s="60">
        <f t="shared" si="117"/>
        <v>7130.5217846898822</v>
      </c>
      <c r="T128" s="85">
        <f t="shared" si="118"/>
        <v>7059.2165668429834</v>
      </c>
      <c r="U128" s="85">
        <f t="shared" si="51"/>
        <v>7130.5217846898822</v>
      </c>
      <c r="V128" s="83">
        <f t="shared" si="100"/>
        <v>0.95720187491895736</v>
      </c>
      <c r="W128" s="83">
        <f t="shared" si="101"/>
        <v>0.60734085702609797</v>
      </c>
      <c r="X128" s="90">
        <f t="shared" si="119"/>
        <v>75.67331799884991</v>
      </c>
      <c r="Y128" s="90">
        <f t="shared" si="120"/>
        <v>75.67331799884991</v>
      </c>
      <c r="Z128" s="10">
        <f t="shared" si="121"/>
        <v>21133.680555555555</v>
      </c>
      <c r="AA128" s="10">
        <f t="shared" si="122"/>
        <v>33668.541666666664</v>
      </c>
      <c r="AB128" s="60">
        <f t="shared" si="123"/>
        <v>17769.50810185185</v>
      </c>
      <c r="AC128" s="85">
        <f t="shared" si="124"/>
        <v>17591.813020833331</v>
      </c>
      <c r="AD128" s="85">
        <f t="shared" si="52"/>
        <v>17769.50810185185</v>
      </c>
      <c r="AE128" s="83">
        <f t="shared" si="102"/>
        <v>2.4402497715051954</v>
      </c>
      <c r="AF128" s="83">
        <f t="shared" si="103"/>
        <v>1.6295264670468348</v>
      </c>
      <c r="AG128" s="90">
        <f t="shared" si="125"/>
        <v>118.7813686026452</v>
      </c>
      <c r="AH128" s="90">
        <f t="shared" si="126"/>
        <v>126.15526164462335</v>
      </c>
      <c r="AI128" s="10">
        <f t="shared" si="127"/>
        <v>39845.833333333336</v>
      </c>
      <c r="AJ128" s="10">
        <f t="shared" si="128"/>
        <v>63479.166666666664</v>
      </c>
      <c r="AK128" s="60">
        <f t="shared" si="129"/>
        <v>45677.872689666627</v>
      </c>
      <c r="AL128" s="85">
        <f t="shared" si="130"/>
        <v>43007.958306329041</v>
      </c>
      <c r="AM128" s="85">
        <f t="shared" si="53"/>
        <v>45677.872689666627</v>
      </c>
      <c r="AN128" s="83">
        <f t="shared" si="104"/>
        <v>1.3886257892484348</v>
      </c>
      <c r="AO128" s="83">
        <f t="shared" si="105"/>
        <v>0.88794086350555002</v>
      </c>
      <c r="AP128" s="90">
        <f t="shared" si="131"/>
        <v>90.072455434157561</v>
      </c>
      <c r="AQ128" s="90">
        <f t="shared" si="132"/>
        <v>91.677285796434717</v>
      </c>
      <c r="AR128" s="10">
        <f t="shared" si="133"/>
        <v>22963.611111111109</v>
      </c>
      <c r="AS128" s="10">
        <f t="shared" si="134"/>
        <v>36583.444444444445</v>
      </c>
      <c r="AT128" s="60">
        <f t="shared" si="135"/>
        <v>25430.62875098021</v>
      </c>
      <c r="AU128" s="85">
        <f t="shared" si="136"/>
        <v>24985.460192630955</v>
      </c>
      <c r="AV128" s="85">
        <f t="shared" si="54"/>
        <v>25430.62875098021</v>
      </c>
      <c r="AW128" s="10"/>
      <c r="AX128" s="60">
        <f t="shared" si="106"/>
        <v>1187.5</v>
      </c>
      <c r="AZ128" s="99">
        <f t="shared" ca="1" si="137"/>
        <v>118.7813686026452</v>
      </c>
      <c r="BA128" s="99">
        <f t="shared" ca="1" si="138"/>
        <v>126.15526164462335</v>
      </c>
      <c r="BB128" s="100">
        <f t="shared" ca="1" si="139"/>
        <v>43007.958306329041</v>
      </c>
      <c r="BC128" s="100">
        <f t="shared" ca="1" si="140"/>
        <v>45677.872689666627</v>
      </c>
    </row>
    <row r="129" spans="1:55" ht="11.4" x14ac:dyDescent="0.25">
      <c r="A129" s="1"/>
      <c r="B129" s="1">
        <v>73</v>
      </c>
      <c r="C129" s="66"/>
      <c r="D129" s="83">
        <f t="shared" si="96"/>
        <v>0</v>
      </c>
      <c r="E129" s="83">
        <f t="shared" si="97"/>
        <v>0</v>
      </c>
      <c r="F129" s="90">
        <f t="shared" si="107"/>
        <v>2.9932176420080823</v>
      </c>
      <c r="G129" s="90">
        <f t="shared" si="108"/>
        <v>2.9932176420080823</v>
      </c>
      <c r="H129" s="10">
        <f t="shared" si="109"/>
        <v>1452.1643835616439</v>
      </c>
      <c r="I129" s="10">
        <f t="shared" si="110"/>
        <v>2313.4246575342468</v>
      </c>
      <c r="J129" s="60">
        <f t="shared" si="111"/>
        <v>41.469240029571829</v>
      </c>
      <c r="K129" s="85">
        <f t="shared" si="112"/>
        <v>41.054547629276108</v>
      </c>
      <c r="L129" s="85">
        <f t="shared" si="50"/>
        <v>41.469240029571829</v>
      </c>
      <c r="M129" s="83">
        <f t="shared" si="98"/>
        <v>0.33262983425617099</v>
      </c>
      <c r="N129" s="83">
        <f t="shared" si="99"/>
        <v>0.2113460258352321</v>
      </c>
      <c r="O129" s="90">
        <f t="shared" si="113"/>
        <v>23.424005293547697</v>
      </c>
      <c r="P129" s="90">
        <f t="shared" si="114"/>
        <v>23.424005293547697</v>
      </c>
      <c r="Q129" s="10">
        <f t="shared" si="115"/>
        <v>9864.3835616438355</v>
      </c>
      <c r="R129" s="10">
        <f t="shared" si="116"/>
        <v>15715.410958904109</v>
      </c>
      <c r="S129" s="60">
        <f t="shared" si="117"/>
        <v>6976.8042239811239</v>
      </c>
      <c r="T129" s="85">
        <f t="shared" si="118"/>
        <v>6907.0361817413122</v>
      </c>
      <c r="U129" s="85">
        <f t="shared" si="51"/>
        <v>6976.8042239811239</v>
      </c>
      <c r="V129" s="83">
        <f t="shared" si="100"/>
        <v>0.92816273464344856</v>
      </c>
      <c r="W129" s="83">
        <f t="shared" si="101"/>
        <v>0.58893599336409086</v>
      </c>
      <c r="X129" s="90">
        <f t="shared" si="119"/>
        <v>74.636697204345126</v>
      </c>
      <c r="Y129" s="90">
        <f t="shared" si="120"/>
        <v>74.636697204345126</v>
      </c>
      <c r="Z129" s="10">
        <f t="shared" si="121"/>
        <v>20844.178082191782</v>
      </c>
      <c r="AA129" s="10">
        <f t="shared" si="122"/>
        <v>33207.32876712329</v>
      </c>
      <c r="AB129" s="60">
        <f t="shared" si="123"/>
        <v>17286.006755488834</v>
      </c>
      <c r="AC129" s="85">
        <f t="shared" si="124"/>
        <v>17113.146687933946</v>
      </c>
      <c r="AD129" s="85">
        <f t="shared" si="52"/>
        <v>17286.006755488834</v>
      </c>
      <c r="AE129" s="83">
        <f t="shared" si="102"/>
        <v>2.4112024306373327</v>
      </c>
      <c r="AF129" s="83">
        <f t="shared" si="103"/>
        <v>1.5875419140246247</v>
      </c>
      <c r="AG129" s="90">
        <f t="shared" si="125"/>
        <v>118.7813686026452</v>
      </c>
      <c r="AH129" s="90">
        <f t="shared" si="126"/>
        <v>124.42710737551891</v>
      </c>
      <c r="AI129" s="10">
        <f t="shared" si="127"/>
        <v>39300</v>
      </c>
      <c r="AJ129" s="10">
        <f t="shared" si="128"/>
        <v>62609.589041095889</v>
      </c>
      <c r="AK129" s="60">
        <f t="shared" si="129"/>
        <v>44550.583599589823</v>
      </c>
      <c r="AL129" s="85">
        <f t="shared" si="130"/>
        <v>42529.151433500243</v>
      </c>
      <c r="AM129" s="85">
        <f t="shared" si="53"/>
        <v>44550.583599589823</v>
      </c>
      <c r="AN129" s="83">
        <f t="shared" si="104"/>
        <v>1.3623991173163736</v>
      </c>
      <c r="AO129" s="83">
        <f t="shared" si="105"/>
        <v>0.86425798065764381</v>
      </c>
      <c r="AP129" s="90">
        <f t="shared" si="131"/>
        <v>90.072455434157561</v>
      </c>
      <c r="AQ129" s="90">
        <f t="shared" si="132"/>
        <v>90.421432566346567</v>
      </c>
      <c r="AR129" s="10">
        <f t="shared" si="133"/>
        <v>22649.04109589041</v>
      </c>
      <c r="AS129" s="10">
        <f t="shared" si="134"/>
        <v>36082.301369863017</v>
      </c>
      <c r="AT129" s="60">
        <f t="shared" si="135"/>
        <v>24803.023552735965</v>
      </c>
      <c r="AU129" s="85">
        <f t="shared" si="136"/>
        <v>24554.993317208606</v>
      </c>
      <c r="AV129" s="85">
        <f t="shared" si="54"/>
        <v>24803.023552735965</v>
      </c>
      <c r="AW129" s="10"/>
      <c r="AX129" s="60">
        <f t="shared" si="106"/>
        <v>1206.5</v>
      </c>
      <c r="AZ129" s="99">
        <f t="shared" ca="1" si="137"/>
        <v>118.7813686026452</v>
      </c>
      <c r="BA129" s="99">
        <f t="shared" ca="1" si="138"/>
        <v>124.42710737551891</v>
      </c>
      <c r="BB129" s="100">
        <f t="shared" ca="1" si="139"/>
        <v>42529.151433500243</v>
      </c>
      <c r="BC129" s="100">
        <f t="shared" ca="1" si="140"/>
        <v>44550.583599589823</v>
      </c>
    </row>
    <row r="130" spans="1:55" ht="11.4" x14ac:dyDescent="0.25">
      <c r="A130" s="1"/>
      <c r="B130" s="1">
        <v>74</v>
      </c>
      <c r="C130" s="66"/>
      <c r="D130" s="83">
        <f t="shared" si="96"/>
        <v>0</v>
      </c>
      <c r="E130" s="83">
        <f t="shared" si="97"/>
        <v>0</v>
      </c>
      <c r="F130" s="90">
        <f t="shared" si="107"/>
        <v>2.9527687549539188</v>
      </c>
      <c r="G130" s="90">
        <f t="shared" si="108"/>
        <v>2.9527687549539188</v>
      </c>
      <c r="H130" s="10">
        <f t="shared" si="109"/>
        <v>1432.5405405405406</v>
      </c>
      <c r="I130" s="10">
        <f t="shared" si="110"/>
        <v>2282.1621621621621</v>
      </c>
      <c r="J130" s="60">
        <f t="shared" si="111"/>
        <v>40.082419357380765</v>
      </c>
      <c r="K130" s="85">
        <f t="shared" si="112"/>
        <v>39.681595163806954</v>
      </c>
      <c r="L130" s="85">
        <f t="shared" si="50"/>
        <v>40.082419357380765</v>
      </c>
      <c r="M130" s="83">
        <f t="shared" si="98"/>
        <v>0.32294972759627116</v>
      </c>
      <c r="N130" s="83">
        <f t="shared" si="99"/>
        <v>0.20521550817418346</v>
      </c>
      <c r="O130" s="90">
        <f t="shared" si="113"/>
        <v>23.107464681472731</v>
      </c>
      <c r="P130" s="90">
        <f t="shared" si="114"/>
        <v>23.107464681472731</v>
      </c>
      <c r="Q130" s="10">
        <f t="shared" si="115"/>
        <v>9731.0810810810817</v>
      </c>
      <c r="R130" s="10">
        <f t="shared" si="116"/>
        <v>15503.04054054054</v>
      </c>
      <c r="S130" s="60">
        <f t="shared" si="117"/>
        <v>6828.4249140795573</v>
      </c>
      <c r="T130" s="85">
        <f t="shared" si="118"/>
        <v>6760.1406649387618</v>
      </c>
      <c r="U130" s="85">
        <f t="shared" si="51"/>
        <v>6828.4249140795573</v>
      </c>
      <c r="V130" s="83">
        <f t="shared" si="100"/>
        <v>0.90024824268535808</v>
      </c>
      <c r="W130" s="83">
        <f t="shared" si="101"/>
        <v>0.57124419848699737</v>
      </c>
      <c r="X130" s="90">
        <f t="shared" si="119"/>
        <v>73.628093188070181</v>
      </c>
      <c r="Y130" s="90">
        <f t="shared" si="120"/>
        <v>73.628093188070181</v>
      </c>
      <c r="Z130" s="10">
        <f t="shared" si="121"/>
        <v>20562.5</v>
      </c>
      <c r="AA130" s="10">
        <f t="shared" si="122"/>
        <v>32758.58108108108</v>
      </c>
      <c r="AB130" s="60">
        <f t="shared" si="123"/>
        <v>16821.974068663258</v>
      </c>
      <c r="AC130" s="85">
        <f t="shared" si="124"/>
        <v>16653.754327976625</v>
      </c>
      <c r="AD130" s="85">
        <f t="shared" si="52"/>
        <v>16821.974068663258</v>
      </c>
      <c r="AE130" s="83">
        <f t="shared" si="102"/>
        <v>2.3828399567514791</v>
      </c>
      <c r="AF130" s="83">
        <f t="shared" si="103"/>
        <v>1.5471175066365905</v>
      </c>
      <c r="AG130" s="90">
        <f t="shared" si="125"/>
        <v>118.7813686026452</v>
      </c>
      <c r="AH130" s="90">
        <f t="shared" si="126"/>
        <v>122.74565997855245</v>
      </c>
      <c r="AI130" s="10">
        <f t="shared" si="127"/>
        <v>38768.91891891892</v>
      </c>
      <c r="AJ130" s="10">
        <f t="shared" si="128"/>
        <v>61763.513513513513</v>
      </c>
      <c r="AK130" s="60">
        <f t="shared" si="129"/>
        <v>43465.890602376989</v>
      </c>
      <c r="AL130" s="85">
        <f t="shared" si="130"/>
        <v>42062.08165881646</v>
      </c>
      <c r="AM130" s="85">
        <f t="shared" si="53"/>
        <v>43465.890602376989</v>
      </c>
      <c r="AN130" s="83">
        <f t="shared" si="104"/>
        <v>1.3264054535103336</v>
      </c>
      <c r="AO130" s="83">
        <f t="shared" si="105"/>
        <v>0.84144369089614779</v>
      </c>
      <c r="AP130" s="90">
        <f t="shared" si="131"/>
        <v>89.199521315449999</v>
      </c>
      <c r="AQ130" s="90">
        <f t="shared" si="132"/>
        <v>89.199521315449999</v>
      </c>
      <c r="AR130" s="10">
        <f t="shared" si="133"/>
        <v>22342.972972972973</v>
      </c>
      <c r="AS130" s="10">
        <f t="shared" si="134"/>
        <v>35594.7027027027</v>
      </c>
      <c r="AT130" s="60">
        <f t="shared" si="135"/>
        <v>24199.133237871367</v>
      </c>
      <c r="AU130" s="85">
        <f t="shared" si="136"/>
        <v>23957.141905492652</v>
      </c>
      <c r="AV130" s="85">
        <f t="shared" si="54"/>
        <v>24199.133237871367</v>
      </c>
      <c r="AW130" s="10"/>
      <c r="AX130" s="60">
        <f t="shared" si="106"/>
        <v>1225.5</v>
      </c>
      <c r="AZ130" s="99">
        <f t="shared" ca="1" si="137"/>
        <v>118.7813686026452</v>
      </c>
      <c r="BA130" s="99">
        <f t="shared" ca="1" si="138"/>
        <v>122.74565997855245</v>
      </c>
      <c r="BB130" s="100">
        <f t="shared" ca="1" si="139"/>
        <v>42062.08165881646</v>
      </c>
      <c r="BC130" s="100">
        <f t="shared" ca="1" si="140"/>
        <v>43465.890602376989</v>
      </c>
    </row>
    <row r="131" spans="1:55" ht="11.4" x14ac:dyDescent="0.25">
      <c r="A131" s="1"/>
      <c r="B131" s="1">
        <v>75</v>
      </c>
      <c r="C131" s="66"/>
      <c r="D131" s="83">
        <f t="shared" si="96"/>
        <v>0</v>
      </c>
      <c r="E131" s="83">
        <f t="shared" si="97"/>
        <v>0</v>
      </c>
      <c r="F131" s="90">
        <f t="shared" si="107"/>
        <v>2.9133985048878666</v>
      </c>
      <c r="G131" s="90">
        <f t="shared" si="108"/>
        <v>2.9133985048878666</v>
      </c>
      <c r="H131" s="10">
        <f t="shared" si="109"/>
        <v>1413.44</v>
      </c>
      <c r="I131" s="10">
        <f t="shared" si="110"/>
        <v>2251.7333333333331</v>
      </c>
      <c r="J131" s="60">
        <f t="shared" si="111"/>
        <v>38.759669778222737</v>
      </c>
      <c r="K131" s="85">
        <f t="shared" si="112"/>
        <v>38.372073080440508</v>
      </c>
      <c r="L131" s="85">
        <f t="shared" si="50"/>
        <v>38.759669778222737</v>
      </c>
      <c r="M131" s="83">
        <f t="shared" si="98"/>
        <v>0.31354145230785718</v>
      </c>
      <c r="N131" s="83">
        <f t="shared" si="99"/>
        <v>0.1992574804309076</v>
      </c>
      <c r="O131" s="90">
        <f t="shared" si="113"/>
        <v>22.799365152386425</v>
      </c>
      <c r="P131" s="90">
        <f t="shared" si="114"/>
        <v>22.799365152386425</v>
      </c>
      <c r="Q131" s="10">
        <f t="shared" si="115"/>
        <v>9601.3333333333339</v>
      </c>
      <c r="R131" s="10">
        <f t="shared" si="116"/>
        <v>15296.333333333334</v>
      </c>
      <c r="S131" s="60">
        <f t="shared" si="117"/>
        <v>6685.1300341149145</v>
      </c>
      <c r="T131" s="85">
        <f t="shared" si="118"/>
        <v>6618.2787337737655</v>
      </c>
      <c r="U131" s="85">
        <f t="shared" si="51"/>
        <v>6685.1300341149145</v>
      </c>
      <c r="V131" s="83">
        <f t="shared" si="100"/>
        <v>0.87337693801867233</v>
      </c>
      <c r="W131" s="83">
        <f t="shared" si="101"/>
        <v>0.55421396181687776</v>
      </c>
      <c r="X131" s="90">
        <f t="shared" si="119"/>
        <v>72.64638527889592</v>
      </c>
      <c r="Y131" s="90">
        <f t="shared" si="120"/>
        <v>72.64638527889592</v>
      </c>
      <c r="Z131" s="10">
        <f t="shared" si="121"/>
        <v>20288.333333333332</v>
      </c>
      <c r="AA131" s="10">
        <f t="shared" si="122"/>
        <v>32321.8</v>
      </c>
      <c r="AB131" s="60">
        <f t="shared" si="123"/>
        <v>16376.378666666667</v>
      </c>
      <c r="AC131" s="85">
        <f t="shared" si="124"/>
        <v>16212.614880000001</v>
      </c>
      <c r="AD131" s="85">
        <f t="shared" si="52"/>
        <v>16376.378666666667</v>
      </c>
      <c r="AE131" s="83">
        <f t="shared" si="102"/>
        <v>2.3551147610107299</v>
      </c>
      <c r="AF131" s="83">
        <f t="shared" si="103"/>
        <v>1.5081606514838046</v>
      </c>
      <c r="AG131" s="90">
        <f t="shared" si="125"/>
        <v>118.7813686026452</v>
      </c>
      <c r="AH131" s="90">
        <f t="shared" si="126"/>
        <v>121.10905117883841</v>
      </c>
      <c r="AI131" s="10">
        <f t="shared" si="127"/>
        <v>38252</v>
      </c>
      <c r="AJ131" s="10">
        <f t="shared" si="128"/>
        <v>60940</v>
      </c>
      <c r="AK131" s="60">
        <f t="shared" si="129"/>
        <v>42421.64065389373</v>
      </c>
      <c r="AL131" s="85">
        <f t="shared" si="130"/>
        <v>41606.308415366111</v>
      </c>
      <c r="AM131" s="85">
        <f t="shared" si="53"/>
        <v>42421.64065389373</v>
      </c>
      <c r="AN131" s="83">
        <f t="shared" si="104"/>
        <v>1.2916906042138101</v>
      </c>
      <c r="AO131" s="83">
        <f t="shared" si="105"/>
        <v>0.81944035574538054</v>
      </c>
      <c r="AP131" s="90">
        <f t="shared" si="131"/>
        <v>88.01019436457733</v>
      </c>
      <c r="AQ131" s="90">
        <f t="shared" si="132"/>
        <v>88.01019436457733</v>
      </c>
      <c r="AR131" s="10">
        <f t="shared" si="133"/>
        <v>22045.066666666666</v>
      </c>
      <c r="AS131" s="10">
        <f t="shared" si="134"/>
        <v>35120.106666666667</v>
      </c>
      <c r="AT131" s="60">
        <f t="shared" si="135"/>
        <v>23617.759123898773</v>
      </c>
      <c r="AU131" s="85">
        <f t="shared" si="136"/>
        <v>23381.581532659784</v>
      </c>
      <c r="AV131" s="85">
        <f t="shared" si="54"/>
        <v>23617.759123898773</v>
      </c>
      <c r="AW131" s="10"/>
      <c r="AX131" s="60">
        <f t="shared" si="106"/>
        <v>1244.875</v>
      </c>
      <c r="AZ131" s="99">
        <f t="shared" ca="1" si="137"/>
        <v>118.7813686026452</v>
      </c>
      <c r="BA131" s="99">
        <f t="shared" ca="1" si="138"/>
        <v>121.10905117883841</v>
      </c>
      <c r="BB131" s="100">
        <f t="shared" ca="1" si="139"/>
        <v>41606.308415366111</v>
      </c>
      <c r="BC131" s="100">
        <f t="shared" ca="1" si="140"/>
        <v>42421.64065389373</v>
      </c>
    </row>
    <row r="132" spans="1:55" ht="11.4" x14ac:dyDescent="0.25">
      <c r="A132" s="1"/>
      <c r="B132" s="1">
        <v>76</v>
      </c>
      <c r="C132" s="66"/>
      <c r="D132" s="83">
        <f t="shared" si="96"/>
        <v>0</v>
      </c>
      <c r="E132" s="83">
        <f t="shared" si="97"/>
        <v>0</v>
      </c>
      <c r="F132" s="90">
        <f t="shared" si="107"/>
        <v>2.8750643140340788</v>
      </c>
      <c r="G132" s="90">
        <f t="shared" si="108"/>
        <v>2.8750643140340788</v>
      </c>
      <c r="H132" s="10">
        <f t="shared" si="109"/>
        <v>1394.8421052631579</v>
      </c>
      <c r="I132" s="10">
        <f t="shared" si="110"/>
        <v>2222.1052631578946</v>
      </c>
      <c r="J132" s="60">
        <f t="shared" si="111"/>
        <v>37.497235132475062</v>
      </c>
      <c r="K132" s="85">
        <f t="shared" si="112"/>
        <v>37.122262781150312</v>
      </c>
      <c r="L132" s="85">
        <f t="shared" si="50"/>
        <v>37.497235132475062</v>
      </c>
      <c r="M132" s="83">
        <f t="shared" si="98"/>
        <v>0.30440581375445397</v>
      </c>
      <c r="N132" s="83">
        <f t="shared" si="99"/>
        <v>0.19347236074462562</v>
      </c>
      <c r="O132" s="90">
        <f t="shared" si="113"/>
        <v>22.499373505644499</v>
      </c>
      <c r="P132" s="90">
        <f t="shared" si="114"/>
        <v>22.499373505644499</v>
      </c>
      <c r="Q132" s="10">
        <f t="shared" si="115"/>
        <v>9475</v>
      </c>
      <c r="R132" s="10">
        <f t="shared" si="116"/>
        <v>15095.065789473685</v>
      </c>
      <c r="S132" s="60">
        <f t="shared" si="117"/>
        <v>6546.6810003913552</v>
      </c>
      <c r="T132" s="85">
        <f t="shared" si="118"/>
        <v>6481.2141903874417</v>
      </c>
      <c r="U132" s="85">
        <f t="shared" si="51"/>
        <v>6546.6810003913552</v>
      </c>
      <c r="V132" s="83">
        <f t="shared" si="100"/>
        <v>0.84750772250013651</v>
      </c>
      <c r="W132" s="83">
        <f t="shared" si="101"/>
        <v>0.53781913311402063</v>
      </c>
      <c r="X132" s="90">
        <f t="shared" si="119"/>
        <v>71.690511788384129</v>
      </c>
      <c r="Y132" s="90">
        <f t="shared" si="120"/>
        <v>71.690511788384129</v>
      </c>
      <c r="Z132" s="10">
        <f t="shared" si="121"/>
        <v>20021.38157894737</v>
      </c>
      <c r="AA132" s="10">
        <f t="shared" si="122"/>
        <v>31896.513157894737</v>
      </c>
      <c r="AB132" s="60">
        <f t="shared" si="123"/>
        <v>15948.256578947368</v>
      </c>
      <c r="AC132" s="85">
        <f t="shared" si="124"/>
        <v>15788.774013157894</v>
      </c>
      <c r="AD132" s="85">
        <f t="shared" si="52"/>
        <v>15948.256578947368</v>
      </c>
      <c r="AE132" s="83">
        <f t="shared" si="102"/>
        <v>2.3186952031270245</v>
      </c>
      <c r="AF132" s="83">
        <f t="shared" si="103"/>
        <v>1.4706066124917716</v>
      </c>
      <c r="AG132" s="90">
        <f t="shared" si="125"/>
        <v>118.7813686026452</v>
      </c>
      <c r="AH132" s="90">
        <f t="shared" si="126"/>
        <v>119.51551103174843</v>
      </c>
      <c r="AI132" s="10">
        <f t="shared" si="127"/>
        <v>37748.684210526313</v>
      </c>
      <c r="AJ132" s="10">
        <f t="shared" si="128"/>
        <v>60138.15789473684</v>
      </c>
      <c r="AK132" s="60">
        <f t="shared" si="129"/>
        <v>41415.816288474998</v>
      </c>
      <c r="AL132" s="85">
        <f t="shared" si="130"/>
        <v>41001.658125590249</v>
      </c>
      <c r="AM132" s="85">
        <f t="shared" si="53"/>
        <v>41415.816288474998</v>
      </c>
      <c r="AN132" s="83">
        <f t="shared" si="104"/>
        <v>1.2582042730148368</v>
      </c>
      <c r="AO132" s="83">
        <f t="shared" si="105"/>
        <v>0.7982159929217898</v>
      </c>
      <c r="AP132" s="90">
        <f t="shared" si="131"/>
        <v>86.852165491359202</v>
      </c>
      <c r="AQ132" s="90">
        <f t="shared" si="132"/>
        <v>86.852165491359202</v>
      </c>
      <c r="AR132" s="10">
        <f t="shared" si="133"/>
        <v>21755</v>
      </c>
      <c r="AS132" s="10">
        <f t="shared" si="134"/>
        <v>34658</v>
      </c>
      <c r="AT132" s="60">
        <f t="shared" si="135"/>
        <v>23057.778010079513</v>
      </c>
      <c r="AU132" s="85">
        <f t="shared" si="136"/>
        <v>22827.200229978716</v>
      </c>
      <c r="AV132" s="85">
        <f t="shared" si="54"/>
        <v>23057.778010079513</v>
      </c>
      <c r="AW132" s="10"/>
      <c r="AX132" s="60">
        <f t="shared" si="106"/>
        <v>1264.375</v>
      </c>
      <c r="AZ132" s="99">
        <f t="shared" ca="1" si="137"/>
        <v>118.7813686026452</v>
      </c>
      <c r="BA132" s="99">
        <f t="shared" ca="1" si="138"/>
        <v>119.51551103174843</v>
      </c>
      <c r="BB132" s="100">
        <f t="shared" ca="1" si="139"/>
        <v>41001.658125590249</v>
      </c>
      <c r="BC132" s="100">
        <f t="shared" ca="1" si="140"/>
        <v>41415.816288474998</v>
      </c>
    </row>
    <row r="133" spans="1:55" ht="11.4" x14ac:dyDescent="0.25">
      <c r="A133" s="1"/>
      <c r="B133" s="1">
        <v>77</v>
      </c>
      <c r="C133" s="66"/>
      <c r="D133" s="83">
        <f t="shared" si="96"/>
        <v>0</v>
      </c>
      <c r="E133" s="83">
        <f t="shared" si="97"/>
        <v>0</v>
      </c>
      <c r="F133" s="90">
        <f t="shared" si="107"/>
        <v>2.837725816449221</v>
      </c>
      <c r="G133" s="90">
        <f t="shared" si="108"/>
        <v>2.837725816449221</v>
      </c>
      <c r="H133" s="10">
        <f t="shared" si="109"/>
        <v>1376.7272727272727</v>
      </c>
      <c r="I133" s="10">
        <f t="shared" si="110"/>
        <v>2193.2467532467531</v>
      </c>
      <c r="J133" s="60">
        <f t="shared" si="111"/>
        <v>36.291624932529153</v>
      </c>
      <c r="K133" s="85">
        <f t="shared" si="112"/>
        <v>35.928708683203858</v>
      </c>
      <c r="L133" s="85">
        <f t="shared" si="50"/>
        <v>36.291624932529153</v>
      </c>
      <c r="M133" s="83">
        <f t="shared" si="98"/>
        <v>0.29552255248018067</v>
      </c>
      <c r="N133" s="83">
        <f t="shared" si="99"/>
        <v>0.18784735011376902</v>
      </c>
      <c r="O133" s="90">
        <f t="shared" si="113"/>
        <v>22.207173849727038</v>
      </c>
      <c r="P133" s="90">
        <f t="shared" si="114"/>
        <v>22.207173849727038</v>
      </c>
      <c r="Q133" s="10">
        <f t="shared" si="115"/>
        <v>9351.9480519480512</v>
      </c>
      <c r="R133" s="10">
        <f t="shared" si="116"/>
        <v>14899.025974025973</v>
      </c>
      <c r="S133" s="60">
        <f t="shared" si="117"/>
        <v>6412.8533663909166</v>
      </c>
      <c r="T133" s="85">
        <f t="shared" si="118"/>
        <v>6348.7248327270072</v>
      </c>
      <c r="U133" s="85">
        <f t="shared" si="51"/>
        <v>6412.8533663909166</v>
      </c>
      <c r="V133" s="83">
        <f t="shared" si="100"/>
        <v>0.82258120882618413</v>
      </c>
      <c r="W133" s="83">
        <f t="shared" si="101"/>
        <v>0.52202210486883449</v>
      </c>
      <c r="X133" s="90">
        <f t="shared" si="119"/>
        <v>70.759466180742777</v>
      </c>
      <c r="Y133" s="90">
        <f t="shared" si="120"/>
        <v>70.759466180742777</v>
      </c>
      <c r="Z133" s="10">
        <f t="shared" si="121"/>
        <v>19761.363636363636</v>
      </c>
      <c r="AA133" s="10">
        <f t="shared" si="122"/>
        <v>31482.272727272728</v>
      </c>
      <c r="AB133" s="60">
        <f t="shared" si="123"/>
        <v>15536.706021251475</v>
      </c>
      <c r="AC133" s="85">
        <f t="shared" si="124"/>
        <v>15381.33896103896</v>
      </c>
      <c r="AD133" s="85">
        <f t="shared" si="52"/>
        <v>15536.706021251475</v>
      </c>
      <c r="AE133" s="83">
        <f t="shared" si="102"/>
        <v>2.2615496413026719</v>
      </c>
      <c r="AF133" s="83">
        <f t="shared" si="103"/>
        <v>1.4343815116127998</v>
      </c>
      <c r="AG133" s="90">
        <f t="shared" si="125"/>
        <v>117.96336153782963</v>
      </c>
      <c r="AH133" s="90">
        <f t="shared" si="126"/>
        <v>117.96336153782963</v>
      </c>
      <c r="AI133" s="10">
        <f t="shared" si="127"/>
        <v>37258.441558441562</v>
      </c>
      <c r="AJ133" s="10">
        <f t="shared" si="128"/>
        <v>59357.142857142855</v>
      </c>
      <c r="AK133" s="60">
        <f t="shared" si="129"/>
        <v>40446.525440462858</v>
      </c>
      <c r="AL133" s="85">
        <f t="shared" si="130"/>
        <v>40042.060186058232</v>
      </c>
      <c r="AM133" s="85">
        <f t="shared" si="53"/>
        <v>40446.525440462858</v>
      </c>
      <c r="AN133" s="83">
        <f t="shared" si="104"/>
        <v>1.2258783150296984</v>
      </c>
      <c r="AO133" s="83">
        <f t="shared" si="105"/>
        <v>0.7777274422848508</v>
      </c>
      <c r="AP133" s="90">
        <f t="shared" si="131"/>
        <v>85.724215290172722</v>
      </c>
      <c r="AQ133" s="90">
        <f t="shared" si="132"/>
        <v>85.724215290172722</v>
      </c>
      <c r="AR133" s="10">
        <f t="shared" si="133"/>
        <v>21472.467532467534</v>
      </c>
      <c r="AS133" s="10">
        <f t="shared" si="134"/>
        <v>34207.896103896106</v>
      </c>
      <c r="AT133" s="60">
        <f t="shared" si="135"/>
        <v>22518.136510682456</v>
      </c>
      <c r="AU133" s="85">
        <f t="shared" si="136"/>
        <v>22292.95514557563</v>
      </c>
      <c r="AV133" s="85">
        <f t="shared" si="54"/>
        <v>22518.136510682456</v>
      </c>
      <c r="AW133" s="10"/>
      <c r="AX133" s="60">
        <f t="shared" si="106"/>
        <v>1284.125</v>
      </c>
      <c r="AZ133" s="99">
        <f t="shared" ca="1" si="137"/>
        <v>117.96336153782963</v>
      </c>
      <c r="BA133" s="99">
        <f t="shared" ca="1" si="138"/>
        <v>117.96336153782963</v>
      </c>
      <c r="BB133" s="100">
        <f t="shared" ca="1" si="139"/>
        <v>40042.060186058232</v>
      </c>
      <c r="BC133" s="100">
        <f t="shared" ca="1" si="140"/>
        <v>40446.525440462858</v>
      </c>
    </row>
    <row r="134" spans="1:55" ht="11.4" x14ac:dyDescent="0.25">
      <c r="A134" s="1"/>
      <c r="B134" s="1">
        <v>78</v>
      </c>
      <c r="C134" s="66"/>
      <c r="D134" s="83">
        <f t="shared" si="96"/>
        <v>0</v>
      </c>
      <c r="E134" s="83">
        <f t="shared" si="97"/>
        <v>0</v>
      </c>
      <c r="F134" s="90">
        <f t="shared" si="107"/>
        <v>2.8013447162383334</v>
      </c>
      <c r="G134" s="90">
        <f t="shared" si="108"/>
        <v>2.8013447162383334</v>
      </c>
      <c r="H134" s="10">
        <f t="shared" si="109"/>
        <v>1359.0769230769231</v>
      </c>
      <c r="I134" s="10">
        <f t="shared" si="110"/>
        <v>2165.1282051282051</v>
      </c>
      <c r="J134" s="60">
        <f t="shared" si="111"/>
        <v>35.139592437764939</v>
      </c>
      <c r="K134" s="85">
        <f t="shared" si="112"/>
        <v>34.788196513387291</v>
      </c>
      <c r="L134" s="85">
        <f t="shared" si="50"/>
        <v>35.139592437764939</v>
      </c>
      <c r="M134" s="83">
        <f t="shared" si="98"/>
        <v>0.28688675514540996</v>
      </c>
      <c r="N134" s="83">
        <f t="shared" si="99"/>
        <v>0.18237928705303422</v>
      </c>
      <c r="O134" s="90">
        <f t="shared" si="113"/>
        <v>21.922466492679256</v>
      </c>
      <c r="P134" s="90">
        <f t="shared" si="114"/>
        <v>21.922466492679256</v>
      </c>
      <c r="Q134" s="10">
        <f t="shared" si="115"/>
        <v>9232.0512820512813</v>
      </c>
      <c r="R134" s="10">
        <f t="shared" si="116"/>
        <v>14708.01282051282</v>
      </c>
      <c r="S134" s="60">
        <f t="shared" si="117"/>
        <v>6283.435815222002</v>
      </c>
      <c r="T134" s="85">
        <f t="shared" si="118"/>
        <v>6220.6014570697816</v>
      </c>
      <c r="U134" s="85">
        <f t="shared" si="51"/>
        <v>6283.435815222002</v>
      </c>
      <c r="V134" s="83">
        <f t="shared" si="100"/>
        <v>0.79855591512650692</v>
      </c>
      <c r="W134" s="83">
        <f t="shared" si="101"/>
        <v>0.50679652978998668</v>
      </c>
      <c r="X134" s="90">
        <f t="shared" si="119"/>
        <v>69.852293537399916</v>
      </c>
      <c r="Y134" s="90">
        <f t="shared" si="120"/>
        <v>69.852293537399916</v>
      </c>
      <c r="Z134" s="10">
        <f t="shared" si="121"/>
        <v>19508.01282051282</v>
      </c>
      <c r="AA134" s="10">
        <f t="shared" si="122"/>
        <v>31078.653846153848</v>
      </c>
      <c r="AB134" s="60">
        <f t="shared" si="123"/>
        <v>15140.882642998027</v>
      </c>
      <c r="AC134" s="85">
        <f t="shared" si="124"/>
        <v>14989.473816568046</v>
      </c>
      <c r="AD134" s="85">
        <f t="shared" si="52"/>
        <v>15140.882642998027</v>
      </c>
      <c r="AE134" s="83">
        <f t="shared" si="102"/>
        <v>2.2064046295120767</v>
      </c>
      <c r="AF134" s="83">
        <f t="shared" si="103"/>
        <v>1.3994248799696289</v>
      </c>
      <c r="AG134" s="90">
        <f t="shared" si="125"/>
        <v>116.45101074888309</v>
      </c>
      <c r="AH134" s="90">
        <f t="shared" si="126"/>
        <v>116.45101074888309</v>
      </c>
      <c r="AI134" s="10">
        <f t="shared" si="127"/>
        <v>36780.769230769234</v>
      </c>
      <c r="AJ134" s="10">
        <f t="shared" si="128"/>
        <v>58596.153846153844</v>
      </c>
      <c r="AK134" s="60">
        <f t="shared" si="129"/>
        <v>39511.992149937454</v>
      </c>
      <c r="AL134" s="85">
        <f t="shared" si="130"/>
        <v>39116.872228438078</v>
      </c>
      <c r="AM134" s="85">
        <f t="shared" si="53"/>
        <v>39511.992149937454</v>
      </c>
      <c r="AN134" s="83">
        <f t="shared" si="104"/>
        <v>1.194662907127314</v>
      </c>
      <c r="AO134" s="83">
        <f t="shared" si="105"/>
        <v>0.75794306787423893</v>
      </c>
      <c r="AP134" s="90">
        <f t="shared" si="131"/>
        <v>84.625186889016661</v>
      </c>
      <c r="AQ134" s="90">
        <f t="shared" si="132"/>
        <v>84.625186889016661</v>
      </c>
      <c r="AR134" s="10">
        <f t="shared" si="133"/>
        <v>21197.179487179488</v>
      </c>
      <c r="AS134" s="10">
        <f t="shared" si="134"/>
        <v>33769.333333333336</v>
      </c>
      <c r="AT134" s="60">
        <f t="shared" si="135"/>
        <v>21997.845880506946</v>
      </c>
      <c r="AU134" s="85">
        <f t="shared" si="136"/>
        <v>21777.867421701878</v>
      </c>
      <c r="AV134" s="85">
        <f t="shared" si="54"/>
        <v>21997.845880506946</v>
      </c>
      <c r="AW134" s="10"/>
      <c r="AX134" s="60">
        <f t="shared" si="106"/>
        <v>1304</v>
      </c>
      <c r="AZ134" s="99">
        <f t="shared" ca="1" si="137"/>
        <v>116.45101074888309</v>
      </c>
      <c r="BA134" s="99">
        <f t="shared" ca="1" si="138"/>
        <v>116.45101074888309</v>
      </c>
      <c r="BB134" s="100">
        <f t="shared" ca="1" si="139"/>
        <v>39116.872228438078</v>
      </c>
      <c r="BC134" s="100">
        <f t="shared" ca="1" si="140"/>
        <v>39511.992149937454</v>
      </c>
    </row>
    <row r="135" spans="1:55" ht="11.4" x14ac:dyDescent="0.25">
      <c r="A135" s="1"/>
      <c r="B135" s="1">
        <v>79</v>
      </c>
      <c r="C135" s="66"/>
      <c r="D135" s="83">
        <f t="shared" si="96"/>
        <v>0</v>
      </c>
      <c r="E135" s="83">
        <f t="shared" si="97"/>
        <v>0</v>
      </c>
      <c r="F135" s="90">
        <f t="shared" si="107"/>
        <v>2.765884656539114</v>
      </c>
      <c r="G135" s="90">
        <f t="shared" si="108"/>
        <v>2.765884656539114</v>
      </c>
      <c r="H135" s="10">
        <f t="shared" si="109"/>
        <v>1341.873417721519</v>
      </c>
      <c r="I135" s="10">
        <f t="shared" si="110"/>
        <v>2137.7215189873418</v>
      </c>
      <c r="J135" s="60">
        <f t="shared" si="111"/>
        <v>34.038114791078705</v>
      </c>
      <c r="K135" s="85">
        <f t="shared" si="112"/>
        <v>33.697733643167915</v>
      </c>
      <c r="L135" s="85">
        <f t="shared" si="50"/>
        <v>34.038114791078705</v>
      </c>
      <c r="M135" s="83">
        <f t="shared" si="98"/>
        <v>0.27847962584201896</v>
      </c>
      <c r="N135" s="83">
        <f t="shared" si="99"/>
        <v>0.17705630050446425</v>
      </c>
      <c r="O135" s="90">
        <f t="shared" si="113"/>
        <v>21.644966916822558</v>
      </c>
      <c r="P135" s="90">
        <f t="shared" si="114"/>
        <v>21.644966916822558</v>
      </c>
      <c r="Q135" s="10">
        <f t="shared" si="115"/>
        <v>9115.1898734177212</v>
      </c>
      <c r="R135" s="10">
        <f t="shared" si="116"/>
        <v>14521.835443037975</v>
      </c>
      <c r="S135" s="60">
        <f t="shared" si="117"/>
        <v>6158.2292356759826</v>
      </c>
      <c r="T135" s="85">
        <f t="shared" si="118"/>
        <v>6096.6469433192224</v>
      </c>
      <c r="U135" s="85">
        <f t="shared" si="51"/>
        <v>6158.2292356759826</v>
      </c>
      <c r="V135" s="83">
        <f t="shared" si="100"/>
        <v>0.7753788392785611</v>
      </c>
      <c r="W135" s="83">
        <f t="shared" si="101"/>
        <v>0.49210884880969902</v>
      </c>
      <c r="X135" s="90">
        <f t="shared" si="119"/>
        <v>68.968087290091063</v>
      </c>
      <c r="Y135" s="90">
        <f t="shared" si="120"/>
        <v>68.968087290091063</v>
      </c>
      <c r="Z135" s="10">
        <f t="shared" si="121"/>
        <v>19261.075949367088</v>
      </c>
      <c r="AA135" s="10">
        <f t="shared" si="122"/>
        <v>30685.253164556962</v>
      </c>
      <c r="AB135" s="60">
        <f t="shared" si="123"/>
        <v>14759.995193078032</v>
      </c>
      <c r="AC135" s="85">
        <f t="shared" si="124"/>
        <v>14612.395241147251</v>
      </c>
      <c r="AD135" s="85">
        <f t="shared" si="52"/>
        <v>14759.995193078032</v>
      </c>
      <c r="AE135" s="83">
        <f t="shared" si="102"/>
        <v>2.1531564980879954</v>
      </c>
      <c r="AF135" s="83">
        <f t="shared" si="103"/>
        <v>1.3656710333901481</v>
      </c>
      <c r="AG135" s="90">
        <f t="shared" si="125"/>
        <v>114.97694732168205</v>
      </c>
      <c r="AH135" s="90">
        <f t="shared" si="126"/>
        <v>114.97694732168205</v>
      </c>
      <c r="AI135" s="10">
        <f t="shared" si="127"/>
        <v>36315.189873417723</v>
      </c>
      <c r="AJ135" s="10">
        <f t="shared" si="128"/>
        <v>57854.430379746838</v>
      </c>
      <c r="AK135" s="60">
        <f t="shared" si="129"/>
        <v>38610.548065666932</v>
      </c>
      <c r="AL135" s="85">
        <f t="shared" si="130"/>
        <v>38224.442585010263</v>
      </c>
      <c r="AM135" s="85">
        <f t="shared" si="53"/>
        <v>38610.548065666932</v>
      </c>
      <c r="AN135" s="83">
        <f t="shared" si="104"/>
        <v>1.1644970993429138</v>
      </c>
      <c r="AO135" s="83">
        <f t="shared" si="105"/>
        <v>0.73882427139514728</v>
      </c>
      <c r="AP135" s="90">
        <f t="shared" si="131"/>
        <v>83.553981991687337</v>
      </c>
      <c r="AQ135" s="90">
        <f t="shared" si="132"/>
        <v>83.553981991687337</v>
      </c>
      <c r="AR135" s="10">
        <f t="shared" si="133"/>
        <v>20928.860759493669</v>
      </c>
      <c r="AS135" s="10">
        <f t="shared" si="134"/>
        <v>33341.873417721516</v>
      </c>
      <c r="AT135" s="60">
        <f t="shared" si="135"/>
        <v>21495.977284248147</v>
      </c>
      <c r="AU135" s="85">
        <f t="shared" si="136"/>
        <v>21281.017511405666</v>
      </c>
      <c r="AV135" s="85">
        <f t="shared" si="54"/>
        <v>21495.977284248147</v>
      </c>
      <c r="AW135" s="10"/>
      <c r="AX135" s="60">
        <f t="shared" si="106"/>
        <v>1324.125</v>
      </c>
      <c r="AZ135" s="99">
        <f t="shared" ca="1" si="137"/>
        <v>114.97694732168205</v>
      </c>
      <c r="BA135" s="99">
        <f t="shared" ca="1" si="138"/>
        <v>114.97694732168205</v>
      </c>
      <c r="BB135" s="100">
        <f t="shared" ca="1" si="139"/>
        <v>38224.442585010263</v>
      </c>
      <c r="BC135" s="100">
        <f t="shared" ca="1" si="140"/>
        <v>38610.548065666932</v>
      </c>
    </row>
    <row r="136" spans="1:55" ht="11.4" x14ac:dyDescent="0.25">
      <c r="A136" s="1"/>
      <c r="B136" s="1">
        <v>80</v>
      </c>
      <c r="C136" s="66"/>
      <c r="D136" s="83">
        <f t="shared" si="96"/>
        <v>0</v>
      </c>
      <c r="E136" s="83">
        <f t="shared" si="97"/>
        <v>0</v>
      </c>
      <c r="F136" s="90">
        <f t="shared" si="107"/>
        <v>2.731311098332375</v>
      </c>
      <c r="G136" s="90">
        <f t="shared" si="108"/>
        <v>2.731311098332375</v>
      </c>
      <c r="H136" s="10">
        <f t="shared" si="109"/>
        <v>1325.1</v>
      </c>
      <c r="I136" s="10">
        <f t="shared" si="110"/>
        <v>2111</v>
      </c>
      <c r="J136" s="60">
        <f t="shared" si="111"/>
        <v>32.984375000000007</v>
      </c>
      <c r="K136" s="85">
        <f t="shared" si="112"/>
        <v>32.654531250000005</v>
      </c>
      <c r="L136" s="85">
        <f t="shared" si="50"/>
        <v>32.984375000000007</v>
      </c>
      <c r="M136" s="83">
        <f t="shared" si="98"/>
        <v>0.27029761240490391</v>
      </c>
      <c r="N136" s="83">
        <f t="shared" si="99"/>
        <v>0.17187609201793605</v>
      </c>
      <c r="O136" s="90">
        <f t="shared" si="113"/>
        <v>21.374404830362273</v>
      </c>
      <c r="P136" s="90">
        <f t="shared" si="114"/>
        <v>21.374404830362273</v>
      </c>
      <c r="Q136" s="10">
        <f t="shared" si="115"/>
        <v>9001.25</v>
      </c>
      <c r="R136" s="10">
        <f t="shared" si="116"/>
        <v>14340.3125</v>
      </c>
      <c r="S136" s="60">
        <f t="shared" si="117"/>
        <v>6037.0458739991454</v>
      </c>
      <c r="T136" s="85">
        <f t="shared" si="118"/>
        <v>5976.6754152591539</v>
      </c>
      <c r="U136" s="85">
        <f t="shared" si="51"/>
        <v>6037.0458739991454</v>
      </c>
      <c r="V136" s="83">
        <f t="shared" si="100"/>
        <v>0.75301440561381605</v>
      </c>
      <c r="W136" s="83">
        <f t="shared" si="101"/>
        <v>0.47793645938782875</v>
      </c>
      <c r="X136" s="90">
        <f t="shared" si="119"/>
        <v>68.105986198964928</v>
      </c>
      <c r="Y136" s="90">
        <f t="shared" si="120"/>
        <v>68.105986198964928</v>
      </c>
      <c r="Z136" s="10">
        <f t="shared" si="121"/>
        <v>19020.3125</v>
      </c>
      <c r="AA136" s="10">
        <f t="shared" si="122"/>
        <v>30301.6875</v>
      </c>
      <c r="AB136" s="60">
        <f t="shared" si="123"/>
        <v>14393.301562499999</v>
      </c>
      <c r="AC136" s="85">
        <f t="shared" si="124"/>
        <v>14249.368546874999</v>
      </c>
      <c r="AD136" s="85">
        <f t="shared" si="52"/>
        <v>14393.301562499999</v>
      </c>
      <c r="AE136" s="83">
        <f t="shared" si="102"/>
        <v>2.1017219319915541</v>
      </c>
      <c r="AF136" s="83">
        <f t="shared" si="103"/>
        <v>1.3330671008011319</v>
      </c>
      <c r="AG136" s="90">
        <f t="shared" si="125"/>
        <v>113.53973548016101</v>
      </c>
      <c r="AH136" s="90">
        <f t="shared" si="126"/>
        <v>113.53973548016101</v>
      </c>
      <c r="AI136" s="10">
        <f t="shared" si="127"/>
        <v>35861.25</v>
      </c>
      <c r="AJ136" s="10">
        <f t="shared" si="128"/>
        <v>57131.25</v>
      </c>
      <c r="AK136" s="60">
        <f t="shared" si="129"/>
        <v>37740.624667831347</v>
      </c>
      <c r="AL136" s="85">
        <f t="shared" si="130"/>
        <v>37363.218421153033</v>
      </c>
      <c r="AM136" s="85">
        <f t="shared" si="53"/>
        <v>37740.624667831347</v>
      </c>
      <c r="AN136" s="83">
        <f t="shared" si="104"/>
        <v>1.1353377400629017</v>
      </c>
      <c r="AO136" s="83">
        <f t="shared" si="105"/>
        <v>0.72034364687701091</v>
      </c>
      <c r="AP136" s="90">
        <f t="shared" si="131"/>
        <v>82.509557216791251</v>
      </c>
      <c r="AQ136" s="90">
        <f t="shared" si="132"/>
        <v>82.509557216791251</v>
      </c>
      <c r="AR136" s="10">
        <f t="shared" si="133"/>
        <v>20667.25</v>
      </c>
      <c r="AS136" s="10">
        <f t="shared" si="134"/>
        <v>32925.1</v>
      </c>
      <c r="AT136" s="60">
        <f t="shared" si="135"/>
        <v>21011.657466588324</v>
      </c>
      <c r="AU136" s="85">
        <f t="shared" si="136"/>
        <v>20801.540891922439</v>
      </c>
      <c r="AV136" s="85">
        <f t="shared" si="54"/>
        <v>21011.657466588324</v>
      </c>
      <c r="AW136" s="10"/>
      <c r="AX136" s="60">
        <f t="shared" si="106"/>
        <v>1344.375</v>
      </c>
      <c r="AZ136" s="99">
        <f t="shared" ca="1" si="137"/>
        <v>113.53973548016101</v>
      </c>
      <c r="BA136" s="99">
        <f t="shared" ca="1" si="138"/>
        <v>113.53973548016101</v>
      </c>
      <c r="BB136" s="100">
        <f t="shared" ca="1" si="139"/>
        <v>37363.218421153033</v>
      </c>
      <c r="BC136" s="100">
        <f t="shared" ca="1" si="140"/>
        <v>37740.624667831347</v>
      </c>
    </row>
    <row r="137" spans="1:55" ht="11.4" x14ac:dyDescent="0.25">
      <c r="A137" s="1"/>
      <c r="B137" s="1">
        <v>81</v>
      </c>
      <c r="C137" s="66"/>
      <c r="D137" s="83">
        <f t="shared" si="96"/>
        <v>0</v>
      </c>
      <c r="E137" s="83">
        <f t="shared" si="97"/>
        <v>0</v>
      </c>
      <c r="F137" s="90">
        <f t="shared" si="107"/>
        <v>2.6975912082295062</v>
      </c>
      <c r="G137" s="90">
        <f t="shared" si="108"/>
        <v>2.6975912082295062</v>
      </c>
      <c r="H137" s="10">
        <f t="shared" si="109"/>
        <v>1308.7407407407406</v>
      </c>
      <c r="I137" s="10">
        <f t="shared" si="110"/>
        <v>2084.9382716049381</v>
      </c>
      <c r="J137" s="60">
        <f t="shared" si="111"/>
        <v>31.975745570641692</v>
      </c>
      <c r="K137" s="85">
        <f t="shared" si="112"/>
        <v>31.655988114935276</v>
      </c>
      <c r="L137" s="85">
        <f t="shared" si="50"/>
        <v>31.975745570641692</v>
      </c>
      <c r="M137" s="83">
        <f t="shared" si="98"/>
        <v>0.26231589223932927</v>
      </c>
      <c r="N137" s="83">
        <f t="shared" si="99"/>
        <v>0.16682301563802027</v>
      </c>
      <c r="O137" s="90">
        <f t="shared" si="113"/>
        <v>21.110523289246689</v>
      </c>
      <c r="P137" s="90">
        <f t="shared" si="114"/>
        <v>21.110523289246689</v>
      </c>
      <c r="Q137" s="10">
        <f t="shared" si="115"/>
        <v>8890.1234567901229</v>
      </c>
      <c r="R137" s="10">
        <f t="shared" si="116"/>
        <v>14163.271604938273</v>
      </c>
      <c r="S137" s="60">
        <f t="shared" si="117"/>
        <v>5919.7085543203311</v>
      </c>
      <c r="T137" s="85">
        <f t="shared" si="118"/>
        <v>5860.5114687771274</v>
      </c>
      <c r="U137" s="85">
        <f t="shared" si="51"/>
        <v>5919.7085543203311</v>
      </c>
      <c r="V137" s="83">
        <f t="shared" si="100"/>
        <v>0.73140778680651608</v>
      </c>
      <c r="W137" s="83">
        <f t="shared" si="101"/>
        <v>0.46424469145557812</v>
      </c>
      <c r="X137" s="90">
        <f t="shared" si="119"/>
        <v>67.265171554533254</v>
      </c>
      <c r="Y137" s="90">
        <f t="shared" si="120"/>
        <v>67.265171554533254</v>
      </c>
      <c r="Z137" s="10">
        <f t="shared" si="121"/>
        <v>18785.493827160495</v>
      </c>
      <c r="AA137" s="10">
        <f t="shared" si="122"/>
        <v>29927.592592592591</v>
      </c>
      <c r="AB137" s="60">
        <f t="shared" si="123"/>
        <v>14040.10516689529</v>
      </c>
      <c r="AC137" s="85">
        <f t="shared" si="124"/>
        <v>13899.704115226337</v>
      </c>
      <c r="AD137" s="85">
        <f t="shared" si="52"/>
        <v>14040.10516689529</v>
      </c>
      <c r="AE137" s="83">
        <f t="shared" si="102"/>
        <v>2.0520010899921735</v>
      </c>
      <c r="AF137" s="83">
        <f t="shared" si="103"/>
        <v>1.3015498716470186</v>
      </c>
      <c r="AG137" s="90">
        <f t="shared" si="125"/>
        <v>112.13801035077631</v>
      </c>
      <c r="AH137" s="90">
        <f t="shared" si="126"/>
        <v>112.13801035077631</v>
      </c>
      <c r="AI137" s="10">
        <f t="shared" si="127"/>
        <v>35418.518518518518</v>
      </c>
      <c r="AJ137" s="10">
        <f t="shared" si="128"/>
        <v>56425.925925925927</v>
      </c>
      <c r="AK137" s="60">
        <f t="shared" si="129"/>
        <v>36900.746141458236</v>
      </c>
      <c r="AL137" s="85">
        <f t="shared" si="130"/>
        <v>36531.738680043651</v>
      </c>
      <c r="AM137" s="85">
        <f t="shared" si="53"/>
        <v>36900.746141458236</v>
      </c>
      <c r="AN137" s="83">
        <f t="shared" si="104"/>
        <v>1.1071227776871602</v>
      </c>
      <c r="AO137" s="83">
        <f t="shared" si="105"/>
        <v>0.70246194379289095</v>
      </c>
      <c r="AP137" s="90">
        <f t="shared" si="131"/>
        <v>81.490920707941967</v>
      </c>
      <c r="AQ137" s="90">
        <f t="shared" si="132"/>
        <v>81.490920707941967</v>
      </c>
      <c r="AR137" s="10">
        <f t="shared" si="133"/>
        <v>20412.0987654321</v>
      </c>
      <c r="AS137" s="10">
        <f t="shared" si="134"/>
        <v>32518.617283950618</v>
      </c>
      <c r="AT137" s="60">
        <f t="shared" si="135"/>
        <v>20544.064784564263</v>
      </c>
      <c r="AU137" s="85">
        <f t="shared" si="136"/>
        <v>20338.624136718619</v>
      </c>
      <c r="AV137" s="85">
        <f t="shared" si="54"/>
        <v>20544.064784564263</v>
      </c>
      <c r="AW137" s="10"/>
      <c r="AX137" s="60">
        <f t="shared" si="106"/>
        <v>1365</v>
      </c>
      <c r="AZ137" s="99">
        <f t="shared" ca="1" si="137"/>
        <v>112.13801035077631</v>
      </c>
      <c r="BA137" s="99">
        <f t="shared" ca="1" si="138"/>
        <v>112.13801035077631</v>
      </c>
      <c r="BB137" s="100">
        <f t="shared" ca="1" si="139"/>
        <v>36531.738680043651</v>
      </c>
      <c r="BC137" s="100">
        <f t="shared" ca="1" si="140"/>
        <v>36900.746141458236</v>
      </c>
    </row>
    <row r="138" spans="1:55" ht="11.4" x14ac:dyDescent="0.25">
      <c r="A138" s="1"/>
      <c r="B138" s="1">
        <v>82</v>
      </c>
      <c r="C138" s="66"/>
      <c r="D138" s="83">
        <f t="shared" si="96"/>
        <v>0</v>
      </c>
      <c r="E138" s="83">
        <f t="shared" si="97"/>
        <v>0</v>
      </c>
      <c r="F138" s="90">
        <f t="shared" si="107"/>
        <v>2.6646937544706097</v>
      </c>
      <c r="G138" s="90">
        <f t="shared" si="108"/>
        <v>2.6646937544706097</v>
      </c>
      <c r="H138" s="10">
        <f t="shared" si="109"/>
        <v>1292.780487804878</v>
      </c>
      <c r="I138" s="10">
        <f t="shared" si="110"/>
        <v>2059.5121951219512</v>
      </c>
      <c r="J138" s="60">
        <f t="shared" si="111"/>
        <v>31.009773624736486</v>
      </c>
      <c r="K138" s="85">
        <f t="shared" si="112"/>
        <v>30.699675888489121</v>
      </c>
      <c r="L138" s="85">
        <f t="shared" si="50"/>
        <v>31.009773624736486</v>
      </c>
      <c r="M138" s="83">
        <f t="shared" si="98"/>
        <v>0.25454668151042253</v>
      </c>
      <c r="N138" s="83">
        <f t="shared" si="99"/>
        <v>0.16190467813019502</v>
      </c>
      <c r="O138" s="90">
        <f t="shared" si="113"/>
        <v>20.853077883280267</v>
      </c>
      <c r="P138" s="90">
        <f t="shared" si="114"/>
        <v>20.853077883280267</v>
      </c>
      <c r="Q138" s="10">
        <f t="shared" si="115"/>
        <v>8781.707317073171</v>
      </c>
      <c r="R138" s="10">
        <f t="shared" si="116"/>
        <v>13990.548780487805</v>
      </c>
      <c r="S138" s="60">
        <f t="shared" si="117"/>
        <v>5806.0499614105011</v>
      </c>
      <c r="T138" s="85">
        <f t="shared" si="118"/>
        <v>5747.9894617963964</v>
      </c>
      <c r="U138" s="85">
        <f t="shared" si="51"/>
        <v>5806.0499614105011</v>
      </c>
      <c r="V138" s="83">
        <f t="shared" si="100"/>
        <v>0.71054306325301575</v>
      </c>
      <c r="W138" s="83">
        <f t="shared" si="101"/>
        <v>0.4510233126565053</v>
      </c>
      <c r="X138" s="90">
        <f t="shared" si="119"/>
        <v>66.444864584356026</v>
      </c>
      <c r="Y138" s="90">
        <f t="shared" si="120"/>
        <v>66.444864584356026</v>
      </c>
      <c r="Z138" s="10">
        <f t="shared" si="121"/>
        <v>18556.40243902439</v>
      </c>
      <c r="AA138" s="10">
        <f t="shared" si="122"/>
        <v>29562.621951219513</v>
      </c>
      <c r="AB138" s="60">
        <f t="shared" si="123"/>
        <v>13699.751635930994</v>
      </c>
      <c r="AC138" s="85">
        <f t="shared" si="124"/>
        <v>13562.754119571684</v>
      </c>
      <c r="AD138" s="85">
        <f t="shared" si="52"/>
        <v>13699.751635930994</v>
      </c>
      <c r="AE138" s="83">
        <f t="shared" si="102"/>
        <v>2.0039355776356316</v>
      </c>
      <c r="AF138" s="83">
        <f t="shared" si="103"/>
        <v>1.2710821829392562</v>
      </c>
      <c r="AG138" s="90">
        <f t="shared" si="125"/>
        <v>110.77047363918147</v>
      </c>
      <c r="AH138" s="90">
        <f t="shared" si="126"/>
        <v>110.77047363918147</v>
      </c>
      <c r="AI138" s="10">
        <f t="shared" si="127"/>
        <v>34986.585365853658</v>
      </c>
      <c r="AJ138" s="10">
        <f t="shared" si="128"/>
        <v>55737.804878048781</v>
      </c>
      <c r="AK138" s="60">
        <f t="shared" si="129"/>
        <v>36089.522838891113</v>
      </c>
      <c r="AL138" s="85">
        <f t="shared" si="130"/>
        <v>35728.627610502204</v>
      </c>
      <c r="AM138" s="85">
        <f t="shared" si="53"/>
        <v>36089.522838891113</v>
      </c>
      <c r="AN138" s="83">
        <f t="shared" si="104"/>
        <v>1.0798294009967568</v>
      </c>
      <c r="AO138" s="83">
        <f t="shared" si="105"/>
        <v>0.68516456024640793</v>
      </c>
      <c r="AP138" s="90">
        <f t="shared" si="131"/>
        <v>80.49712899199146</v>
      </c>
      <c r="AQ138" s="90">
        <f t="shared" si="132"/>
        <v>80.49712899199146</v>
      </c>
      <c r="AR138" s="10">
        <f t="shared" si="133"/>
        <v>20163.170731707316</v>
      </c>
      <c r="AS138" s="10">
        <f t="shared" si="134"/>
        <v>32122.048780487807</v>
      </c>
      <c r="AT138" s="60">
        <f t="shared" si="135"/>
        <v>20092.425567872029</v>
      </c>
      <c r="AU138" s="85">
        <f t="shared" si="136"/>
        <v>19891.501312193308</v>
      </c>
      <c r="AV138" s="85">
        <f t="shared" si="54"/>
        <v>20092.425567872029</v>
      </c>
      <c r="AW138" s="10"/>
      <c r="AX138" s="60">
        <f t="shared" si="106"/>
        <v>1385.625</v>
      </c>
      <c r="AZ138" s="99">
        <f t="shared" ca="1" si="137"/>
        <v>110.77047363918147</v>
      </c>
      <c r="BA138" s="99">
        <f t="shared" ca="1" si="138"/>
        <v>110.77047363918147</v>
      </c>
      <c r="BB138" s="100">
        <f t="shared" ca="1" si="139"/>
        <v>35728.627610502204</v>
      </c>
      <c r="BC138" s="100">
        <f t="shared" ca="1" si="140"/>
        <v>36089.522838891113</v>
      </c>
    </row>
    <row r="139" spans="1:55" ht="11.4" x14ac:dyDescent="0.25">
      <c r="A139" s="1"/>
      <c r="B139" s="1">
        <v>83</v>
      </c>
      <c r="C139" s="66"/>
      <c r="D139" s="83">
        <f t="shared" si="96"/>
        <v>0</v>
      </c>
      <c r="E139" s="83">
        <f t="shared" si="97"/>
        <v>0</v>
      </c>
      <c r="F139" s="90">
        <f t="shared" si="107"/>
        <v>2.6325890104408431</v>
      </c>
      <c r="G139" s="90">
        <f t="shared" si="108"/>
        <v>2.6325890104408431</v>
      </c>
      <c r="H139" s="10">
        <f t="shared" si="109"/>
        <v>1277.2048192771085</v>
      </c>
      <c r="I139" s="10">
        <f t="shared" si="110"/>
        <v>2034.698795180723</v>
      </c>
      <c r="J139" s="60">
        <f t="shared" si="111"/>
        <v>30.084167349264764</v>
      </c>
      <c r="K139" s="85">
        <f t="shared" si="112"/>
        <v>29.783325675772115</v>
      </c>
      <c r="L139" s="85">
        <f t="shared" si="50"/>
        <v>30.084167349264764</v>
      </c>
      <c r="M139" s="83">
        <f t="shared" si="98"/>
        <v>0.24695896487751864</v>
      </c>
      <c r="N139" s="83">
        <f t="shared" si="99"/>
        <v>0.15710155335378714</v>
      </c>
      <c r="O139" s="90">
        <f t="shared" si="113"/>
        <v>20.601835981072071</v>
      </c>
      <c r="P139" s="90">
        <f t="shared" si="114"/>
        <v>20.601835981072071</v>
      </c>
      <c r="Q139" s="10">
        <f t="shared" si="115"/>
        <v>8675.9036144578313</v>
      </c>
      <c r="R139" s="10">
        <f t="shared" si="116"/>
        <v>13821.987951807228</v>
      </c>
      <c r="S139" s="60">
        <f t="shared" si="117"/>
        <v>5695.9119801019615</v>
      </c>
      <c r="T139" s="85">
        <f t="shared" si="118"/>
        <v>5638.9528603009421</v>
      </c>
      <c r="U139" s="85">
        <f t="shared" si="51"/>
        <v>5695.9119801019615</v>
      </c>
      <c r="V139" s="83">
        <f t="shared" si="100"/>
        <v>0.69036281575365344</v>
      </c>
      <c r="W139" s="83">
        <f t="shared" si="101"/>
        <v>0.43823605582311098</v>
      </c>
      <c r="X139" s="90">
        <f t="shared" si="119"/>
        <v>65.644324047195099</v>
      </c>
      <c r="Y139" s="90">
        <f t="shared" si="120"/>
        <v>65.644324047195099</v>
      </c>
      <c r="Z139" s="10">
        <f t="shared" si="121"/>
        <v>18332.831325301206</v>
      </c>
      <c r="AA139" s="10">
        <f t="shared" si="122"/>
        <v>29206.445783132531</v>
      </c>
      <c r="AB139" s="60">
        <f t="shared" si="123"/>
        <v>13371.625780229351</v>
      </c>
      <c r="AC139" s="85">
        <f t="shared" si="124"/>
        <v>13237.909522427057</v>
      </c>
      <c r="AD139" s="85">
        <f t="shared" si="52"/>
        <v>13371.625780229351</v>
      </c>
      <c r="AE139" s="83">
        <f t="shared" si="102"/>
        <v>1.9574278683240536</v>
      </c>
      <c r="AF139" s="83">
        <f t="shared" si="103"/>
        <v>1.2416023379309227</v>
      </c>
      <c r="AG139" s="90">
        <f t="shared" si="125"/>
        <v>109.4358896194323</v>
      </c>
      <c r="AH139" s="90">
        <f t="shared" si="126"/>
        <v>109.4358896194323</v>
      </c>
      <c r="AI139" s="10">
        <f t="shared" si="127"/>
        <v>34565.060240963852</v>
      </c>
      <c r="AJ139" s="10">
        <f t="shared" si="128"/>
        <v>55066.265060240963</v>
      </c>
      <c r="AK139" s="60">
        <f t="shared" si="129"/>
        <v>35305.645276128176</v>
      </c>
      <c r="AL139" s="85">
        <f t="shared" si="130"/>
        <v>34952.588823366896</v>
      </c>
      <c r="AM139" s="85">
        <f t="shared" si="53"/>
        <v>35305.645276128176</v>
      </c>
      <c r="AN139" s="83">
        <f t="shared" si="104"/>
        <v>1.053393613963332</v>
      </c>
      <c r="AO139" s="83">
        <f t="shared" si="105"/>
        <v>0.66841105911650833</v>
      </c>
      <c r="AP139" s="90">
        <f t="shared" si="131"/>
        <v>79.527284064377099</v>
      </c>
      <c r="AQ139" s="90">
        <f t="shared" si="132"/>
        <v>79.527284064377099</v>
      </c>
      <c r="AR139" s="10">
        <f t="shared" si="133"/>
        <v>19920.24096385542</v>
      </c>
      <c r="AS139" s="10">
        <f t="shared" si="134"/>
        <v>31735.036144578313</v>
      </c>
      <c r="AT139" s="60">
        <f t="shared" si="135"/>
        <v>19656.01077639779</v>
      </c>
      <c r="AU139" s="85">
        <f t="shared" si="136"/>
        <v>19459.450668633814</v>
      </c>
      <c r="AV139" s="85">
        <f t="shared" si="54"/>
        <v>19656.01077639779</v>
      </c>
      <c r="AW139" s="10"/>
      <c r="AX139" s="60">
        <f t="shared" si="106"/>
        <v>1406.625</v>
      </c>
      <c r="AZ139" s="99">
        <f t="shared" ca="1" si="137"/>
        <v>109.4358896194323</v>
      </c>
      <c r="BA139" s="99">
        <f t="shared" ca="1" si="138"/>
        <v>109.4358896194323</v>
      </c>
      <c r="BB139" s="100">
        <f t="shared" ca="1" si="139"/>
        <v>34952.588823366896</v>
      </c>
      <c r="BC139" s="100">
        <f t="shared" ca="1" si="140"/>
        <v>35305.645276128176</v>
      </c>
    </row>
    <row r="140" spans="1:55" ht="11.4" x14ac:dyDescent="0.25">
      <c r="A140" s="1"/>
      <c r="B140" s="1">
        <v>84</v>
      </c>
      <c r="C140" s="66"/>
      <c r="D140" s="83">
        <f t="shared" si="96"/>
        <v>0</v>
      </c>
      <c r="E140" s="83">
        <f t="shared" si="97"/>
        <v>0</v>
      </c>
      <c r="F140" s="90">
        <f t="shared" si="107"/>
        <v>2.6012486650784523</v>
      </c>
      <c r="G140" s="90">
        <f t="shared" si="108"/>
        <v>2.6012486650784523</v>
      </c>
      <c r="H140" s="10">
        <f t="shared" si="109"/>
        <v>1262</v>
      </c>
      <c r="I140" s="10">
        <f t="shared" si="110"/>
        <v>2010.4761904761904</v>
      </c>
      <c r="J140" s="60">
        <f t="shared" si="111"/>
        <v>29.196783645044697</v>
      </c>
      <c r="K140" s="85">
        <f t="shared" si="112"/>
        <v>28.90481580859425</v>
      </c>
      <c r="L140" s="85">
        <f t="shared" si="50"/>
        <v>29.196783645044697</v>
      </c>
      <c r="M140" s="83">
        <f t="shared" si="98"/>
        <v>0.23955869241886804</v>
      </c>
      <c r="N140" s="83">
        <f t="shared" si="99"/>
        <v>0.15241732138814712</v>
      </c>
      <c r="O140" s="90">
        <f t="shared" si="113"/>
        <v>20.356576028916454</v>
      </c>
      <c r="P140" s="90">
        <f t="shared" si="114"/>
        <v>20.356576028916454</v>
      </c>
      <c r="Q140" s="10">
        <f t="shared" si="115"/>
        <v>8572.6190476190477</v>
      </c>
      <c r="R140" s="10">
        <f t="shared" si="116"/>
        <v>13657.440476190477</v>
      </c>
      <c r="S140" s="60">
        <f t="shared" si="117"/>
        <v>5589.1450862723013</v>
      </c>
      <c r="T140" s="85">
        <f t="shared" si="118"/>
        <v>5533.2536354095782</v>
      </c>
      <c r="U140" s="85">
        <f t="shared" si="51"/>
        <v>5589.1450862723013</v>
      </c>
      <c r="V140" s="83">
        <f t="shared" si="100"/>
        <v>0.67084819691945763</v>
      </c>
      <c r="W140" s="83">
        <f t="shared" si="101"/>
        <v>0.42587087851994077</v>
      </c>
      <c r="X140" s="90">
        <f t="shared" si="119"/>
        <v>64.862843999014217</v>
      </c>
      <c r="Y140" s="90">
        <f t="shared" si="120"/>
        <v>64.862843999014217</v>
      </c>
      <c r="Z140" s="10">
        <f t="shared" si="121"/>
        <v>18114.583333333332</v>
      </c>
      <c r="AA140" s="10">
        <f t="shared" si="122"/>
        <v>28858.75</v>
      </c>
      <c r="AB140" s="60">
        <f t="shared" si="123"/>
        <v>13055.148809523809</v>
      </c>
      <c r="AC140" s="85">
        <f t="shared" si="124"/>
        <v>12924.597321428571</v>
      </c>
      <c r="AD140" s="85">
        <f t="shared" si="52"/>
        <v>13055.148809523809</v>
      </c>
      <c r="AE140" s="83">
        <f t="shared" si="102"/>
        <v>1.9124212165936945</v>
      </c>
      <c r="AF140" s="83">
        <f t="shared" si="103"/>
        <v>1.213074265400222</v>
      </c>
      <c r="AG140" s="90">
        <f t="shared" si="125"/>
        <v>108.13308140967716</v>
      </c>
      <c r="AH140" s="90">
        <f t="shared" si="126"/>
        <v>108.13308140967716</v>
      </c>
      <c r="AI140" s="10">
        <f t="shared" si="127"/>
        <v>34153.571428571428</v>
      </c>
      <c r="AJ140" s="10">
        <f t="shared" si="128"/>
        <v>54410.714285714283</v>
      </c>
      <c r="AK140" s="60">
        <f t="shared" si="129"/>
        <v>34547.878613626424</v>
      </c>
      <c r="AL140" s="85">
        <f t="shared" si="130"/>
        <v>34202.399827490161</v>
      </c>
      <c r="AM140" s="85">
        <f t="shared" si="53"/>
        <v>34547.878613626424</v>
      </c>
      <c r="AN140" s="83">
        <f t="shared" si="104"/>
        <v>1.0277902903510792</v>
      </c>
      <c r="AO140" s="83">
        <f t="shared" si="105"/>
        <v>0.65218541694574761</v>
      </c>
      <c r="AP140" s="90">
        <f t="shared" si="131"/>
        <v>78.580530682658335</v>
      </c>
      <c r="AQ140" s="90">
        <f t="shared" si="132"/>
        <v>78.580530682658335</v>
      </c>
      <c r="AR140" s="10">
        <f t="shared" si="133"/>
        <v>19683.095238095237</v>
      </c>
      <c r="AS140" s="10">
        <f t="shared" si="134"/>
        <v>31357.238095238095</v>
      </c>
      <c r="AT140" s="60">
        <f t="shared" si="135"/>
        <v>19234.132927469185</v>
      </c>
      <c r="AU140" s="85">
        <f t="shared" si="136"/>
        <v>19041.791598194493</v>
      </c>
      <c r="AV140" s="85">
        <f t="shared" si="54"/>
        <v>19234.132927469185</v>
      </c>
      <c r="AW140" s="10"/>
      <c r="AX140" s="60">
        <f t="shared" si="106"/>
        <v>1427.75</v>
      </c>
      <c r="AZ140" s="99">
        <f t="shared" ca="1" si="137"/>
        <v>108.13308140967716</v>
      </c>
      <c r="BA140" s="99">
        <f t="shared" ca="1" si="138"/>
        <v>108.13308140967716</v>
      </c>
      <c r="BB140" s="100">
        <f t="shared" ca="1" si="139"/>
        <v>34202.399827490161</v>
      </c>
      <c r="BC140" s="100">
        <f t="shared" ca="1" si="140"/>
        <v>34547.878613626424</v>
      </c>
    </row>
    <row r="141" spans="1:55" ht="11.4" x14ac:dyDescent="0.25">
      <c r="A141" s="1"/>
      <c r="B141" s="1">
        <v>85</v>
      </c>
      <c r="C141" s="66"/>
      <c r="D141" s="83">
        <f t="shared" si="96"/>
        <v>0</v>
      </c>
      <c r="E141" s="83">
        <f t="shared" si="97"/>
        <v>0</v>
      </c>
      <c r="F141" s="90">
        <f t="shared" si="107"/>
        <v>2.5706457396069413</v>
      </c>
      <c r="G141" s="90">
        <f t="shared" si="108"/>
        <v>2.5706457396069413</v>
      </c>
      <c r="H141" s="10">
        <f t="shared" si="109"/>
        <v>1247.1529411764707</v>
      </c>
      <c r="I141" s="10">
        <f t="shared" si="110"/>
        <v>1986.8235294117646</v>
      </c>
      <c r="J141" s="60">
        <f t="shared" si="111"/>
        <v>28.345616855457362</v>
      </c>
      <c r="K141" s="85">
        <f t="shared" si="112"/>
        <v>28.062160686902789</v>
      </c>
      <c r="L141" s="85">
        <f t="shared" si="50"/>
        <v>28.345616855457362</v>
      </c>
      <c r="M141" s="83">
        <f t="shared" si="98"/>
        <v>0.23233769036995541</v>
      </c>
      <c r="N141" s="83">
        <f t="shared" si="99"/>
        <v>0.14784679976312778</v>
      </c>
      <c r="O141" s="90">
        <f t="shared" si="113"/>
        <v>20.117086899164494</v>
      </c>
      <c r="P141" s="90">
        <f t="shared" si="114"/>
        <v>20.117086899164494</v>
      </c>
      <c r="Q141" s="10">
        <f t="shared" si="115"/>
        <v>8471.7647058823532</v>
      </c>
      <c r="R141" s="10">
        <f t="shared" si="116"/>
        <v>13496.764705882353</v>
      </c>
      <c r="S141" s="60">
        <f t="shared" si="117"/>
        <v>5485.6077848105406</v>
      </c>
      <c r="T141" s="85">
        <f t="shared" si="118"/>
        <v>5430.7517069624355</v>
      </c>
      <c r="U141" s="85">
        <f t="shared" si="51"/>
        <v>5485.6077848105406</v>
      </c>
      <c r="V141" s="83">
        <f t="shared" si="100"/>
        <v>0.65196772683383819</v>
      </c>
      <c r="W141" s="83">
        <f t="shared" si="101"/>
        <v>0.4139078213112099</v>
      </c>
      <c r="X141" s="90">
        <f t="shared" si="119"/>
        <v>64.09975171667287</v>
      </c>
      <c r="Y141" s="90">
        <f t="shared" si="120"/>
        <v>64.09975171667287</v>
      </c>
      <c r="Z141" s="10">
        <f t="shared" si="121"/>
        <v>17901.470588235294</v>
      </c>
      <c r="AA141" s="10">
        <f t="shared" si="122"/>
        <v>28519.235294117647</v>
      </c>
      <c r="AB141" s="60">
        <f t="shared" si="123"/>
        <v>12749.775778546713</v>
      </c>
      <c r="AC141" s="85">
        <f t="shared" si="124"/>
        <v>12622.278020761245</v>
      </c>
      <c r="AD141" s="85">
        <f t="shared" si="52"/>
        <v>12749.775778546713</v>
      </c>
      <c r="AE141" s="83">
        <f t="shared" si="102"/>
        <v>1.8688483079189391</v>
      </c>
      <c r="AF141" s="83">
        <f t="shared" si="103"/>
        <v>1.1854552854389162</v>
      </c>
      <c r="AG141" s="90">
        <f t="shared" si="125"/>
        <v>106.86092751073978</v>
      </c>
      <c r="AH141" s="90">
        <f t="shared" si="126"/>
        <v>106.86092751073978</v>
      </c>
      <c r="AI141" s="10">
        <f t="shared" si="127"/>
        <v>33751.76470588235</v>
      </c>
      <c r="AJ141" s="10">
        <f t="shared" si="128"/>
        <v>53770.588235294119</v>
      </c>
      <c r="AK141" s="60">
        <f t="shared" si="129"/>
        <v>33815.057577263426</v>
      </c>
      <c r="AL141" s="85">
        <f t="shared" si="130"/>
        <v>33476.907001490792</v>
      </c>
      <c r="AM141" s="85">
        <f t="shared" si="53"/>
        <v>33815.057577263426</v>
      </c>
      <c r="AN141" s="83">
        <f t="shared" si="104"/>
        <v>1.0029819535742976</v>
      </c>
      <c r="AO141" s="83">
        <f t="shared" si="105"/>
        <v>0.63646387218750322</v>
      </c>
      <c r="AP141" s="90">
        <f t="shared" si="131"/>
        <v>77.656053851097639</v>
      </c>
      <c r="AQ141" s="90">
        <f t="shared" si="132"/>
        <v>77.656053851097639</v>
      </c>
      <c r="AR141" s="10">
        <f t="shared" si="133"/>
        <v>19451.529411764706</v>
      </c>
      <c r="AS141" s="10">
        <f t="shared" si="134"/>
        <v>30988.329411764706</v>
      </c>
      <c r="AT141" s="60">
        <f t="shared" si="135"/>
        <v>18826.143268159332</v>
      </c>
      <c r="AU141" s="85">
        <f t="shared" si="136"/>
        <v>18637.88183547774</v>
      </c>
      <c r="AV141" s="85">
        <f t="shared" si="54"/>
        <v>18826.143268159332</v>
      </c>
      <c r="AW141" s="10"/>
      <c r="AX141" s="60">
        <f t="shared" si="106"/>
        <v>1449</v>
      </c>
      <c r="AZ141" s="99">
        <f t="shared" ca="1" si="137"/>
        <v>106.86092751073978</v>
      </c>
      <c r="BA141" s="99">
        <f t="shared" ca="1" si="138"/>
        <v>106.86092751073978</v>
      </c>
      <c r="BB141" s="100">
        <f t="shared" ca="1" si="139"/>
        <v>33476.907001490792</v>
      </c>
      <c r="BC141" s="100">
        <f t="shared" ca="1" si="140"/>
        <v>33815.057577263426</v>
      </c>
    </row>
    <row r="142" spans="1:55" ht="11.4" x14ac:dyDescent="0.25">
      <c r="A142" s="1"/>
      <c r="B142" s="1">
        <v>86</v>
      </c>
      <c r="C142" s="66"/>
      <c r="D142" s="83">
        <f t="shared" si="96"/>
        <v>0</v>
      </c>
      <c r="E142" s="83">
        <f t="shared" si="97"/>
        <v>0</v>
      </c>
      <c r="F142" s="90">
        <f t="shared" si="107"/>
        <v>2.5407545100766278</v>
      </c>
      <c r="G142" s="90">
        <f t="shared" si="108"/>
        <v>2.5407545100766278</v>
      </c>
      <c r="H142" s="10">
        <f t="shared" si="109"/>
        <v>1232.6511627906978</v>
      </c>
      <c r="I142" s="10">
        <f t="shared" si="110"/>
        <v>1963.7209302325582</v>
      </c>
      <c r="J142" s="60">
        <f t="shared" si="111"/>
        <v>27.528788469490003</v>
      </c>
      <c r="K142" s="85">
        <f t="shared" si="112"/>
        <v>27.253500584795102</v>
      </c>
      <c r="L142" s="85">
        <f t="shared" si="50"/>
        <v>27.528788469490003</v>
      </c>
      <c r="M142" s="83">
        <f t="shared" si="98"/>
        <v>0.22528092495986224</v>
      </c>
      <c r="N142" s="83">
        <f t="shared" si="99"/>
        <v>0.1433805027554261</v>
      </c>
      <c r="O142" s="90">
        <f t="shared" si="113"/>
        <v>19.883167284057929</v>
      </c>
      <c r="P142" s="90">
        <f t="shared" si="114"/>
        <v>19.883167284057929</v>
      </c>
      <c r="Q142" s="10">
        <f t="shared" si="115"/>
        <v>8373.2558139534885</v>
      </c>
      <c r="R142" s="10">
        <f t="shared" si="116"/>
        <v>13339.825581395349</v>
      </c>
      <c r="S142" s="60">
        <f t="shared" si="117"/>
        <v>5385.1660904387372</v>
      </c>
      <c r="T142" s="85">
        <f t="shared" si="118"/>
        <v>5331.31442953435</v>
      </c>
      <c r="U142" s="85">
        <f t="shared" si="51"/>
        <v>5385.1660904387372</v>
      </c>
      <c r="V142" s="83">
        <f t="shared" si="100"/>
        <v>0.63368445127552953</v>
      </c>
      <c r="W142" s="83">
        <f t="shared" si="101"/>
        <v>0.40232350009431606</v>
      </c>
      <c r="X142" s="90">
        <f t="shared" si="119"/>
        <v>63.354405766478997</v>
      </c>
      <c r="Y142" s="90">
        <f t="shared" si="120"/>
        <v>63.354405766478997</v>
      </c>
      <c r="Z142" s="10">
        <f t="shared" si="121"/>
        <v>17693.31395348837</v>
      </c>
      <c r="AA142" s="10">
        <f t="shared" si="122"/>
        <v>28187.616279069767</v>
      </c>
      <c r="AB142" s="60">
        <f t="shared" si="123"/>
        <v>12454.993239588966</v>
      </c>
      <c r="AC142" s="85">
        <f t="shared" si="124"/>
        <v>12330.443307193076</v>
      </c>
      <c r="AD142" s="85">
        <f t="shared" si="52"/>
        <v>12454.993239588966</v>
      </c>
      <c r="AE142" s="83">
        <f t="shared" si="102"/>
        <v>1.8266382822667999</v>
      </c>
      <c r="AF142" s="83">
        <f t="shared" si="103"/>
        <v>1.1587005164010449</v>
      </c>
      <c r="AG142" s="90">
        <f t="shared" si="125"/>
        <v>105.61835858619629</v>
      </c>
      <c r="AH142" s="90">
        <f t="shared" si="126"/>
        <v>105.61835858619629</v>
      </c>
      <c r="AI142" s="10">
        <f t="shared" si="127"/>
        <v>33359.302325581397</v>
      </c>
      <c r="AJ142" s="10">
        <f t="shared" si="128"/>
        <v>53145.348837209305</v>
      </c>
      <c r="AK142" s="60">
        <f t="shared" si="129"/>
        <v>33106.081779666805</v>
      </c>
      <c r="AL142" s="85">
        <f t="shared" si="130"/>
        <v>32775.020961870134</v>
      </c>
      <c r="AM142" s="85">
        <f t="shared" si="53"/>
        <v>33106.081779666805</v>
      </c>
      <c r="AN142" s="83">
        <f t="shared" si="104"/>
        <v>0.9789259200536502</v>
      </c>
      <c r="AO142" s="83">
        <f t="shared" si="105"/>
        <v>0.62121940811345744</v>
      </c>
      <c r="AP142" s="90">
        <f t="shared" si="131"/>
        <v>76.753076480736041</v>
      </c>
      <c r="AQ142" s="90">
        <f t="shared" si="132"/>
        <v>76.753076480736041</v>
      </c>
      <c r="AR142" s="10">
        <f t="shared" si="133"/>
        <v>19225.348837209302</v>
      </c>
      <c r="AS142" s="10">
        <f t="shared" si="134"/>
        <v>30628</v>
      </c>
      <c r="AT142" s="60">
        <f t="shared" si="135"/>
        <v>18431.429170491021</v>
      </c>
      <c r="AU142" s="85">
        <f t="shared" si="136"/>
        <v>18247.114878786109</v>
      </c>
      <c r="AV142" s="85">
        <f t="shared" si="54"/>
        <v>18431.429170491021</v>
      </c>
      <c r="AW142" s="10"/>
      <c r="AX142" s="60">
        <f t="shared" si="106"/>
        <v>1470.5</v>
      </c>
      <c r="AZ142" s="99">
        <f t="shared" ca="1" si="137"/>
        <v>105.61835858619629</v>
      </c>
      <c r="BA142" s="99">
        <f t="shared" ca="1" si="138"/>
        <v>105.61835858619629</v>
      </c>
      <c r="BB142" s="100">
        <f t="shared" ca="1" si="139"/>
        <v>32775.020961870134</v>
      </c>
      <c r="BC142" s="100">
        <f t="shared" ca="1" si="140"/>
        <v>33106.081779666805</v>
      </c>
    </row>
    <row r="143" spans="1:55" ht="11.4" x14ac:dyDescent="0.25">
      <c r="A143" s="1"/>
      <c r="B143" s="1">
        <v>87</v>
      </c>
      <c r="C143" s="66"/>
      <c r="D143" s="83">
        <f t="shared" si="96"/>
        <v>0</v>
      </c>
      <c r="E143" s="83">
        <f t="shared" si="97"/>
        <v>0</v>
      </c>
      <c r="F143" s="90">
        <f t="shared" si="107"/>
        <v>2.5115504352481608</v>
      </c>
      <c r="G143" s="90">
        <f t="shared" si="108"/>
        <v>2.5115504352481608</v>
      </c>
      <c r="H143" s="10">
        <f t="shared" si="109"/>
        <v>1218.4827586206898</v>
      </c>
      <c r="I143" s="10">
        <f t="shared" si="110"/>
        <v>1941.1494252873563</v>
      </c>
      <c r="J143" s="60">
        <f t="shared" si="111"/>
        <v>26.744537704733666</v>
      </c>
      <c r="K143" s="85">
        <f t="shared" si="112"/>
        <v>26.477092327686329</v>
      </c>
      <c r="L143" s="85">
        <f t="shared" si="50"/>
        <v>26.744537704733666</v>
      </c>
      <c r="M143" s="83">
        <f t="shared" si="98"/>
        <v>0.21838106233609617</v>
      </c>
      <c r="N143" s="83">
        <f t="shared" si="99"/>
        <v>0.13901378043029855</v>
      </c>
      <c r="O143" s="90">
        <f t="shared" si="113"/>
        <v>19.654625131367609</v>
      </c>
      <c r="P143" s="90">
        <f t="shared" si="114"/>
        <v>19.654625131367609</v>
      </c>
      <c r="Q143" s="10">
        <f t="shared" si="115"/>
        <v>8277.0114942528744</v>
      </c>
      <c r="R143" s="10">
        <f t="shared" si="116"/>
        <v>13186.494252873563</v>
      </c>
      <c r="S143" s="60">
        <f t="shared" si="117"/>
        <v>5287.6930476677298</v>
      </c>
      <c r="T143" s="85">
        <f t="shared" si="118"/>
        <v>5234.8161171910524</v>
      </c>
      <c r="U143" s="85">
        <f t="shared" si="51"/>
        <v>5287.6930476677298</v>
      </c>
      <c r="V143" s="83">
        <f t="shared" si="100"/>
        <v>0.61597040461673769</v>
      </c>
      <c r="W143" s="83">
        <f t="shared" si="101"/>
        <v>0.39110018362303622</v>
      </c>
      <c r="X143" s="90">
        <f t="shared" si="119"/>
        <v>62.626194205944756</v>
      </c>
      <c r="Y143" s="90">
        <f t="shared" si="120"/>
        <v>62.626194205944756</v>
      </c>
      <c r="Z143" s="10">
        <f t="shared" si="121"/>
        <v>17489.942528735632</v>
      </c>
      <c r="AA143" s="10">
        <f t="shared" si="122"/>
        <v>27863.620689655174</v>
      </c>
      <c r="AB143" s="60">
        <f t="shared" si="123"/>
        <v>12170.317082837893</v>
      </c>
      <c r="AC143" s="85">
        <f t="shared" si="124"/>
        <v>12048.613912009514</v>
      </c>
      <c r="AD143" s="85">
        <f t="shared" si="52"/>
        <v>12170.317082837893</v>
      </c>
      <c r="AE143" s="83">
        <f t="shared" si="102"/>
        <v>1.7857310725404565</v>
      </c>
      <c r="AF143" s="83">
        <f t="shared" si="103"/>
        <v>1.1327718735172809</v>
      </c>
      <c r="AG143" s="90">
        <f t="shared" si="125"/>
        <v>104.40435446451588</v>
      </c>
      <c r="AH143" s="90">
        <f t="shared" si="126"/>
        <v>104.40435446451588</v>
      </c>
      <c r="AI143" s="10">
        <f t="shared" si="127"/>
        <v>32975.862068965514</v>
      </c>
      <c r="AJ143" s="10">
        <f t="shared" si="128"/>
        <v>52534.482758620688</v>
      </c>
      <c r="AK143" s="60">
        <f t="shared" si="129"/>
        <v>32419.911406132436</v>
      </c>
      <c r="AL143" s="85">
        <f t="shared" si="130"/>
        <v>32095.712292071112</v>
      </c>
      <c r="AM143" s="85">
        <f t="shared" si="53"/>
        <v>32419.911406132436</v>
      </c>
      <c r="AN143" s="83">
        <f t="shared" si="104"/>
        <v>0.95558874812582262</v>
      </c>
      <c r="AO143" s="83">
        <f t="shared" si="105"/>
        <v>0.60643082146757399</v>
      </c>
      <c r="AP143" s="90">
        <f t="shared" si="131"/>
        <v>75.87085721084253</v>
      </c>
      <c r="AQ143" s="90">
        <f t="shared" si="132"/>
        <v>75.87085721084253</v>
      </c>
      <c r="AR143" s="10">
        <f t="shared" si="133"/>
        <v>19004.367816091955</v>
      </c>
      <c r="AS143" s="10">
        <f t="shared" si="134"/>
        <v>30275.954022988506</v>
      </c>
      <c r="AT143" s="60">
        <f t="shared" si="135"/>
        <v>18049.411729621421</v>
      </c>
      <c r="AU143" s="85">
        <f t="shared" si="136"/>
        <v>17868.917612325207</v>
      </c>
      <c r="AV143" s="85">
        <f t="shared" si="54"/>
        <v>18049.411729621421</v>
      </c>
      <c r="AW143" s="10"/>
      <c r="AX143" s="60">
        <f t="shared" si="106"/>
        <v>1492.25</v>
      </c>
      <c r="AZ143" s="99">
        <f t="shared" ca="1" si="137"/>
        <v>104.40435446451588</v>
      </c>
      <c r="BA143" s="99">
        <f t="shared" ca="1" si="138"/>
        <v>104.40435446451588</v>
      </c>
      <c r="BB143" s="100">
        <f t="shared" ca="1" si="139"/>
        <v>32095.712292071112</v>
      </c>
      <c r="BC143" s="100">
        <f t="shared" ca="1" si="140"/>
        <v>32419.911406132436</v>
      </c>
    </row>
    <row r="144" spans="1:55" ht="11.4" x14ac:dyDescent="0.25">
      <c r="A144" s="1"/>
      <c r="B144" s="1">
        <v>88</v>
      </c>
      <c r="C144" s="66"/>
      <c r="D144" s="83">
        <f t="shared" si="96"/>
        <v>0</v>
      </c>
      <c r="E144" s="83">
        <f t="shared" si="97"/>
        <v>0</v>
      </c>
      <c r="F144" s="90">
        <f t="shared" si="107"/>
        <v>2.4830100893930682</v>
      </c>
      <c r="G144" s="90">
        <f t="shared" si="108"/>
        <v>2.4830100893930682</v>
      </c>
      <c r="H144" s="10">
        <f t="shared" si="109"/>
        <v>1204.6363636363637</v>
      </c>
      <c r="I144" s="10">
        <f t="shared" si="110"/>
        <v>1919.090909090909</v>
      </c>
      <c r="J144" s="60">
        <f t="shared" si="111"/>
        <v>25.991212886072358</v>
      </c>
      <c r="K144" s="85">
        <f t="shared" si="112"/>
        <v>25.731300757211635</v>
      </c>
      <c r="L144" s="85">
        <f t="shared" si="50"/>
        <v>25.991212886072358</v>
      </c>
      <c r="M144" s="83">
        <f t="shared" si="98"/>
        <v>0.21163114907261404</v>
      </c>
      <c r="N144" s="83">
        <f t="shared" si="99"/>
        <v>0.13474222405749331</v>
      </c>
      <c r="O144" s="90">
        <f t="shared" si="113"/>
        <v>19.431277118511158</v>
      </c>
      <c r="P144" s="90">
        <f t="shared" si="114"/>
        <v>19.431277118511158</v>
      </c>
      <c r="Q144" s="10">
        <f t="shared" si="115"/>
        <v>8182.954545454545</v>
      </c>
      <c r="R144" s="10">
        <f t="shared" si="116"/>
        <v>13036.647727272728</v>
      </c>
      <c r="S144" s="60">
        <f t="shared" si="117"/>
        <v>5193.0682865274966</v>
      </c>
      <c r="T144" s="85">
        <f t="shared" si="118"/>
        <v>5141.1376036622214</v>
      </c>
      <c r="U144" s="85">
        <f t="shared" si="51"/>
        <v>5193.0682865274966</v>
      </c>
      <c r="V144" s="83">
        <f t="shared" si="100"/>
        <v>0.59879920110483065</v>
      </c>
      <c r="W144" s="83">
        <f t="shared" si="101"/>
        <v>0.38022114235065169</v>
      </c>
      <c r="X144" s="90">
        <f t="shared" si="119"/>
        <v>61.91453290814993</v>
      </c>
      <c r="Y144" s="90">
        <f t="shared" si="120"/>
        <v>61.91453290814993</v>
      </c>
      <c r="Z144" s="10">
        <f t="shared" si="121"/>
        <v>17291.19318181818</v>
      </c>
      <c r="AA144" s="10">
        <f t="shared" si="122"/>
        <v>27546.988636363636</v>
      </c>
      <c r="AB144" s="60">
        <f t="shared" si="123"/>
        <v>11895.290547520661</v>
      </c>
      <c r="AC144" s="85">
        <f t="shared" si="124"/>
        <v>11776.337642045453</v>
      </c>
      <c r="AD144" s="85">
        <f t="shared" si="52"/>
        <v>11895.290547520661</v>
      </c>
      <c r="AE144" s="83">
        <f t="shared" si="102"/>
        <v>1.7460698807398116</v>
      </c>
      <c r="AF144" s="83">
        <f t="shared" si="103"/>
        <v>1.1076333447469822</v>
      </c>
      <c r="AG144" s="90">
        <f t="shared" si="125"/>
        <v>103.21794134560092</v>
      </c>
      <c r="AH144" s="90">
        <f t="shared" si="126"/>
        <v>103.21794134560092</v>
      </c>
      <c r="AI144" s="10">
        <f t="shared" si="127"/>
        <v>32601.136363636364</v>
      </c>
      <c r="AJ144" s="10">
        <f t="shared" si="128"/>
        <v>51937.5</v>
      </c>
      <c r="AK144" s="60">
        <f t="shared" si="129"/>
        <v>31755.563232919027</v>
      </c>
      <c r="AL144" s="85">
        <f t="shared" si="130"/>
        <v>31438.007600589837</v>
      </c>
      <c r="AM144" s="85">
        <f t="shared" si="53"/>
        <v>31755.563232919027</v>
      </c>
      <c r="AN144" s="83">
        <f t="shared" si="104"/>
        <v>0.93293881615939389</v>
      </c>
      <c r="AO144" s="83">
        <f t="shared" si="105"/>
        <v>0.59207806296160437</v>
      </c>
      <c r="AP144" s="90">
        <f t="shared" si="131"/>
        <v>75.008688378901127</v>
      </c>
      <c r="AQ144" s="90">
        <f t="shared" si="132"/>
        <v>75.008688378901127</v>
      </c>
      <c r="AR144" s="10">
        <f t="shared" si="133"/>
        <v>18788.409090909092</v>
      </c>
      <c r="AS144" s="10">
        <f t="shared" si="134"/>
        <v>29931.909090909092</v>
      </c>
      <c r="AT144" s="60">
        <f t="shared" si="135"/>
        <v>17679.543547073503</v>
      </c>
      <c r="AU144" s="85">
        <f t="shared" si="136"/>
        <v>17502.748111602767</v>
      </c>
      <c r="AV144" s="85">
        <f t="shared" si="54"/>
        <v>17679.543547073503</v>
      </c>
      <c r="AW144" s="10"/>
      <c r="AX144" s="60">
        <f t="shared" si="106"/>
        <v>1514.25</v>
      </c>
      <c r="AZ144" s="99">
        <f t="shared" ca="1" si="137"/>
        <v>103.21794134560092</v>
      </c>
      <c r="BA144" s="99">
        <f t="shared" ca="1" si="138"/>
        <v>103.21794134560092</v>
      </c>
      <c r="BB144" s="100">
        <f t="shared" ca="1" si="139"/>
        <v>31438.007600589837</v>
      </c>
      <c r="BC144" s="100">
        <f t="shared" ca="1" si="140"/>
        <v>31755.563232919027</v>
      </c>
    </row>
    <row r="145" spans="1:55" ht="11.4" x14ac:dyDescent="0.25">
      <c r="A145" s="1"/>
      <c r="B145" s="1">
        <v>89</v>
      </c>
      <c r="C145" s="66"/>
      <c r="D145" s="83">
        <f t="shared" si="96"/>
        <v>0</v>
      </c>
      <c r="E145" s="83">
        <f t="shared" si="97"/>
        <v>0</v>
      </c>
      <c r="F145" s="90">
        <f t="shared" si="107"/>
        <v>2.4551110996246068</v>
      </c>
      <c r="G145" s="90">
        <f t="shared" si="108"/>
        <v>2.4551110996246068</v>
      </c>
      <c r="H145" s="10">
        <f t="shared" si="109"/>
        <v>1191.1011235955057</v>
      </c>
      <c r="I145" s="10">
        <f t="shared" si="110"/>
        <v>1897.5280898876404</v>
      </c>
      <c r="J145" s="60">
        <f t="shared" si="111"/>
        <v>25.267263544716371</v>
      </c>
      <c r="K145" s="85">
        <f t="shared" si="112"/>
        <v>25.014590909269206</v>
      </c>
      <c r="L145" s="85">
        <f t="shared" si="50"/>
        <v>25.267263544716371</v>
      </c>
      <c r="M145" s="83">
        <f t="shared" si="98"/>
        <v>0.20503188222461108</v>
      </c>
      <c r="N145" s="83">
        <f t="shared" si="99"/>
        <v>0.13056622935030573</v>
      </c>
      <c r="O145" s="90">
        <f t="shared" si="113"/>
        <v>19.212948162123393</v>
      </c>
      <c r="P145" s="90">
        <f t="shared" si="114"/>
        <v>19.212948162123393</v>
      </c>
      <c r="Q145" s="10">
        <f t="shared" si="115"/>
        <v>8091.0112359550558</v>
      </c>
      <c r="R145" s="10">
        <f t="shared" si="116"/>
        <v>12890.168539325843</v>
      </c>
      <c r="S145" s="60">
        <f t="shared" si="117"/>
        <v>5101.177611035243</v>
      </c>
      <c r="T145" s="85">
        <f t="shared" si="118"/>
        <v>5050.1658349248901</v>
      </c>
      <c r="U145" s="85">
        <f t="shared" si="51"/>
        <v>5101.177611035243</v>
      </c>
      <c r="V145" s="83">
        <f t="shared" si="100"/>
        <v>0.5821532227847046</v>
      </c>
      <c r="W145" s="83">
        <f t="shared" si="101"/>
        <v>0.3696751595939981</v>
      </c>
      <c r="X145" s="90">
        <f t="shared" si="119"/>
        <v>61.21886399906959</v>
      </c>
      <c r="Y145" s="90">
        <f t="shared" si="120"/>
        <v>61.21886399906959</v>
      </c>
      <c r="Z145" s="10">
        <f t="shared" si="121"/>
        <v>17096.91011235955</v>
      </c>
      <c r="AA145" s="10">
        <f t="shared" si="122"/>
        <v>27237.471910112359</v>
      </c>
      <c r="AB145" s="60">
        <f t="shared" si="123"/>
        <v>11629.482388587299</v>
      </c>
      <c r="AC145" s="85">
        <f t="shared" si="124"/>
        <v>11513.187564701426</v>
      </c>
      <c r="AD145" s="85">
        <f t="shared" si="52"/>
        <v>11629.482388587299</v>
      </c>
      <c r="AE145" s="83">
        <f t="shared" si="102"/>
        <v>1.7076082593005568</v>
      </c>
      <c r="AF145" s="83">
        <f t="shared" si="103"/>
        <v>1.0832554343644725</v>
      </c>
      <c r="AG145" s="90">
        <f t="shared" si="125"/>
        <v>102.05818919565036</v>
      </c>
      <c r="AH145" s="90">
        <f t="shared" si="126"/>
        <v>102.05818919565036</v>
      </c>
      <c r="AI145" s="10">
        <f t="shared" si="127"/>
        <v>32234.831460674159</v>
      </c>
      <c r="AJ145" s="10">
        <f t="shared" si="128"/>
        <v>51353.932584269663</v>
      </c>
      <c r="AK145" s="60">
        <f t="shared" si="129"/>
        <v>31112.106948879671</v>
      </c>
      <c r="AL145" s="85">
        <f t="shared" si="130"/>
        <v>30800.985879390875</v>
      </c>
      <c r="AM145" s="85">
        <f t="shared" si="53"/>
        <v>31112.106948879671</v>
      </c>
      <c r="AN145" s="83">
        <f t="shared" si="104"/>
        <v>0.91095349808198567</v>
      </c>
      <c r="AO145" s="83">
        <f t="shared" si="105"/>
        <v>0.57814674058010951</v>
      </c>
      <c r="AP145" s="90">
        <f t="shared" si="131"/>
        <v>74.165894127452802</v>
      </c>
      <c r="AQ145" s="90">
        <f t="shared" si="132"/>
        <v>74.165894127452802</v>
      </c>
      <c r="AR145" s="10">
        <f t="shared" si="133"/>
        <v>18577.303370786518</v>
      </c>
      <c r="AS145" s="10">
        <f t="shared" si="134"/>
        <v>29595.595505617977</v>
      </c>
      <c r="AT145" s="60">
        <f t="shared" si="135"/>
        <v>17321.306682846855</v>
      </c>
      <c r="AU145" s="85">
        <f t="shared" si="136"/>
        <v>17148.093616018385</v>
      </c>
      <c r="AV145" s="85">
        <f t="shared" si="54"/>
        <v>17321.306682846855</v>
      </c>
      <c r="AW145" s="10"/>
      <c r="AX145" s="60">
        <f t="shared" si="106"/>
        <v>1536.375</v>
      </c>
      <c r="AZ145" s="99">
        <f t="shared" ca="1" si="137"/>
        <v>102.05818919565036</v>
      </c>
      <c r="BA145" s="99">
        <f t="shared" ca="1" si="138"/>
        <v>102.05818919565036</v>
      </c>
      <c r="BB145" s="100">
        <f t="shared" ca="1" si="139"/>
        <v>30800.985879390875</v>
      </c>
      <c r="BC145" s="100">
        <f t="shared" ca="1" si="140"/>
        <v>31112.106948879671</v>
      </c>
    </row>
    <row r="146" spans="1:55" ht="11.4" x14ac:dyDescent="0.25">
      <c r="A146" s="1"/>
      <c r="B146" s="1">
        <v>90</v>
      </c>
      <c r="C146" s="66"/>
      <c r="D146" s="83">
        <f t="shared" si="96"/>
        <v>0</v>
      </c>
      <c r="E146" s="83">
        <f t="shared" si="97"/>
        <v>0</v>
      </c>
      <c r="F146" s="90">
        <f t="shared" si="107"/>
        <v>2.4278320874065553</v>
      </c>
      <c r="G146" s="90">
        <f t="shared" si="108"/>
        <v>2.4278320874065553</v>
      </c>
      <c r="H146" s="10">
        <f t="shared" si="109"/>
        <v>1177.8666666666666</v>
      </c>
      <c r="I146" s="10">
        <f t="shared" si="110"/>
        <v>1876.4444444444443</v>
      </c>
      <c r="J146" s="60">
        <f t="shared" si="111"/>
        <v>24.571233170120188</v>
      </c>
      <c r="K146" s="85">
        <f t="shared" si="112"/>
        <v>24.325520838418985</v>
      </c>
      <c r="L146" s="85">
        <f t="shared" ref="L146:L206" si="141">MIN(E$39,I146,J146)</f>
        <v>24.571233170120188</v>
      </c>
      <c r="M146" s="83">
        <f t="shared" si="98"/>
        <v>0.19856970580451555</v>
      </c>
      <c r="N146" s="83">
        <f t="shared" si="99"/>
        <v>0.1264772475549362</v>
      </c>
      <c r="O146" s="90">
        <f t="shared" si="113"/>
        <v>18.999470960322022</v>
      </c>
      <c r="P146" s="90">
        <f t="shared" si="114"/>
        <v>18.999470960322022</v>
      </c>
      <c r="Q146" s="10">
        <f t="shared" si="115"/>
        <v>8001.1111111111113</v>
      </c>
      <c r="R146" s="10">
        <f t="shared" si="116"/>
        <v>12746.944444444445</v>
      </c>
      <c r="S146" s="60">
        <f t="shared" si="117"/>
        <v>5011.9126176530281</v>
      </c>
      <c r="T146" s="85">
        <f t="shared" si="118"/>
        <v>4961.7934914764974</v>
      </c>
      <c r="U146" s="85">
        <f t="shared" ref="U146:U206" si="142">MIN(N$39,R146,S146)</f>
        <v>5011.9126176530281</v>
      </c>
      <c r="V146" s="83">
        <f t="shared" si="100"/>
        <v>0.56600164030082989</v>
      </c>
      <c r="W146" s="83">
        <f t="shared" si="101"/>
        <v>0.35944273464273058</v>
      </c>
      <c r="X146" s="90">
        <f t="shared" si="119"/>
        <v>60.538654399079931</v>
      </c>
      <c r="Y146" s="90">
        <f t="shared" si="120"/>
        <v>60.538654399079931</v>
      </c>
      <c r="Z146" s="10">
        <f t="shared" si="121"/>
        <v>16906.944444444445</v>
      </c>
      <c r="AA146" s="10">
        <f t="shared" si="122"/>
        <v>26934.833333333332</v>
      </c>
      <c r="AB146" s="60">
        <f t="shared" si="123"/>
        <v>11372.485185185185</v>
      </c>
      <c r="AC146" s="85">
        <f t="shared" si="124"/>
        <v>11258.760333333334</v>
      </c>
      <c r="AD146" s="85">
        <f t="shared" ref="AD146:AD206" si="143">MIN(W$39,AA146,AB146)</f>
        <v>11372.485185185185</v>
      </c>
      <c r="AE146" s="83">
        <f t="shared" si="102"/>
        <v>1.6702880331310048</v>
      </c>
      <c r="AF146" s="83">
        <f t="shared" si="103"/>
        <v>1.0596013034474945</v>
      </c>
      <c r="AG146" s="90">
        <f t="shared" si="125"/>
        <v>100.92420931569868</v>
      </c>
      <c r="AH146" s="90">
        <f t="shared" si="126"/>
        <v>100.92420931569868</v>
      </c>
      <c r="AI146" s="10">
        <f t="shared" si="127"/>
        <v>31876.666666666668</v>
      </c>
      <c r="AJ146" s="10">
        <f t="shared" si="128"/>
        <v>50783.333333333336</v>
      </c>
      <c r="AK146" s="60">
        <f t="shared" si="129"/>
        <v>30488.661754222914</v>
      </c>
      <c r="AL146" s="85">
        <f t="shared" si="130"/>
        <v>30183.775136680684</v>
      </c>
      <c r="AM146" s="85">
        <f t="shared" ref="AM146:AM206" si="144">MIN(AF$39,AJ146,AK146)</f>
        <v>30488.661754222914</v>
      </c>
      <c r="AN146" s="83">
        <f t="shared" si="104"/>
        <v>0.88959717250901582</v>
      </c>
      <c r="AO146" s="83">
        <f t="shared" si="105"/>
        <v>0.56461431528842509</v>
      </c>
      <c r="AP146" s="90">
        <f t="shared" si="131"/>
        <v>73.341828637147771</v>
      </c>
      <c r="AQ146" s="90">
        <f t="shared" si="132"/>
        <v>73.341828637147771</v>
      </c>
      <c r="AR146" s="10">
        <f t="shared" si="133"/>
        <v>18370.888888888891</v>
      </c>
      <c r="AS146" s="10">
        <f t="shared" si="134"/>
        <v>29266.755555555555</v>
      </c>
      <c r="AT146" s="60">
        <f t="shared" si="135"/>
        <v>16974.210761817125</v>
      </c>
      <c r="AU146" s="85">
        <f t="shared" si="136"/>
        <v>16804.468654198954</v>
      </c>
      <c r="AV146" s="85">
        <f t="shared" ref="AV146:AV206" si="145">MIN(AO$39,AS146,AT146)</f>
        <v>16974.210761817125</v>
      </c>
      <c r="AW146" s="10"/>
      <c r="AX146" s="60">
        <f t="shared" si="106"/>
        <v>1558.75</v>
      </c>
      <c r="AZ146" s="99">
        <f t="shared" ca="1" si="137"/>
        <v>100.92420931569868</v>
      </c>
      <c r="BA146" s="99">
        <f t="shared" ca="1" si="138"/>
        <v>100.92420931569868</v>
      </c>
      <c r="BB146" s="100">
        <f t="shared" ca="1" si="139"/>
        <v>30183.775136680684</v>
      </c>
      <c r="BC146" s="100">
        <f t="shared" ca="1" si="140"/>
        <v>30488.661754222914</v>
      </c>
    </row>
    <row r="147" spans="1:55" ht="11.4" x14ac:dyDescent="0.25">
      <c r="A147" s="1"/>
      <c r="B147" s="1">
        <v>91</v>
      </c>
      <c r="C147" s="66"/>
      <c r="D147" s="83">
        <f t="shared" si="96"/>
        <v>0</v>
      </c>
      <c r="E147" s="83">
        <f t="shared" si="97"/>
        <v>0</v>
      </c>
      <c r="F147" s="90">
        <f t="shared" si="107"/>
        <v>2.4011526139185713</v>
      </c>
      <c r="G147" s="90">
        <f t="shared" si="108"/>
        <v>2.4011526139185713</v>
      </c>
      <c r="H147" s="10">
        <f t="shared" si="109"/>
        <v>1164.9230769230769</v>
      </c>
      <c r="I147" s="10">
        <f t="shared" si="110"/>
        <v>1855.8241758241759</v>
      </c>
      <c r="J147" s="60">
        <f t="shared" si="111"/>
        <v>23.901752554308995</v>
      </c>
      <c r="K147" s="85">
        <f t="shared" si="112"/>
        <v>23.662735028765905</v>
      </c>
      <c r="L147" s="85">
        <f t="shared" si="141"/>
        <v>23.901752554308995</v>
      </c>
      <c r="M147" s="83">
        <f t="shared" si="98"/>
        <v>0.19224596564115864</v>
      </c>
      <c r="N147" s="83">
        <f t="shared" si="99"/>
        <v>0.12247608573125043</v>
      </c>
      <c r="O147" s="90">
        <f t="shared" si="113"/>
        <v>18.790685565153648</v>
      </c>
      <c r="P147" s="90">
        <f t="shared" si="114"/>
        <v>18.790685565153648</v>
      </c>
      <c r="Q147" s="10">
        <f t="shared" si="115"/>
        <v>7913.1868131868132</v>
      </c>
      <c r="R147" s="10">
        <f t="shared" si="116"/>
        <v>12606.868131868132</v>
      </c>
      <c r="S147" s="60">
        <f t="shared" si="117"/>
        <v>4925.1703412449278</v>
      </c>
      <c r="T147" s="85">
        <f t="shared" si="118"/>
        <v>4875.9186378324785</v>
      </c>
      <c r="U147" s="85">
        <f t="shared" si="142"/>
        <v>4925.1703412449278</v>
      </c>
      <c r="V147" s="83">
        <f t="shared" si="100"/>
        <v>0.55032949796871655</v>
      </c>
      <c r="W147" s="83">
        <f t="shared" si="101"/>
        <v>0.34951433879208849</v>
      </c>
      <c r="X147" s="90">
        <f t="shared" si="119"/>
        <v>59.873394460628504</v>
      </c>
      <c r="Y147" s="90">
        <f t="shared" si="120"/>
        <v>59.873394460628504</v>
      </c>
      <c r="Z147" s="10">
        <f t="shared" si="121"/>
        <v>16721.153846153848</v>
      </c>
      <c r="AA147" s="10">
        <f t="shared" si="122"/>
        <v>26638.846153846152</v>
      </c>
      <c r="AB147" s="60">
        <f t="shared" si="123"/>
        <v>11123.913778529162</v>
      </c>
      <c r="AC147" s="85">
        <f t="shared" si="124"/>
        <v>11012.674640743871</v>
      </c>
      <c r="AD147" s="85">
        <f t="shared" si="143"/>
        <v>11123.913778529162</v>
      </c>
      <c r="AE147" s="83">
        <f t="shared" si="102"/>
        <v>1.6340682930844315</v>
      </c>
      <c r="AF147" s="83">
        <f t="shared" si="103"/>
        <v>1.0366449678327292</v>
      </c>
      <c r="AG147" s="90">
        <f t="shared" si="125"/>
        <v>99.815152070471228</v>
      </c>
      <c r="AH147" s="90">
        <f t="shared" si="126"/>
        <v>99.815152070471228</v>
      </c>
      <c r="AI147" s="10">
        <f t="shared" si="127"/>
        <v>31526.373626373625</v>
      </c>
      <c r="AJ147" s="10">
        <f t="shared" si="128"/>
        <v>50225.274725274729</v>
      </c>
      <c r="AK147" s="60">
        <f t="shared" si="129"/>
        <v>29884.393212720843</v>
      </c>
      <c r="AL147" s="85">
        <f t="shared" si="130"/>
        <v>29585.549280593634</v>
      </c>
      <c r="AM147" s="85">
        <f t="shared" si="144"/>
        <v>29884.393212720843</v>
      </c>
      <c r="AN147" s="83">
        <f t="shared" si="104"/>
        <v>0.86885029681821258</v>
      </c>
      <c r="AO147" s="83">
        <f t="shared" si="105"/>
        <v>0.55146835009295048</v>
      </c>
      <c r="AP147" s="90">
        <f t="shared" si="131"/>
        <v>72.535874476299995</v>
      </c>
      <c r="AQ147" s="90">
        <f t="shared" si="132"/>
        <v>72.535874476299995</v>
      </c>
      <c r="AR147" s="10">
        <f t="shared" si="133"/>
        <v>18169.010989010989</v>
      </c>
      <c r="AS147" s="10">
        <f t="shared" si="134"/>
        <v>28945.142857142859</v>
      </c>
      <c r="AT147" s="60">
        <f t="shared" si="135"/>
        <v>16637.791221239182</v>
      </c>
      <c r="AU147" s="85">
        <f t="shared" si="136"/>
        <v>16471.41330902679</v>
      </c>
      <c r="AV147" s="85">
        <f t="shared" si="145"/>
        <v>16637.791221239182</v>
      </c>
      <c r="AW147" s="10"/>
      <c r="AX147" s="60">
        <f t="shared" si="106"/>
        <v>1581.25</v>
      </c>
      <c r="AZ147" s="99">
        <f t="shared" ca="1" si="137"/>
        <v>99.815152070471228</v>
      </c>
      <c r="BA147" s="99">
        <f t="shared" ca="1" si="138"/>
        <v>99.815152070471228</v>
      </c>
      <c r="BB147" s="100">
        <f t="shared" ca="1" si="139"/>
        <v>29585.549280593634</v>
      </c>
      <c r="BC147" s="100">
        <f t="shared" ca="1" si="140"/>
        <v>29884.393212720843</v>
      </c>
    </row>
    <row r="148" spans="1:55" ht="11.4" x14ac:dyDescent="0.25">
      <c r="A148" s="1"/>
      <c r="B148" s="1">
        <v>92</v>
      </c>
      <c r="C148" s="66"/>
      <c r="D148" s="83">
        <f t="shared" si="96"/>
        <v>0</v>
      </c>
      <c r="E148" s="83">
        <f t="shared" si="97"/>
        <v>0</v>
      </c>
      <c r="F148" s="90">
        <f t="shared" si="107"/>
        <v>2.3750531289846739</v>
      </c>
      <c r="G148" s="90">
        <f t="shared" si="108"/>
        <v>2.3750531289846739</v>
      </c>
      <c r="H148" s="10">
        <f t="shared" si="109"/>
        <v>1152.2608695652175</v>
      </c>
      <c r="I148" s="10">
        <f t="shared" si="110"/>
        <v>1835.6521739130435</v>
      </c>
      <c r="J148" s="60">
        <f t="shared" si="111"/>
        <v>23.257533674330119</v>
      </c>
      <c r="K148" s="85">
        <f t="shared" si="112"/>
        <v>23.024958337586817</v>
      </c>
      <c r="L148" s="85">
        <f t="shared" si="141"/>
        <v>23.257533674330119</v>
      </c>
      <c r="M148" s="83">
        <f t="shared" si="98"/>
        <v>0.18604771507464193</v>
      </c>
      <c r="N148" s="83">
        <f t="shared" si="99"/>
        <v>0.11855458146181454</v>
      </c>
      <c r="O148" s="90">
        <f t="shared" si="113"/>
        <v>18.586438982923717</v>
      </c>
      <c r="P148" s="90">
        <f t="shared" si="114"/>
        <v>18.586438982923717</v>
      </c>
      <c r="Q148" s="10">
        <f t="shared" si="115"/>
        <v>7827.173913043478</v>
      </c>
      <c r="R148" s="10">
        <f t="shared" si="116"/>
        <v>12469.83695652174</v>
      </c>
      <c r="S148" s="60">
        <f t="shared" si="117"/>
        <v>4840.8529262752836</v>
      </c>
      <c r="T148" s="85">
        <f t="shared" si="118"/>
        <v>4792.4443970125303</v>
      </c>
      <c r="U148" s="85">
        <f t="shared" si="142"/>
        <v>4840.8529262752836</v>
      </c>
      <c r="V148" s="83">
        <f t="shared" si="100"/>
        <v>0.53510845505237226</v>
      </c>
      <c r="W148" s="83">
        <f t="shared" si="101"/>
        <v>0.33987204920890168</v>
      </c>
      <c r="X148" s="90">
        <f t="shared" si="119"/>
        <v>59.222596694752106</v>
      </c>
      <c r="Y148" s="90">
        <f t="shared" si="120"/>
        <v>59.222596694752106</v>
      </c>
      <c r="Z148" s="10">
        <f t="shared" si="121"/>
        <v>16539.402173913044</v>
      </c>
      <c r="AA148" s="10">
        <f t="shared" si="122"/>
        <v>26349.293478260868</v>
      </c>
      <c r="AB148" s="60">
        <f t="shared" si="123"/>
        <v>10883.403827977316</v>
      </c>
      <c r="AC148" s="85">
        <f t="shared" si="124"/>
        <v>10774.569789697543</v>
      </c>
      <c r="AD148" s="85">
        <f t="shared" si="143"/>
        <v>10883.403827977316</v>
      </c>
      <c r="AE148" s="83">
        <f t="shared" si="102"/>
        <v>1.5988960522123246</v>
      </c>
      <c r="AF148" s="83">
        <f t="shared" si="103"/>
        <v>1.014352878073298</v>
      </c>
      <c r="AG148" s="90">
        <f t="shared" si="125"/>
        <v>98.730204765357399</v>
      </c>
      <c r="AH148" s="90">
        <f t="shared" si="126"/>
        <v>98.730204765357399</v>
      </c>
      <c r="AI148" s="10">
        <f t="shared" si="127"/>
        <v>31183.695652173912</v>
      </c>
      <c r="AJ148" s="10">
        <f t="shared" si="128"/>
        <v>49679.34782608696</v>
      </c>
      <c r="AK148" s="60">
        <f t="shared" si="129"/>
        <v>29298.510335940398</v>
      </c>
      <c r="AL148" s="85">
        <f t="shared" si="130"/>
        <v>29005.525232580992</v>
      </c>
      <c r="AM148" s="85">
        <f t="shared" si="144"/>
        <v>29298.510335940398</v>
      </c>
      <c r="AN148" s="83">
        <f t="shared" si="104"/>
        <v>0.84868013806386422</v>
      </c>
      <c r="AO148" s="83">
        <f t="shared" si="105"/>
        <v>0.53868813733649601</v>
      </c>
      <c r="AP148" s="90">
        <f t="shared" si="131"/>
        <v>71.747441058079346</v>
      </c>
      <c r="AQ148" s="90">
        <f t="shared" si="132"/>
        <v>71.747441058079346</v>
      </c>
      <c r="AR148" s="10">
        <f t="shared" si="133"/>
        <v>17971.521739130436</v>
      </c>
      <c r="AS148" s="10">
        <f t="shared" si="134"/>
        <v>28630.521739130436</v>
      </c>
      <c r="AT148" s="60">
        <f t="shared" si="135"/>
        <v>16311.607687426533</v>
      </c>
      <c r="AU148" s="85">
        <f t="shared" si="136"/>
        <v>16148.491610552268</v>
      </c>
      <c r="AV148" s="85">
        <f t="shared" si="145"/>
        <v>16311.607687426533</v>
      </c>
      <c r="AW148" s="10"/>
      <c r="AX148" s="60">
        <f t="shared" si="106"/>
        <v>1604</v>
      </c>
      <c r="AZ148" s="99">
        <f t="shared" ca="1" si="137"/>
        <v>98.730204765357399</v>
      </c>
      <c r="BA148" s="99">
        <f t="shared" ca="1" si="138"/>
        <v>98.730204765357399</v>
      </c>
      <c r="BB148" s="100">
        <f t="shared" ca="1" si="139"/>
        <v>29005.525232580992</v>
      </c>
      <c r="BC148" s="100">
        <f t="shared" ca="1" si="140"/>
        <v>29298.510335940398</v>
      </c>
    </row>
    <row r="149" spans="1:55" ht="11.4" x14ac:dyDescent="0.25">
      <c r="A149" s="1"/>
      <c r="B149" s="1">
        <v>93</v>
      </c>
      <c r="C149" s="66"/>
      <c r="D149" s="83">
        <f t="shared" si="96"/>
        <v>0</v>
      </c>
      <c r="E149" s="83">
        <f t="shared" si="97"/>
        <v>0</v>
      </c>
      <c r="F149" s="90">
        <f t="shared" si="107"/>
        <v>2.3495149232966668</v>
      </c>
      <c r="G149" s="90">
        <f t="shared" si="108"/>
        <v>2.3495149232966668</v>
      </c>
      <c r="H149" s="10">
        <f t="shared" si="109"/>
        <v>1139.8709677419354</v>
      </c>
      <c r="I149" s="10">
        <f t="shared" si="110"/>
        <v>1815.9139784946237</v>
      </c>
      <c r="J149" s="60">
        <f t="shared" si="111"/>
        <v>22.637364064047045</v>
      </c>
      <c r="K149" s="85">
        <f t="shared" si="112"/>
        <v>22.410990423406574</v>
      </c>
      <c r="L149" s="85">
        <f t="shared" si="141"/>
        <v>22.637364064047045</v>
      </c>
      <c r="M149" s="83">
        <f t="shared" si="98"/>
        <v>0.17997687261324724</v>
      </c>
      <c r="N149" s="83">
        <f t="shared" si="99"/>
        <v>0.11471390490652615</v>
      </c>
      <c r="O149" s="90">
        <f t="shared" si="113"/>
        <v>18.386584800311635</v>
      </c>
      <c r="P149" s="90">
        <f t="shared" si="114"/>
        <v>18.386584800311635</v>
      </c>
      <c r="Q149" s="10">
        <f t="shared" si="115"/>
        <v>7743.010752688172</v>
      </c>
      <c r="R149" s="10">
        <f t="shared" si="116"/>
        <v>12335.752688172042</v>
      </c>
      <c r="S149" s="60">
        <f t="shared" si="117"/>
        <v>4758.8673211972227</v>
      </c>
      <c r="T149" s="85">
        <f t="shared" si="118"/>
        <v>4711.2786479852502</v>
      </c>
      <c r="U149" s="85">
        <f t="shared" si="142"/>
        <v>4758.8673211972227</v>
      </c>
      <c r="V149" s="83">
        <f t="shared" si="100"/>
        <v>0.52032588390837065</v>
      </c>
      <c r="W149" s="83">
        <f t="shared" si="101"/>
        <v>0.33050781325287043</v>
      </c>
      <c r="X149" s="90">
        <f t="shared" si="119"/>
        <v>58.585794579754769</v>
      </c>
      <c r="Y149" s="90">
        <f t="shared" si="120"/>
        <v>58.585794579754769</v>
      </c>
      <c r="Z149" s="10">
        <f t="shared" si="121"/>
        <v>16361.559139784946</v>
      </c>
      <c r="AA149" s="10">
        <f t="shared" si="122"/>
        <v>26065.967741935485</v>
      </c>
      <c r="AB149" s="60">
        <f t="shared" si="123"/>
        <v>10650.610475199446</v>
      </c>
      <c r="AC149" s="85">
        <f t="shared" si="124"/>
        <v>10544.104370447452</v>
      </c>
      <c r="AD149" s="85">
        <f t="shared" si="143"/>
        <v>10650.610475199446</v>
      </c>
      <c r="AE149" s="83">
        <f t="shared" si="102"/>
        <v>1.5647352649224864</v>
      </c>
      <c r="AF149" s="83">
        <f t="shared" si="103"/>
        <v>0.99270213368000793</v>
      </c>
      <c r="AG149" s="90">
        <f t="shared" si="125"/>
        <v>97.668589660353561</v>
      </c>
      <c r="AH149" s="90">
        <f t="shared" si="126"/>
        <v>97.668589660353561</v>
      </c>
      <c r="AI149" s="10">
        <f t="shared" si="127"/>
        <v>30848.387096774193</v>
      </c>
      <c r="AJ149" s="10">
        <f t="shared" si="128"/>
        <v>49145.161290322583</v>
      </c>
      <c r="AK149" s="60">
        <f t="shared" si="129"/>
        <v>28730.262880094757</v>
      </c>
      <c r="AL149" s="85">
        <f t="shared" si="130"/>
        <v>28442.960251293807</v>
      </c>
      <c r="AM149" s="85">
        <f t="shared" si="144"/>
        <v>28730.262880094757</v>
      </c>
      <c r="AN149" s="83">
        <f t="shared" si="104"/>
        <v>0.82906986135158334</v>
      </c>
      <c r="AO149" s="83">
        <f t="shared" si="105"/>
        <v>0.52626295682546198</v>
      </c>
      <c r="AP149" s="90">
        <f t="shared" si="131"/>
        <v>70.975963197239778</v>
      </c>
      <c r="AQ149" s="90">
        <f t="shared" si="132"/>
        <v>70.975963197239778</v>
      </c>
      <c r="AR149" s="10">
        <f t="shared" si="133"/>
        <v>17778.279569892475</v>
      </c>
      <c r="AS149" s="10">
        <f t="shared" si="134"/>
        <v>28322.666666666668</v>
      </c>
      <c r="AT149" s="60">
        <f t="shared" si="135"/>
        <v>15995.242470804513</v>
      </c>
      <c r="AU149" s="85">
        <f t="shared" si="136"/>
        <v>15835.290046096468</v>
      </c>
      <c r="AV149" s="85">
        <f t="shared" si="145"/>
        <v>15995.242470804513</v>
      </c>
      <c r="AW149" s="10"/>
      <c r="AX149" s="60">
        <f t="shared" si="106"/>
        <v>1626.875</v>
      </c>
      <c r="AZ149" s="99">
        <f t="shared" ca="1" si="137"/>
        <v>97.668589660353561</v>
      </c>
      <c r="BA149" s="99">
        <f t="shared" ca="1" si="138"/>
        <v>97.668589660353561</v>
      </c>
      <c r="BB149" s="100">
        <f t="shared" ca="1" si="139"/>
        <v>28442.960251293807</v>
      </c>
      <c r="BC149" s="100">
        <f t="shared" ca="1" si="140"/>
        <v>28730.262880094757</v>
      </c>
    </row>
    <row r="150" spans="1:55" ht="11.4" x14ac:dyDescent="0.25">
      <c r="A150" s="1"/>
      <c r="B150" s="1">
        <v>94</v>
      </c>
      <c r="C150" s="66"/>
      <c r="D150" s="83">
        <f t="shared" si="96"/>
        <v>0</v>
      </c>
      <c r="E150" s="83">
        <f t="shared" si="97"/>
        <v>0</v>
      </c>
      <c r="F150" s="90">
        <f t="shared" si="107"/>
        <v>2.3245200836871276</v>
      </c>
      <c r="G150" s="90">
        <f t="shared" si="108"/>
        <v>2.3245200836871276</v>
      </c>
      <c r="H150" s="10">
        <f t="shared" si="109"/>
        <v>1127.7446808510638</v>
      </c>
      <c r="I150" s="10">
        <f t="shared" si="110"/>
        <v>1796.5957446808511</v>
      </c>
      <c r="J150" s="60">
        <f t="shared" si="111"/>
        <v>22.040101631382697</v>
      </c>
      <c r="K150" s="85">
        <f t="shared" si="112"/>
        <v>21.819700615068871</v>
      </c>
      <c r="L150" s="85">
        <f t="shared" si="141"/>
        <v>22.040101631382697</v>
      </c>
      <c r="M150" s="83">
        <f t="shared" si="98"/>
        <v>0.17402103019988507</v>
      </c>
      <c r="N150" s="83">
        <f t="shared" si="99"/>
        <v>0.1109462351421274</v>
      </c>
      <c r="O150" s="90">
        <f t="shared" si="113"/>
        <v>18.190982834350873</v>
      </c>
      <c r="P150" s="90">
        <f t="shared" si="114"/>
        <v>18.190982834350873</v>
      </c>
      <c r="Q150" s="10">
        <f t="shared" si="115"/>
        <v>7660.6382978723404</v>
      </c>
      <c r="R150" s="10">
        <f t="shared" si="116"/>
        <v>12204.521276595744</v>
      </c>
      <c r="S150" s="60">
        <f t="shared" si="117"/>
        <v>4679.1249941672586</v>
      </c>
      <c r="T150" s="85">
        <f t="shared" si="118"/>
        <v>4632.3337442255861</v>
      </c>
      <c r="U150" s="85">
        <f t="shared" si="142"/>
        <v>4679.1249941672586</v>
      </c>
      <c r="V150" s="83">
        <f t="shared" si="100"/>
        <v>0.50595562322315446</v>
      </c>
      <c r="W150" s="83">
        <f t="shared" si="101"/>
        <v>0.32140508992555789</v>
      </c>
      <c r="X150" s="90">
        <f t="shared" si="119"/>
        <v>57.962541445927592</v>
      </c>
      <c r="Y150" s="90">
        <f t="shared" si="120"/>
        <v>57.962541445927592</v>
      </c>
      <c r="Z150" s="10">
        <f t="shared" si="121"/>
        <v>16187.5</v>
      </c>
      <c r="AA150" s="10">
        <f t="shared" si="122"/>
        <v>25788.670212765959</v>
      </c>
      <c r="AB150" s="60">
        <f t="shared" si="123"/>
        <v>10425.207107288366</v>
      </c>
      <c r="AC150" s="85">
        <f t="shared" si="124"/>
        <v>10320.955036215482</v>
      </c>
      <c r="AD150" s="85">
        <f t="shared" si="143"/>
        <v>10425.207107288366</v>
      </c>
      <c r="AE150" s="83">
        <f t="shared" si="102"/>
        <v>1.5315375067809434</v>
      </c>
      <c r="AF150" s="83">
        <f t="shared" si="103"/>
        <v>0.97166207800957671</v>
      </c>
      <c r="AG150" s="90">
        <f t="shared" si="125"/>
        <v>96.629562110775339</v>
      </c>
      <c r="AH150" s="90">
        <f t="shared" si="126"/>
        <v>96.629562110775339</v>
      </c>
      <c r="AI150" s="10">
        <f t="shared" si="127"/>
        <v>30520.212765957447</v>
      </c>
      <c r="AJ150" s="10">
        <f t="shared" si="128"/>
        <v>48622.340425531918</v>
      </c>
      <c r="AK150" s="60">
        <f t="shared" si="129"/>
        <v>28178.938837922859</v>
      </c>
      <c r="AL150" s="85">
        <f t="shared" si="130"/>
        <v>27897.149449543631</v>
      </c>
      <c r="AM150" s="85">
        <f t="shared" si="144"/>
        <v>28178.938837922859</v>
      </c>
      <c r="AN150" s="83">
        <f t="shared" si="104"/>
        <v>0.80998927386300112</v>
      </c>
      <c r="AO150" s="83">
        <f t="shared" si="105"/>
        <v>0.51417371143769441</v>
      </c>
      <c r="AP150" s="90">
        <f t="shared" si="131"/>
        <v>70.220899758971271</v>
      </c>
      <c r="AQ150" s="90">
        <f t="shared" si="132"/>
        <v>70.220899758971271</v>
      </c>
      <c r="AR150" s="10">
        <f t="shared" si="133"/>
        <v>17589.148936170212</v>
      </c>
      <c r="AS150" s="10">
        <f t="shared" si="134"/>
        <v>28021.361702127659</v>
      </c>
      <c r="AT150" s="60">
        <f t="shared" si="135"/>
        <v>15688.29916954313</v>
      </c>
      <c r="AU150" s="85">
        <f t="shared" si="136"/>
        <v>15531.416177847699</v>
      </c>
      <c r="AV150" s="85">
        <f t="shared" si="145"/>
        <v>15688.29916954313</v>
      </c>
      <c r="AW150" s="10"/>
      <c r="AX150" s="60">
        <f t="shared" si="106"/>
        <v>1650</v>
      </c>
      <c r="AZ150" s="99">
        <f t="shared" ca="1" si="137"/>
        <v>96.629562110775339</v>
      </c>
      <c r="BA150" s="99">
        <f t="shared" ca="1" si="138"/>
        <v>96.629562110775339</v>
      </c>
      <c r="BB150" s="100">
        <f t="shared" ca="1" si="139"/>
        <v>27897.149449543631</v>
      </c>
      <c r="BC150" s="100">
        <f t="shared" ca="1" si="140"/>
        <v>28178.938837922859</v>
      </c>
    </row>
    <row r="151" spans="1:55" ht="11.4" x14ac:dyDescent="0.25">
      <c r="A151" s="1"/>
      <c r="B151" s="1">
        <v>95</v>
      </c>
      <c r="C151" s="66"/>
      <c r="D151" s="83">
        <f t="shared" si="96"/>
        <v>0</v>
      </c>
      <c r="E151" s="83">
        <f t="shared" si="97"/>
        <v>0</v>
      </c>
      <c r="F151" s="90">
        <f t="shared" si="107"/>
        <v>2.300051451227263</v>
      </c>
      <c r="G151" s="90">
        <f t="shared" si="108"/>
        <v>2.300051451227263</v>
      </c>
      <c r="H151" s="10">
        <f t="shared" si="109"/>
        <v>1115.8736842105263</v>
      </c>
      <c r="I151" s="10">
        <f t="shared" si="110"/>
        <v>1777.6842105263158</v>
      </c>
      <c r="J151" s="60">
        <f t="shared" si="111"/>
        <v>21.464669881473952</v>
      </c>
      <c r="K151" s="85">
        <f t="shared" si="112"/>
        <v>21.250023182659213</v>
      </c>
      <c r="L151" s="85">
        <f t="shared" si="141"/>
        <v>21.464669881473952</v>
      </c>
      <c r="M151" s="83">
        <f t="shared" si="98"/>
        <v>0.16817531940710556</v>
      </c>
      <c r="N151" s="83">
        <f t="shared" si="99"/>
        <v>0.10724848540487857</v>
      </c>
      <c r="O151" s="90">
        <f t="shared" si="113"/>
        <v>17.9994988045156</v>
      </c>
      <c r="P151" s="90">
        <f t="shared" si="114"/>
        <v>17.9994988045156</v>
      </c>
      <c r="Q151" s="10">
        <f t="shared" si="115"/>
        <v>7580</v>
      </c>
      <c r="R151" s="10">
        <f t="shared" si="116"/>
        <v>12076.052631578947</v>
      </c>
      <c r="S151" s="60">
        <f t="shared" si="117"/>
        <v>4601.5416683896701</v>
      </c>
      <c r="T151" s="85">
        <f t="shared" si="118"/>
        <v>4555.5262517057736</v>
      </c>
      <c r="U151" s="85">
        <f t="shared" si="142"/>
        <v>4601.5416683896701</v>
      </c>
      <c r="V151" s="83">
        <f t="shared" si="100"/>
        <v>0.49197979328183017</v>
      </c>
      <c r="W151" s="83">
        <f t="shared" si="101"/>
        <v>0.31255254282395112</v>
      </c>
      <c r="X151" s="90">
        <f t="shared" si="119"/>
        <v>57.352409430707304</v>
      </c>
      <c r="Y151" s="90">
        <f t="shared" si="120"/>
        <v>57.352409430707304</v>
      </c>
      <c r="Z151" s="10">
        <f t="shared" si="121"/>
        <v>16017.105263157895</v>
      </c>
      <c r="AA151" s="10">
        <f t="shared" si="122"/>
        <v>25517.21052631579</v>
      </c>
      <c r="AB151" s="60">
        <f t="shared" si="123"/>
        <v>10206.884210526317</v>
      </c>
      <c r="AC151" s="85">
        <f t="shared" si="124"/>
        <v>10104.815368421054</v>
      </c>
      <c r="AD151" s="85">
        <f t="shared" si="143"/>
        <v>10206.884210526317</v>
      </c>
      <c r="AE151" s="83">
        <f t="shared" si="102"/>
        <v>1.4992637214522686</v>
      </c>
      <c r="AF151" s="83">
        <f t="shared" si="103"/>
        <v>0.95120794789540908</v>
      </c>
      <c r="AG151" s="90">
        <f t="shared" si="125"/>
        <v>95.612408825398745</v>
      </c>
      <c r="AH151" s="90">
        <f t="shared" si="126"/>
        <v>95.612408825398745</v>
      </c>
      <c r="AI151" s="10">
        <f t="shared" si="127"/>
        <v>30198.947368421053</v>
      </c>
      <c r="AJ151" s="10">
        <f t="shared" si="128"/>
        <v>48110.526315789473</v>
      </c>
      <c r="AK151" s="60">
        <f t="shared" si="129"/>
        <v>27643.862109629394</v>
      </c>
      <c r="AL151" s="85">
        <f t="shared" si="130"/>
        <v>27367.423488533099</v>
      </c>
      <c r="AM151" s="85">
        <f t="shared" si="144"/>
        <v>27643.862109629394</v>
      </c>
      <c r="AN151" s="83">
        <f t="shared" si="104"/>
        <v>0.79141663143386254</v>
      </c>
      <c r="AO151" s="83">
        <f t="shared" si="105"/>
        <v>0.50240661456582092</v>
      </c>
      <c r="AP151" s="90">
        <f t="shared" si="131"/>
        <v>69.48173239308737</v>
      </c>
      <c r="AQ151" s="90">
        <f t="shared" si="132"/>
        <v>69.48173239308737</v>
      </c>
      <c r="AR151" s="10">
        <f t="shared" si="133"/>
        <v>17404</v>
      </c>
      <c r="AS151" s="10">
        <f t="shared" si="134"/>
        <v>27726.400000000001</v>
      </c>
      <c r="AT151" s="60">
        <f t="shared" si="135"/>
        <v>15390.401372879793</v>
      </c>
      <c r="AU151" s="85">
        <f t="shared" si="136"/>
        <v>15236.497359150995</v>
      </c>
      <c r="AV151" s="85">
        <f t="shared" si="145"/>
        <v>15390.401372879793</v>
      </c>
      <c r="AW151" s="10"/>
      <c r="AX151" s="60">
        <f t="shared" si="106"/>
        <v>1673.375</v>
      </c>
      <c r="AZ151" s="99">
        <f t="shared" ca="1" si="137"/>
        <v>95.612408825398745</v>
      </c>
      <c r="BA151" s="99">
        <f t="shared" ca="1" si="138"/>
        <v>95.612408825398745</v>
      </c>
      <c r="BB151" s="100">
        <f t="shared" ca="1" si="139"/>
        <v>27367.423488533099</v>
      </c>
      <c r="BC151" s="100">
        <f t="shared" ca="1" si="140"/>
        <v>27643.862109629394</v>
      </c>
    </row>
    <row r="152" spans="1:55" ht="11.4" x14ac:dyDescent="0.25">
      <c r="A152" s="1"/>
      <c r="B152" s="1">
        <v>96</v>
      </c>
      <c r="C152" s="66"/>
      <c r="D152" s="83">
        <f t="shared" ref="D152:D183" si="146">MAX((K152-$AX152)/M_empty*3.6,0)</f>
        <v>0</v>
      </c>
      <c r="E152" s="83">
        <f t="shared" ref="E152:E183" si="147">MAX((L152-$AX152)/M_full*3.6,0)</f>
        <v>0</v>
      </c>
      <c r="F152" s="90">
        <f t="shared" si="107"/>
        <v>2.2760925819436459</v>
      </c>
      <c r="G152" s="90">
        <f t="shared" si="108"/>
        <v>2.2760925819436459</v>
      </c>
      <c r="H152" s="10">
        <f t="shared" si="109"/>
        <v>1104.25</v>
      </c>
      <c r="I152" s="10">
        <f t="shared" si="110"/>
        <v>1759.1666666666667</v>
      </c>
      <c r="J152" s="60">
        <f t="shared" si="111"/>
        <v>20.910053510080399</v>
      </c>
      <c r="K152" s="85">
        <f t="shared" si="112"/>
        <v>20.700952974979593</v>
      </c>
      <c r="L152" s="85">
        <f t="shared" si="141"/>
        <v>20.910053510080399</v>
      </c>
      <c r="M152" s="83">
        <f t="shared" ref="M152:M183" si="148">MAX((T152-$AX152)/M_empty*3.6,0)</f>
        <v>0.16244239719339915</v>
      </c>
      <c r="N152" s="83">
        <f t="shared" ref="N152:N183" si="149">MAX((U152-$AX152)/M_full*3.6,0)</f>
        <v>0.10362229405952406</v>
      </c>
      <c r="O152" s="90">
        <f t="shared" si="113"/>
        <v>17.812004025301896</v>
      </c>
      <c r="P152" s="90">
        <f t="shared" si="114"/>
        <v>17.812004025301896</v>
      </c>
      <c r="Q152" s="10">
        <f t="shared" si="115"/>
        <v>7501.041666666667</v>
      </c>
      <c r="R152" s="10">
        <f t="shared" si="116"/>
        <v>11950.260416666666</v>
      </c>
      <c r="S152" s="60">
        <f t="shared" si="117"/>
        <v>4526.0370755454414</v>
      </c>
      <c r="T152" s="85">
        <f t="shared" si="118"/>
        <v>4480.776704789987</v>
      </c>
      <c r="U152" s="85">
        <f t="shared" si="142"/>
        <v>4526.0370755454414</v>
      </c>
      <c r="V152" s="83">
        <f t="shared" ref="V152:V183" si="150">MAX((AC152-$AX152)/M_empty*3.6,0)</f>
        <v>0.47838873455633257</v>
      </c>
      <c r="W152" s="83">
        <f t="shared" ref="W152:W183" si="151">MAX((AD152-$AX152)/M_full*3.6,0)</f>
        <v>0.30394400120307863</v>
      </c>
      <c r="X152" s="90">
        <f t="shared" si="119"/>
        <v>56.754988499137433</v>
      </c>
      <c r="Y152" s="90">
        <f t="shared" si="120"/>
        <v>56.754988499137433</v>
      </c>
      <c r="Z152" s="10">
        <f t="shared" si="121"/>
        <v>15850.260416666666</v>
      </c>
      <c r="AA152" s="10">
        <f t="shared" si="122"/>
        <v>25251.40625</v>
      </c>
      <c r="AB152" s="60">
        <f t="shared" si="123"/>
        <v>9995.3483072916661</v>
      </c>
      <c r="AC152" s="85">
        <f t="shared" si="124"/>
        <v>9895.3948242187489</v>
      </c>
      <c r="AD152" s="85">
        <f t="shared" si="143"/>
        <v>9995.3483072916661</v>
      </c>
      <c r="AE152" s="83">
        <f t="shared" ref="AE152:AE183" si="152">MAX((AL152-$AX152)/M_empty*3.6,0)</f>
        <v>1.4678840956622297</v>
      </c>
      <c r="AF152" s="83">
        <f t="shared" ref="AF152:AF183" si="153">MAX((AM152-$AX152)/M_full*3.6,0)</f>
        <v>0.93132079436927129</v>
      </c>
      <c r="AG152" s="90">
        <f t="shared" si="125"/>
        <v>94.616446233467514</v>
      </c>
      <c r="AH152" s="90">
        <f t="shared" si="126"/>
        <v>94.616446233467514</v>
      </c>
      <c r="AI152" s="10">
        <f t="shared" si="127"/>
        <v>29884.375</v>
      </c>
      <c r="AJ152" s="10">
        <f t="shared" si="128"/>
        <v>47609.375</v>
      </c>
      <c r="AK152" s="60">
        <f t="shared" si="129"/>
        <v>27124.390338377361</v>
      </c>
      <c r="AL152" s="85">
        <f t="shared" si="130"/>
        <v>26853.146434993589</v>
      </c>
      <c r="AM152" s="85">
        <f t="shared" si="144"/>
        <v>27124.390338377361</v>
      </c>
      <c r="AN152" s="83">
        <f t="shared" ref="AN152:AN183" si="154">MAX((AU152-$AX152)/M_empty*3.6,0)</f>
        <v>0.77333856894092046</v>
      </c>
      <c r="AO152" s="83">
        <f t="shared" ref="AO152:AO183" si="155">MAX((AV152-$AX152)/M_full*3.6,0)</f>
        <v>0.49095314597995715</v>
      </c>
      <c r="AP152" s="90">
        <f t="shared" si="131"/>
        <v>68.757964347326038</v>
      </c>
      <c r="AQ152" s="90">
        <f t="shared" si="132"/>
        <v>68.757964347326038</v>
      </c>
      <c r="AR152" s="10">
        <f t="shared" si="133"/>
        <v>17222.708333333332</v>
      </c>
      <c r="AS152" s="10">
        <f t="shared" si="134"/>
        <v>27437.583333333332</v>
      </c>
      <c r="AT152" s="60">
        <f t="shared" si="135"/>
        <v>15101.191456054721</v>
      </c>
      <c r="AU152" s="85">
        <f t="shared" si="136"/>
        <v>14950.179541494173</v>
      </c>
      <c r="AV152" s="85">
        <f t="shared" si="145"/>
        <v>15101.191456054721</v>
      </c>
      <c r="AW152" s="10"/>
      <c r="AX152" s="60">
        <f t="shared" ref="AX152:AX206" si="156">ROUND(RunningResistanceFactor_a*(Speed^2)+RunningResistanceFactor_b*Speed+RunningResistanceFactor_c,0)/(MotorcarCount+TrailerCount)</f>
        <v>1696.875</v>
      </c>
      <c r="AZ152" s="99">
        <f t="shared" ca="1" si="137"/>
        <v>94.616446233467514</v>
      </c>
      <c r="BA152" s="99">
        <f t="shared" ca="1" si="138"/>
        <v>94.616446233467514</v>
      </c>
      <c r="BB152" s="100">
        <f t="shared" ca="1" si="139"/>
        <v>26853.146434993589</v>
      </c>
      <c r="BC152" s="100">
        <f t="shared" ca="1" si="140"/>
        <v>27124.390338377361</v>
      </c>
    </row>
    <row r="153" spans="1:55" ht="11.4" x14ac:dyDescent="0.25">
      <c r="A153" s="1"/>
      <c r="B153" s="1">
        <v>97</v>
      </c>
      <c r="C153" s="66"/>
      <c r="D153" s="83">
        <f t="shared" si="146"/>
        <v>0</v>
      </c>
      <c r="E153" s="83">
        <f t="shared" si="147"/>
        <v>0</v>
      </c>
      <c r="F153" s="90">
        <f t="shared" ref="F153:F184" si="157">MIN(E$41*E$45/Speed,F$56)</f>
        <v>2.2526277099648455</v>
      </c>
      <c r="G153" s="90">
        <f t="shared" ref="G153:G184" si="158">MIN(E$41*E$45/Speed,G$56)</f>
        <v>2.2526277099648455</v>
      </c>
      <c r="H153" s="10">
        <f t="shared" ref="H153:H184" si="159">D$39*D$40/Speed</f>
        <v>1092.8659793814434</v>
      </c>
      <c r="I153" s="10">
        <f t="shared" ref="I153:I184" si="160">E$39*E$40/Speed</f>
        <v>1741.0309278350514</v>
      </c>
      <c r="J153" s="60">
        <f t="shared" ref="J153:J184" si="161">(E$39*E$40/Speed)*(E$45^(E$47-1)/Speed^(E$47-1))</f>
        <v>20.375294335055816</v>
      </c>
      <c r="K153" s="85">
        <f t="shared" ref="K153:K184" si="162">MIN(D$39,MAX(H153,L153*F153/G153),J153*D$46)</f>
        <v>20.171541391705258</v>
      </c>
      <c r="L153" s="85">
        <f t="shared" si="141"/>
        <v>20.375294335055816</v>
      </c>
      <c r="M153" s="83">
        <f t="shared" si="148"/>
        <v>0.15681055113939796</v>
      </c>
      <c r="N153" s="83">
        <f t="shared" si="149"/>
        <v>0.10006028124294643</v>
      </c>
      <c r="O153" s="90">
        <f t="shared" ref="O153:O184" si="163">MIN(N$41*N$45/Speed,O$56)</f>
        <v>17.628375117824557</v>
      </c>
      <c r="P153" s="90">
        <f t="shared" ref="P153:P184" si="164">MIN(N$41*N$45/Speed,P$56)</f>
        <v>17.628375117824557</v>
      </c>
      <c r="Q153" s="10">
        <f t="shared" ref="Q153:Q184" si="165">M$39*M$40/Speed</f>
        <v>7423.7113402061859</v>
      </c>
      <c r="R153" s="10">
        <f t="shared" ref="R153:R184" si="166">N$39*N$40/Speed</f>
        <v>11827.061855670103</v>
      </c>
      <c r="S153" s="60">
        <f t="shared" ref="S153:S184" si="167">(N$39*N$40/Speed)*(N$45^(N$47-1)/Speed^(N$47-1))</f>
        <v>4452.5347258968286</v>
      </c>
      <c r="T153" s="85">
        <f t="shared" ref="T153:T184" si="168">MIN(M$39,MAX(Q153,U153*O153/P153),S153*M$46)</f>
        <v>4408.0093786378602</v>
      </c>
      <c r="U153" s="85">
        <f t="shared" si="142"/>
        <v>4452.5347258968286</v>
      </c>
      <c r="V153" s="83">
        <f t="shared" si="150"/>
        <v>0.46515906921892458</v>
      </c>
      <c r="W153" s="83">
        <f t="shared" si="151"/>
        <v>0.29556468889784793</v>
      </c>
      <c r="X153" s="90">
        <f t="shared" ref="X153:X184" si="169">MIN(W$41*W$45/Speed,X$56)</f>
        <v>56.169885524919522</v>
      </c>
      <c r="Y153" s="90">
        <f t="shared" ref="Y153:Y184" si="170">MIN(W$41*W$45/Speed,Y$56)</f>
        <v>56.169885524919522</v>
      </c>
      <c r="Z153" s="10">
        <f t="shared" ref="Z153:Z184" si="171">V$39*V$40/Speed</f>
        <v>15686.855670103092</v>
      </c>
      <c r="AA153" s="10">
        <f t="shared" ref="AA153:AA184" si="172">W$39*W$40/Speed</f>
        <v>24991.082474226805</v>
      </c>
      <c r="AB153" s="60">
        <f t="shared" ref="AB153:AB184" si="173">(W$39*W$40/Speed)*(W$45^(W$47-1)/Speed^(W$47-1))</f>
        <v>9790.3209692847286</v>
      </c>
      <c r="AC153" s="85">
        <f t="shared" ref="AC153:AC184" si="174">MIN(V$39,MAX(Z153,AD153*X153/Y153),AB153*V$46)</f>
        <v>9692.4177595918809</v>
      </c>
      <c r="AD153" s="85">
        <f t="shared" si="143"/>
        <v>9790.3209692847286</v>
      </c>
      <c r="AE153" s="83">
        <f t="shared" si="152"/>
        <v>1.4373560614204741</v>
      </c>
      <c r="AF153" s="83">
        <f t="shared" si="153"/>
        <v>0.91197367399055351</v>
      </c>
      <c r="AG153" s="90">
        <f t="shared" ref="AG153:AG184" si="175">MIN(AF$41*AF$45/Speed,AG$56)</f>
        <v>93.641018952710112</v>
      </c>
      <c r="AH153" s="90">
        <f t="shared" ref="AH153:AH184" si="176">MIN(AF$41*AF$45/Speed,AH$56)</f>
        <v>93.641018952710112</v>
      </c>
      <c r="AI153" s="10">
        <f t="shared" ref="AI153:AI184" si="177">AE$39*AE$40/Speed</f>
        <v>29576.288659793816</v>
      </c>
      <c r="AJ153" s="10">
        <f t="shared" ref="AJ153:AJ184" si="178">AF$39*AF$40/Speed</f>
        <v>47118.556701030931</v>
      </c>
      <c r="AK153" s="60">
        <f t="shared" ref="AK153:AK184" si="179">(AF$39*AF$40/Speed)*(AF$45^(AF$47-1)/Speed^(AF$47-1))</f>
        <v>26619.912897137365</v>
      </c>
      <c r="AL153" s="85">
        <f t="shared" ref="AL153:AL184" si="180">MIN(AE$39,MAX(AI153,AM153*AG153/AH153),AK153*AE$46)</f>
        <v>26353.713768165991</v>
      </c>
      <c r="AM153" s="85">
        <f t="shared" si="144"/>
        <v>26619.912897137365</v>
      </c>
      <c r="AN153" s="83">
        <f t="shared" si="154"/>
        <v>0.7557281540732419</v>
      </c>
      <c r="AO153" s="83">
        <f t="shared" si="155"/>
        <v>0.47979627584070716</v>
      </c>
      <c r="AP153" s="90">
        <f t="shared" ref="AP153:AP184" si="181">MIN(AO$41*AO$45/Speed,AP$56)</f>
        <v>68.049119354054639</v>
      </c>
      <c r="AQ153" s="90">
        <f t="shared" ref="AQ153:AQ184" si="182">MIN(AO$41*AO$45/Speed,AQ$56)</f>
        <v>68.049119354054639</v>
      </c>
      <c r="AR153" s="10">
        <f t="shared" ref="AR153:AR184" si="183">AN$39*AN$40/Speed</f>
        <v>17045.154639175256</v>
      </c>
      <c r="AS153" s="10">
        <f t="shared" ref="AS153:AS184" si="184">AO$39*AO$40/Speed</f>
        <v>27154.721649484534</v>
      </c>
      <c r="AT153" s="60">
        <f t="shared" ref="AT153:AT184" si="185">(AO$39*AO$40/Speed)*(AO$45^(AO$47-1)/Speed^(AO$47-1))</f>
        <v>14820.32945951255</v>
      </c>
      <c r="AU153" s="85">
        <f t="shared" ref="AU153:AU184" si="186">MIN(AN$39,MAX(AR153,AV153*AP153/AQ153),AT153*AN$46)</f>
        <v>14672.126164917425</v>
      </c>
      <c r="AV153" s="85">
        <f t="shared" si="145"/>
        <v>14820.32945951255</v>
      </c>
      <c r="AW153" s="10"/>
      <c r="AX153" s="60">
        <f t="shared" si="156"/>
        <v>1720.625</v>
      </c>
      <c r="AZ153" s="99">
        <f t="shared" ca="1" si="137"/>
        <v>93.641018952710112</v>
      </c>
      <c r="BA153" s="99">
        <f t="shared" ca="1" si="138"/>
        <v>93.641018952710112</v>
      </c>
      <c r="BB153" s="100">
        <f t="shared" ca="1" si="139"/>
        <v>26353.713768165991</v>
      </c>
      <c r="BC153" s="100">
        <f t="shared" ca="1" si="140"/>
        <v>26619.912897137365</v>
      </c>
    </row>
    <row r="154" spans="1:55" ht="11.4" x14ac:dyDescent="0.25">
      <c r="A154" s="1"/>
      <c r="B154" s="1">
        <v>98</v>
      </c>
      <c r="C154" s="66"/>
      <c r="D154" s="83">
        <f t="shared" si="146"/>
        <v>0</v>
      </c>
      <c r="E154" s="83">
        <f t="shared" si="147"/>
        <v>0</v>
      </c>
      <c r="F154" s="90">
        <f t="shared" si="157"/>
        <v>2.2296417129243875</v>
      </c>
      <c r="G154" s="90">
        <f t="shared" si="158"/>
        <v>2.2296417129243875</v>
      </c>
      <c r="H154" s="10">
        <f t="shared" si="159"/>
        <v>1081.7142857142858</v>
      </c>
      <c r="I154" s="10">
        <f t="shared" si="160"/>
        <v>1723.2653061224489</v>
      </c>
      <c r="J154" s="60">
        <f t="shared" si="161"/>
        <v>19.859487536786585</v>
      </c>
      <c r="K154" s="85">
        <f t="shared" si="162"/>
        <v>19.660892661418718</v>
      </c>
      <c r="L154" s="85">
        <f t="shared" si="141"/>
        <v>19.859487536786585</v>
      </c>
      <c r="M154" s="83">
        <f t="shared" si="148"/>
        <v>0.15127556853990098</v>
      </c>
      <c r="N154" s="83">
        <f t="shared" si="149"/>
        <v>9.6559775943654905E-2</v>
      </c>
      <c r="O154" s="90">
        <f t="shared" si="163"/>
        <v>17.448493739071246</v>
      </c>
      <c r="P154" s="90">
        <f t="shared" si="164"/>
        <v>17.448493739071246</v>
      </c>
      <c r="Q154" s="10">
        <f t="shared" si="165"/>
        <v>7347.9591836734689</v>
      </c>
      <c r="R154" s="10">
        <f t="shared" si="166"/>
        <v>11706.377551020409</v>
      </c>
      <c r="S154" s="60">
        <f t="shared" si="167"/>
        <v>4380.9616937816299</v>
      </c>
      <c r="T154" s="85">
        <f t="shared" si="168"/>
        <v>4337.152076843814</v>
      </c>
      <c r="U154" s="85">
        <f t="shared" si="142"/>
        <v>4380.9616937816299</v>
      </c>
      <c r="V154" s="83">
        <f t="shared" si="150"/>
        <v>0.45227552967319112</v>
      </c>
      <c r="W154" s="83">
        <f t="shared" si="151"/>
        <v>0.28740492568533449</v>
      </c>
      <c r="X154" s="90">
        <f t="shared" si="169"/>
        <v>55.596723427726467</v>
      </c>
      <c r="Y154" s="90">
        <f t="shared" si="170"/>
        <v>55.596723427726467</v>
      </c>
      <c r="Z154" s="10">
        <f t="shared" si="171"/>
        <v>15526.785714285714</v>
      </c>
      <c r="AA154" s="10">
        <f t="shared" si="172"/>
        <v>24736.071428571428</v>
      </c>
      <c r="AB154" s="60">
        <f t="shared" si="173"/>
        <v>9591.5379008746349</v>
      </c>
      <c r="AC154" s="85">
        <f t="shared" si="174"/>
        <v>9495.6225218658892</v>
      </c>
      <c r="AD154" s="85">
        <f t="shared" si="143"/>
        <v>9591.5379008746349</v>
      </c>
      <c r="AE154" s="83">
        <f t="shared" si="152"/>
        <v>1.4076460692594288</v>
      </c>
      <c r="AF154" s="83">
        <f t="shared" si="153"/>
        <v>0.89314531515131701</v>
      </c>
      <c r="AG154" s="90">
        <f t="shared" si="175"/>
        <v>92.68549835115185</v>
      </c>
      <c r="AH154" s="90">
        <f t="shared" si="176"/>
        <v>92.68549835115185</v>
      </c>
      <c r="AI154" s="10">
        <f t="shared" si="177"/>
        <v>29274.489795918369</v>
      </c>
      <c r="AJ154" s="10">
        <f t="shared" si="178"/>
        <v>46637.755102040814</v>
      </c>
      <c r="AK154" s="60">
        <f t="shared" si="179"/>
        <v>26129.84901487927</v>
      </c>
      <c r="AL154" s="85">
        <f t="shared" si="180"/>
        <v>25868.550524730475</v>
      </c>
      <c r="AM154" s="85">
        <f t="shared" si="144"/>
        <v>26129.84901487927</v>
      </c>
      <c r="AN154" s="83">
        <f t="shared" si="154"/>
        <v>0.73856670855173012</v>
      </c>
      <c r="AO154" s="83">
        <f t="shared" si="155"/>
        <v>0.46892416142570736</v>
      </c>
      <c r="AP154" s="90">
        <f t="shared" si="181"/>
        <v>67.354740585135715</v>
      </c>
      <c r="AQ154" s="90">
        <f t="shared" si="182"/>
        <v>67.354740585135715</v>
      </c>
      <c r="AR154" s="10">
        <f t="shared" si="183"/>
        <v>16871.224489795917</v>
      </c>
      <c r="AS154" s="10">
        <f t="shared" si="184"/>
        <v>26877.632653061224</v>
      </c>
      <c r="AT154" s="60">
        <f t="shared" si="185"/>
        <v>14547.492045681129</v>
      </c>
      <c r="AU154" s="85">
        <f t="shared" si="186"/>
        <v>14402.017125224318</v>
      </c>
      <c r="AV154" s="85">
        <f t="shared" si="145"/>
        <v>14547.492045681129</v>
      </c>
      <c r="AW154" s="10"/>
      <c r="AX154" s="60">
        <f t="shared" si="156"/>
        <v>1744.625</v>
      </c>
      <c r="AZ154" s="99">
        <f t="shared" ca="1" si="137"/>
        <v>92.68549835115185</v>
      </c>
      <c r="BA154" s="99">
        <f t="shared" ca="1" si="138"/>
        <v>92.68549835115185</v>
      </c>
      <c r="BB154" s="100">
        <f t="shared" ca="1" si="139"/>
        <v>25868.550524730475</v>
      </c>
      <c r="BC154" s="100">
        <f t="shared" ca="1" si="140"/>
        <v>26129.84901487927</v>
      </c>
    </row>
    <row r="155" spans="1:55" ht="11.4" x14ac:dyDescent="0.25">
      <c r="A155" s="1"/>
      <c r="B155" s="1">
        <v>99</v>
      </c>
      <c r="C155" s="66"/>
      <c r="D155" s="83">
        <f t="shared" si="146"/>
        <v>0</v>
      </c>
      <c r="E155" s="83">
        <f t="shared" si="147"/>
        <v>0</v>
      </c>
      <c r="F155" s="90">
        <f t="shared" si="157"/>
        <v>2.207120079460505</v>
      </c>
      <c r="G155" s="90">
        <f t="shared" si="158"/>
        <v>2.207120079460505</v>
      </c>
      <c r="H155" s="10">
        <f t="shared" si="159"/>
        <v>1070.7878787878788</v>
      </c>
      <c r="I155" s="10">
        <f t="shared" si="160"/>
        <v>1705.8585858585859</v>
      </c>
      <c r="J155" s="60">
        <f t="shared" si="161"/>
        <v>19.361778181272722</v>
      </c>
      <c r="K155" s="85">
        <f t="shared" si="162"/>
        <v>19.168160399459996</v>
      </c>
      <c r="L155" s="85">
        <f t="shared" si="141"/>
        <v>19.361778181272722</v>
      </c>
      <c r="M155" s="83">
        <f t="shared" si="148"/>
        <v>0.14584072483364696</v>
      </c>
      <c r="N155" s="83">
        <f t="shared" si="149"/>
        <v>9.3122808665831919E-2</v>
      </c>
      <c r="O155" s="90">
        <f t="shared" si="163"/>
        <v>17.272246327565476</v>
      </c>
      <c r="P155" s="90">
        <f t="shared" si="164"/>
        <v>17.272246327565476</v>
      </c>
      <c r="Q155" s="10">
        <f t="shared" si="165"/>
        <v>7273.7373737373737</v>
      </c>
      <c r="R155" s="10">
        <f t="shared" si="166"/>
        <v>11588.131313131313</v>
      </c>
      <c r="S155" s="60">
        <f t="shared" si="167"/>
        <v>4311.248417322302</v>
      </c>
      <c r="T155" s="85">
        <f t="shared" si="168"/>
        <v>4268.1359331490785</v>
      </c>
      <c r="U155" s="85">
        <f t="shared" si="142"/>
        <v>4311.248417322302</v>
      </c>
      <c r="V155" s="83">
        <f t="shared" si="150"/>
        <v>0.43973090932666914</v>
      </c>
      <c r="W155" s="83">
        <f t="shared" si="151"/>
        <v>0.27946009607280181</v>
      </c>
      <c r="X155" s="90">
        <f t="shared" si="169"/>
        <v>55.035140362799936</v>
      </c>
      <c r="Y155" s="90">
        <f t="shared" si="170"/>
        <v>55.035140362799936</v>
      </c>
      <c r="Z155" s="10">
        <f t="shared" si="171"/>
        <v>15369.949494949495</v>
      </c>
      <c r="AA155" s="10">
        <f t="shared" si="172"/>
        <v>24486.21212121212</v>
      </c>
      <c r="AB155" s="60">
        <f t="shared" si="173"/>
        <v>9398.7480869299034</v>
      </c>
      <c r="AC155" s="85">
        <f t="shared" si="174"/>
        <v>9304.7606060606049</v>
      </c>
      <c r="AD155" s="85">
        <f t="shared" si="143"/>
        <v>9398.7480869299034</v>
      </c>
      <c r="AE155" s="83">
        <f t="shared" si="152"/>
        <v>1.3787294874067091</v>
      </c>
      <c r="AF155" s="83">
        <f t="shared" si="153"/>
        <v>0.87482005414785902</v>
      </c>
      <c r="AG155" s="90">
        <f t="shared" si="175"/>
        <v>91.749281196089711</v>
      </c>
      <c r="AH155" s="90">
        <f t="shared" si="176"/>
        <v>91.749281196089711</v>
      </c>
      <c r="AI155" s="10">
        <f t="shared" si="177"/>
        <v>28978.78787878788</v>
      </c>
      <c r="AJ155" s="10">
        <f t="shared" si="178"/>
        <v>46166.666666666664</v>
      </c>
      <c r="AK155" s="60">
        <f t="shared" si="179"/>
        <v>25653.646031157219</v>
      </c>
      <c r="AL155" s="85">
        <f t="shared" si="180"/>
        <v>25397.109570845645</v>
      </c>
      <c r="AM155" s="85">
        <f t="shared" si="144"/>
        <v>25653.646031157219</v>
      </c>
      <c r="AN155" s="83">
        <f t="shared" si="154"/>
        <v>0.72184375199452666</v>
      </c>
      <c r="AO155" s="83">
        <f t="shared" si="155"/>
        <v>0.45833011153820769</v>
      </c>
      <c r="AP155" s="90">
        <f t="shared" si="181"/>
        <v>66.674389670134346</v>
      </c>
      <c r="AQ155" s="90">
        <f t="shared" si="182"/>
        <v>66.674389670134346</v>
      </c>
      <c r="AR155" s="10">
        <f t="shared" si="183"/>
        <v>16700.808080808081</v>
      </c>
      <c r="AS155" s="10">
        <f t="shared" si="184"/>
        <v>26606.141414141413</v>
      </c>
      <c r="AT155" s="60">
        <f t="shared" si="185"/>
        <v>14282.371527231851</v>
      </c>
      <c r="AU155" s="85">
        <f t="shared" si="186"/>
        <v>14139.547811959532</v>
      </c>
      <c r="AV155" s="85">
        <f t="shared" si="145"/>
        <v>14282.371527231851</v>
      </c>
      <c r="AW155" s="10"/>
      <c r="AX155" s="60">
        <f t="shared" si="156"/>
        <v>1768.75</v>
      </c>
      <c r="AZ155" s="99">
        <f t="shared" ca="1" si="137"/>
        <v>91.749281196089711</v>
      </c>
      <c r="BA155" s="99">
        <f t="shared" ca="1" si="138"/>
        <v>91.749281196089711</v>
      </c>
      <c r="BB155" s="100">
        <f t="shared" ca="1" si="139"/>
        <v>25397.109570845645</v>
      </c>
      <c r="BC155" s="100">
        <f t="shared" ca="1" si="140"/>
        <v>25653.646031157219</v>
      </c>
    </row>
    <row r="156" spans="1:55" ht="11.4" x14ac:dyDescent="0.25">
      <c r="A156" s="1"/>
      <c r="B156" s="1">
        <v>100</v>
      </c>
      <c r="C156" s="66"/>
      <c r="D156" s="83">
        <f t="shared" si="146"/>
        <v>0</v>
      </c>
      <c r="E156" s="83">
        <f t="shared" si="147"/>
        <v>0</v>
      </c>
      <c r="F156" s="90">
        <f t="shared" si="157"/>
        <v>2.1850488786659001</v>
      </c>
      <c r="G156" s="90">
        <f t="shared" si="158"/>
        <v>2.1850488786659001</v>
      </c>
      <c r="H156" s="10">
        <f t="shared" si="159"/>
        <v>1060.08</v>
      </c>
      <c r="I156" s="10">
        <f t="shared" si="160"/>
        <v>1688.8</v>
      </c>
      <c r="J156" s="60">
        <f t="shared" si="161"/>
        <v>18.881358002008206</v>
      </c>
      <c r="K156" s="85">
        <f t="shared" si="162"/>
        <v>18.692544421988124</v>
      </c>
      <c r="L156" s="85">
        <f t="shared" si="141"/>
        <v>18.881358002008206</v>
      </c>
      <c r="M156" s="83">
        <f t="shared" si="148"/>
        <v>0.14049489130877671</v>
      </c>
      <c r="N156" s="83">
        <f t="shared" si="149"/>
        <v>8.9742369638590183E-2</v>
      </c>
      <c r="O156" s="90">
        <f t="shared" si="163"/>
        <v>17.099523864289822</v>
      </c>
      <c r="P156" s="90">
        <f t="shared" si="164"/>
        <v>17.099523864289822</v>
      </c>
      <c r="Q156" s="10">
        <f t="shared" si="165"/>
        <v>7201</v>
      </c>
      <c r="R156" s="10">
        <f t="shared" si="166"/>
        <v>11472.25</v>
      </c>
      <c r="S156" s="60">
        <f t="shared" si="167"/>
        <v>4243.3285112756139</v>
      </c>
      <c r="T156" s="85">
        <f t="shared" si="168"/>
        <v>4200.8952261628574</v>
      </c>
      <c r="U156" s="85">
        <f t="shared" si="142"/>
        <v>4243.3285112756139</v>
      </c>
      <c r="V156" s="83">
        <f t="shared" si="150"/>
        <v>0.42750413530860992</v>
      </c>
      <c r="W156" s="83">
        <f t="shared" si="151"/>
        <v>0.27171688532345772</v>
      </c>
      <c r="X156" s="90">
        <f t="shared" si="169"/>
        <v>54.484788959171937</v>
      </c>
      <c r="Y156" s="90">
        <f t="shared" si="170"/>
        <v>54.484788959171937</v>
      </c>
      <c r="Z156" s="10">
        <f t="shared" si="171"/>
        <v>15216.25</v>
      </c>
      <c r="AA156" s="10">
        <f t="shared" si="172"/>
        <v>24241.35</v>
      </c>
      <c r="AB156" s="60">
        <f t="shared" si="173"/>
        <v>9211.7129999999997</v>
      </c>
      <c r="AC156" s="85">
        <f t="shared" si="174"/>
        <v>9119.5958699999992</v>
      </c>
      <c r="AD156" s="85">
        <f t="shared" si="143"/>
        <v>9211.7129999999997</v>
      </c>
      <c r="AE156" s="83">
        <f t="shared" si="152"/>
        <v>1.350568626314008</v>
      </c>
      <c r="AF156" s="83">
        <f t="shared" si="153"/>
        <v>0.85697404065293448</v>
      </c>
      <c r="AG156" s="90">
        <f t="shared" si="175"/>
        <v>90.831788384128814</v>
      </c>
      <c r="AH156" s="90">
        <f t="shared" si="176"/>
        <v>90.831788384128814</v>
      </c>
      <c r="AI156" s="10">
        <f t="shared" si="177"/>
        <v>28689</v>
      </c>
      <c r="AJ156" s="10">
        <f t="shared" si="178"/>
        <v>45705</v>
      </c>
      <c r="AK156" s="60">
        <f t="shared" si="179"/>
        <v>25190.777769099055</v>
      </c>
      <c r="AL156" s="85">
        <f t="shared" si="180"/>
        <v>24938.869991408064</v>
      </c>
      <c r="AM156" s="85">
        <f t="shared" si="144"/>
        <v>25190.777769099055</v>
      </c>
      <c r="AN156" s="83">
        <f t="shared" si="154"/>
        <v>0.70553506810703659</v>
      </c>
      <c r="AO156" s="83">
        <f t="shared" si="155"/>
        <v>0.44799881839400035</v>
      </c>
      <c r="AP156" s="90">
        <f t="shared" si="181"/>
        <v>66.007645773432998</v>
      </c>
      <c r="AQ156" s="90">
        <f t="shared" si="182"/>
        <v>66.007645773432998</v>
      </c>
      <c r="AR156" s="10">
        <f t="shared" si="183"/>
        <v>16533.8</v>
      </c>
      <c r="AS156" s="10">
        <f t="shared" si="184"/>
        <v>26340.080000000002</v>
      </c>
      <c r="AT156" s="60">
        <f t="shared" si="185"/>
        <v>14024.674961260305</v>
      </c>
      <c r="AU156" s="85">
        <f t="shared" si="186"/>
        <v>13884.428211647702</v>
      </c>
      <c r="AV156" s="85">
        <f t="shared" si="145"/>
        <v>14024.674961260305</v>
      </c>
      <c r="AW156" s="10"/>
      <c r="AX156" s="60">
        <f t="shared" si="156"/>
        <v>1793.125</v>
      </c>
      <c r="AZ156" s="99">
        <f t="shared" ca="1" si="137"/>
        <v>90.831788384128814</v>
      </c>
      <c r="BA156" s="99">
        <f t="shared" ca="1" si="138"/>
        <v>90.831788384128814</v>
      </c>
      <c r="BB156" s="100">
        <f t="shared" ca="1" si="139"/>
        <v>24938.869991408064</v>
      </c>
      <c r="BC156" s="100">
        <f t="shared" ca="1" si="140"/>
        <v>25190.777769099055</v>
      </c>
    </row>
    <row r="157" spans="1:55" ht="11.4" x14ac:dyDescent="0.25">
      <c r="A157" s="1"/>
      <c r="B157" s="1">
        <v>101</v>
      </c>
      <c r="C157" s="66"/>
      <c r="D157" s="83">
        <f t="shared" si="146"/>
        <v>0</v>
      </c>
      <c r="E157" s="83">
        <f t="shared" si="147"/>
        <v>0</v>
      </c>
      <c r="F157" s="90">
        <f t="shared" si="157"/>
        <v>2.1634147313523764</v>
      </c>
      <c r="G157" s="90">
        <f t="shared" si="158"/>
        <v>2.1634147313523764</v>
      </c>
      <c r="H157" s="10">
        <f t="shared" si="159"/>
        <v>1049.5841584158416</v>
      </c>
      <c r="I157" s="10">
        <f t="shared" si="160"/>
        <v>1672.079207920792</v>
      </c>
      <c r="J157" s="60">
        <f t="shared" si="161"/>
        <v>18.417462419044345</v>
      </c>
      <c r="K157" s="85">
        <f t="shared" si="162"/>
        <v>18.233287794853901</v>
      </c>
      <c r="L157" s="85">
        <f t="shared" si="141"/>
        <v>18.417462419044345</v>
      </c>
      <c r="M157" s="83">
        <f t="shared" si="148"/>
        <v>0.1352417003051879</v>
      </c>
      <c r="N157" s="83">
        <f t="shared" si="149"/>
        <v>8.6420715654696528E-2</v>
      </c>
      <c r="O157" s="90">
        <f t="shared" si="163"/>
        <v>16.930221647811702</v>
      </c>
      <c r="P157" s="90">
        <f t="shared" si="164"/>
        <v>16.930221647811702</v>
      </c>
      <c r="Q157" s="10">
        <f t="shared" si="165"/>
        <v>7129.7029702970294</v>
      </c>
      <c r="R157" s="10">
        <f t="shared" si="166"/>
        <v>11358.663366336634</v>
      </c>
      <c r="S157" s="60">
        <f t="shared" si="167"/>
        <v>4177.138592039526</v>
      </c>
      <c r="T157" s="85">
        <f t="shared" si="168"/>
        <v>4135.367206119131</v>
      </c>
      <c r="U157" s="85">
        <f t="shared" si="142"/>
        <v>4177.138592039526</v>
      </c>
      <c r="V157" s="83">
        <f t="shared" si="150"/>
        <v>0.41558940114067705</v>
      </c>
      <c r="W157" s="83">
        <f t="shared" si="151"/>
        <v>0.26417156566889999</v>
      </c>
      <c r="X157" s="90">
        <f t="shared" si="169"/>
        <v>53.945335603140535</v>
      </c>
      <c r="Y157" s="90">
        <f t="shared" si="170"/>
        <v>53.945335603140535</v>
      </c>
      <c r="Z157" s="10">
        <f t="shared" si="171"/>
        <v>15065.594059405941</v>
      </c>
      <c r="AA157" s="10">
        <f t="shared" si="172"/>
        <v>24001.336633663366</v>
      </c>
      <c r="AB157" s="60">
        <f t="shared" si="173"/>
        <v>9030.2058621703745</v>
      </c>
      <c r="AC157" s="85">
        <f t="shared" si="174"/>
        <v>8939.9038035486701</v>
      </c>
      <c r="AD157" s="85">
        <f t="shared" si="143"/>
        <v>9030.2058621703745</v>
      </c>
      <c r="AE157" s="83">
        <f t="shared" si="152"/>
        <v>1.3231418262936379</v>
      </c>
      <c r="AF157" s="83">
        <f t="shared" si="153"/>
        <v>0.83959349537487493</v>
      </c>
      <c r="AG157" s="90">
        <f t="shared" si="175"/>
        <v>89.932463746662194</v>
      </c>
      <c r="AH157" s="90">
        <f t="shared" si="176"/>
        <v>89.932463746662194</v>
      </c>
      <c r="AI157" s="10">
        <f t="shared" si="177"/>
        <v>28404.950495049507</v>
      </c>
      <c r="AJ157" s="10">
        <f t="shared" si="178"/>
        <v>45252.475247524751</v>
      </c>
      <c r="AK157" s="60">
        <f t="shared" si="179"/>
        <v>24740.743017680212</v>
      </c>
      <c r="AL157" s="85">
        <f t="shared" si="180"/>
        <v>24493.33558750341</v>
      </c>
      <c r="AM157" s="85">
        <f t="shared" si="144"/>
        <v>24740.743017680212</v>
      </c>
      <c r="AN157" s="83">
        <f t="shared" si="154"/>
        <v>0.68963183118127547</v>
      </c>
      <c r="AO157" s="83">
        <f t="shared" si="155"/>
        <v>0.43792463992099995</v>
      </c>
      <c r="AP157" s="90">
        <f t="shared" si="181"/>
        <v>65.354104726171286</v>
      </c>
      <c r="AQ157" s="90">
        <f t="shared" si="182"/>
        <v>65.354104726171286</v>
      </c>
      <c r="AR157" s="10">
        <f t="shared" si="183"/>
        <v>16370.09900990099</v>
      </c>
      <c r="AS157" s="10">
        <f t="shared" si="184"/>
        <v>26079.287128712873</v>
      </c>
      <c r="AT157" s="60">
        <f t="shared" si="185"/>
        <v>13774.123304309756</v>
      </c>
      <c r="AU157" s="85">
        <f t="shared" si="186"/>
        <v>13636.382071266658</v>
      </c>
      <c r="AV157" s="85">
        <f t="shared" si="145"/>
        <v>13774.123304309756</v>
      </c>
      <c r="AW157" s="10"/>
      <c r="AX157" s="60">
        <f t="shared" si="156"/>
        <v>1817.625</v>
      </c>
      <c r="AZ157" s="99">
        <f t="shared" ca="1" si="137"/>
        <v>89.932463746662194</v>
      </c>
      <c r="BA157" s="99">
        <f t="shared" ca="1" si="138"/>
        <v>89.932463746662194</v>
      </c>
      <c r="BB157" s="100">
        <f t="shared" ca="1" si="139"/>
        <v>24493.33558750341</v>
      </c>
      <c r="BC157" s="100">
        <f t="shared" ca="1" si="140"/>
        <v>24740.743017680212</v>
      </c>
    </row>
    <row r="158" spans="1:55" ht="11.4" x14ac:dyDescent="0.25">
      <c r="A158" s="1"/>
      <c r="B158" s="1">
        <v>102</v>
      </c>
      <c r="C158" s="66"/>
      <c r="D158" s="83">
        <f t="shared" si="146"/>
        <v>0</v>
      </c>
      <c r="E158" s="83">
        <f t="shared" si="147"/>
        <v>0</v>
      </c>
      <c r="F158" s="90">
        <f t="shared" si="157"/>
        <v>2.1422047830057842</v>
      </c>
      <c r="G158" s="90">
        <f t="shared" si="158"/>
        <v>2.1422047830057842</v>
      </c>
      <c r="H158" s="10">
        <f t="shared" si="159"/>
        <v>1039.2941176470588</v>
      </c>
      <c r="I158" s="10">
        <f t="shared" si="160"/>
        <v>1655.686274509804</v>
      </c>
      <c r="J158" s="60">
        <f t="shared" si="161"/>
        <v>17.969367775616504</v>
      </c>
      <c r="K158" s="85">
        <f t="shared" si="162"/>
        <v>17.789674097860338</v>
      </c>
      <c r="L158" s="85">
        <f t="shared" si="141"/>
        <v>17.969367775616504</v>
      </c>
      <c r="M158" s="83">
        <f t="shared" si="148"/>
        <v>0.13007036044473044</v>
      </c>
      <c r="N158" s="83">
        <f t="shared" si="149"/>
        <v>8.315105082535855E-2</v>
      </c>
      <c r="O158" s="90">
        <f t="shared" si="163"/>
        <v>16.764239082637079</v>
      </c>
      <c r="P158" s="90">
        <f t="shared" si="164"/>
        <v>16.764239082637079</v>
      </c>
      <c r="Q158" s="10">
        <f t="shared" si="165"/>
        <v>7059.8039215686276</v>
      </c>
      <c r="R158" s="10">
        <f t="shared" si="166"/>
        <v>11247.303921568628</v>
      </c>
      <c r="S158" s="60">
        <f t="shared" si="167"/>
        <v>4112.6181139164109</v>
      </c>
      <c r="T158" s="85">
        <f t="shared" si="168"/>
        <v>4071.4919327772468</v>
      </c>
      <c r="U158" s="85">
        <f t="shared" si="142"/>
        <v>4112.6181139164109</v>
      </c>
      <c r="V158" s="83">
        <f t="shared" si="150"/>
        <v>0.40396695169708108</v>
      </c>
      <c r="W158" s="83">
        <f t="shared" si="151"/>
        <v>0.25681165787156085</v>
      </c>
      <c r="X158" s="90">
        <f t="shared" si="169"/>
        <v>53.416459763894053</v>
      </c>
      <c r="Y158" s="90">
        <f t="shared" si="170"/>
        <v>53.416459763894053</v>
      </c>
      <c r="Z158" s="10">
        <f t="shared" si="171"/>
        <v>14917.892156862745</v>
      </c>
      <c r="AA158" s="10">
        <f t="shared" si="172"/>
        <v>23766.029411764706</v>
      </c>
      <c r="AB158" s="60">
        <f t="shared" si="173"/>
        <v>8854.0109573241061</v>
      </c>
      <c r="AC158" s="85">
        <f t="shared" si="174"/>
        <v>8765.4708477508648</v>
      </c>
      <c r="AD158" s="85">
        <f t="shared" si="143"/>
        <v>8854.0109573241061</v>
      </c>
      <c r="AE158" s="83">
        <f t="shared" si="152"/>
        <v>1.2964142003641357</v>
      </c>
      <c r="AF158" s="83">
        <f t="shared" si="153"/>
        <v>0.82265634491785755</v>
      </c>
      <c r="AG158" s="90">
        <f t="shared" si="175"/>
        <v>89.050772925616485</v>
      </c>
      <c r="AH158" s="90">
        <f t="shared" si="176"/>
        <v>89.050772925616485</v>
      </c>
      <c r="AI158" s="10">
        <f t="shared" si="177"/>
        <v>28126.470588235294</v>
      </c>
      <c r="AJ158" s="10">
        <f t="shared" si="178"/>
        <v>44808.823529411762</v>
      </c>
      <c r="AK158" s="60">
        <f t="shared" si="179"/>
        <v>24303.06411494549</v>
      </c>
      <c r="AL158" s="85">
        <f t="shared" si="180"/>
        <v>24060.033473796033</v>
      </c>
      <c r="AM158" s="85">
        <f t="shared" si="144"/>
        <v>24303.06411494549</v>
      </c>
      <c r="AN158" s="83">
        <f t="shared" si="154"/>
        <v>0.67411138521941283</v>
      </c>
      <c r="AO158" s="83">
        <f t="shared" si="155"/>
        <v>0.42809325762107203</v>
      </c>
      <c r="AP158" s="90">
        <f t="shared" si="181"/>
        <v>64.713378209248035</v>
      </c>
      <c r="AQ158" s="90">
        <f t="shared" si="182"/>
        <v>64.713378209248035</v>
      </c>
      <c r="AR158" s="10">
        <f t="shared" si="183"/>
        <v>16209.607843137255</v>
      </c>
      <c r="AS158" s="10">
        <f t="shared" si="184"/>
        <v>25823.607843137255</v>
      </c>
      <c r="AT158" s="60">
        <f t="shared" si="185"/>
        <v>13530.450623596211</v>
      </c>
      <c r="AU158" s="85">
        <f t="shared" si="186"/>
        <v>13395.146117360249</v>
      </c>
      <c r="AV158" s="85">
        <f t="shared" si="145"/>
        <v>13530.450623596211</v>
      </c>
      <c r="AW158" s="10"/>
      <c r="AX158" s="60">
        <f t="shared" si="156"/>
        <v>1842.375</v>
      </c>
      <c r="AZ158" s="99">
        <f t="shared" ca="1" si="137"/>
        <v>89.050772925616485</v>
      </c>
      <c r="BA158" s="99">
        <f t="shared" ca="1" si="138"/>
        <v>89.050772925616485</v>
      </c>
      <c r="BB158" s="100">
        <f t="shared" ca="1" si="139"/>
        <v>24060.033473796033</v>
      </c>
      <c r="BC158" s="100">
        <f t="shared" ca="1" si="140"/>
        <v>24303.06411494549</v>
      </c>
    </row>
    <row r="159" spans="1:55" ht="11.4" x14ac:dyDescent="0.25">
      <c r="A159" s="1"/>
      <c r="B159" s="1">
        <v>103</v>
      </c>
      <c r="C159" s="66"/>
      <c r="D159" s="83">
        <f t="shared" si="146"/>
        <v>0</v>
      </c>
      <c r="E159" s="83">
        <f t="shared" si="147"/>
        <v>0</v>
      </c>
      <c r="F159" s="90">
        <f t="shared" si="157"/>
        <v>2.1214066783164078</v>
      </c>
      <c r="G159" s="90">
        <f t="shared" si="158"/>
        <v>2.1214066783164078</v>
      </c>
      <c r="H159" s="10">
        <f t="shared" si="159"/>
        <v>1029.2038834951456</v>
      </c>
      <c r="I159" s="10">
        <f t="shared" si="160"/>
        <v>1639.6116504854369</v>
      </c>
      <c r="J159" s="60">
        <f t="shared" si="161"/>
        <v>17.536388774512542</v>
      </c>
      <c r="K159" s="85">
        <f t="shared" si="162"/>
        <v>17.361024886767417</v>
      </c>
      <c r="L159" s="85">
        <f t="shared" si="141"/>
        <v>17.536388774512542</v>
      </c>
      <c r="M159" s="83">
        <f t="shared" si="148"/>
        <v>0.12497752925853828</v>
      </c>
      <c r="N159" s="83">
        <f t="shared" si="149"/>
        <v>7.9931255901228668E-2</v>
      </c>
      <c r="O159" s="90">
        <f t="shared" si="163"/>
        <v>16.60147947989303</v>
      </c>
      <c r="P159" s="90">
        <f t="shared" si="164"/>
        <v>16.60147947989303</v>
      </c>
      <c r="Q159" s="10">
        <f t="shared" si="165"/>
        <v>6991.2621359223303</v>
      </c>
      <c r="R159" s="10">
        <f t="shared" si="166"/>
        <v>11138.106796116504</v>
      </c>
      <c r="S159" s="60">
        <f t="shared" si="167"/>
        <v>4049.7092158066152</v>
      </c>
      <c r="T159" s="85">
        <f t="shared" si="168"/>
        <v>4009.2121236485491</v>
      </c>
      <c r="U159" s="85">
        <f t="shared" si="142"/>
        <v>4049.7092158066152</v>
      </c>
      <c r="V159" s="83">
        <f t="shared" si="150"/>
        <v>0.39262492764610818</v>
      </c>
      <c r="W159" s="83">
        <f t="shared" si="151"/>
        <v>0.24962964267486562</v>
      </c>
      <c r="X159" s="90">
        <f t="shared" si="169"/>
        <v>52.897853358419354</v>
      </c>
      <c r="Y159" s="90">
        <f t="shared" si="170"/>
        <v>52.897853358419354</v>
      </c>
      <c r="Z159" s="10">
        <f t="shared" si="171"/>
        <v>14773.058252427185</v>
      </c>
      <c r="AA159" s="10">
        <f t="shared" si="172"/>
        <v>23535.291262135921</v>
      </c>
      <c r="AB159" s="60">
        <f t="shared" si="173"/>
        <v>8682.9229899142229</v>
      </c>
      <c r="AC159" s="85">
        <f t="shared" si="174"/>
        <v>8596.093760015081</v>
      </c>
      <c r="AD159" s="85">
        <f t="shared" si="143"/>
        <v>8682.9229899142229</v>
      </c>
      <c r="AE159" s="83">
        <f t="shared" si="152"/>
        <v>1.2703594392814681</v>
      </c>
      <c r="AF159" s="83">
        <f t="shared" si="153"/>
        <v>0.80614590824445531</v>
      </c>
      <c r="AG159" s="90">
        <f t="shared" si="175"/>
        <v>88.186202314688174</v>
      </c>
      <c r="AH159" s="90">
        <f t="shared" si="176"/>
        <v>88.186202314688174</v>
      </c>
      <c r="AI159" s="10">
        <f t="shared" si="177"/>
        <v>27853.398058252427</v>
      </c>
      <c r="AJ159" s="10">
        <f t="shared" si="178"/>
        <v>44373.786407766987</v>
      </c>
      <c r="AK159" s="60">
        <f t="shared" si="179"/>
        <v>23877.285624553719</v>
      </c>
      <c r="AL159" s="85">
        <f t="shared" si="180"/>
        <v>23638.512768308181</v>
      </c>
      <c r="AM159" s="85">
        <f t="shared" si="144"/>
        <v>23877.285624553719</v>
      </c>
      <c r="AN159" s="83">
        <f t="shared" si="154"/>
        <v>0.65895908285329541</v>
      </c>
      <c r="AO159" s="83">
        <f t="shared" si="155"/>
        <v>0.41849538451903562</v>
      </c>
      <c r="AP159" s="90">
        <f t="shared" si="181"/>
        <v>64.08509298391553</v>
      </c>
      <c r="AQ159" s="90">
        <f t="shared" si="182"/>
        <v>64.08509298391553</v>
      </c>
      <c r="AR159" s="10">
        <f t="shared" si="183"/>
        <v>16052.233009708738</v>
      </c>
      <c r="AS159" s="10">
        <f t="shared" si="184"/>
        <v>25572.893203883494</v>
      </c>
      <c r="AT159" s="60">
        <f t="shared" si="185"/>
        <v>13293.40336018993</v>
      </c>
      <c r="AU159" s="85">
        <f t="shared" si="186"/>
        <v>13160.469326588031</v>
      </c>
      <c r="AV159" s="85">
        <f t="shared" si="145"/>
        <v>13293.40336018993</v>
      </c>
      <c r="AW159" s="10"/>
      <c r="AX159" s="60">
        <f t="shared" si="156"/>
        <v>1867.375</v>
      </c>
      <c r="AZ159" s="99">
        <f t="shared" ca="1" si="137"/>
        <v>88.186202314688174</v>
      </c>
      <c r="BA159" s="99">
        <f t="shared" ca="1" si="138"/>
        <v>88.186202314688174</v>
      </c>
      <c r="BB159" s="100">
        <f t="shared" ca="1" si="139"/>
        <v>23638.512768308181</v>
      </c>
      <c r="BC159" s="100">
        <f t="shared" ca="1" si="140"/>
        <v>23877.285624553719</v>
      </c>
    </row>
    <row r="160" spans="1:55" ht="11.4" x14ac:dyDescent="0.25">
      <c r="A160" s="1"/>
      <c r="B160" s="1">
        <v>104</v>
      </c>
      <c r="C160" s="66"/>
      <c r="D160" s="83">
        <f t="shared" si="146"/>
        <v>0</v>
      </c>
      <c r="E160" s="83">
        <f t="shared" si="147"/>
        <v>0</v>
      </c>
      <c r="F160" s="90">
        <f t="shared" si="157"/>
        <v>2.1010085371787501</v>
      </c>
      <c r="G160" s="90">
        <f t="shared" si="158"/>
        <v>2.1010085371787501</v>
      </c>
      <c r="H160" s="10">
        <f t="shared" si="159"/>
        <v>1019.3076923076923</v>
      </c>
      <c r="I160" s="10">
        <f t="shared" si="160"/>
        <v>1623.8461538461538</v>
      </c>
      <c r="J160" s="60">
        <f t="shared" si="161"/>
        <v>17.117876097976502</v>
      </c>
      <c r="K160" s="85">
        <f t="shared" si="162"/>
        <v>16.946697336996738</v>
      </c>
      <c r="L160" s="85">
        <f t="shared" si="141"/>
        <v>17.117876097976502</v>
      </c>
      <c r="M160" s="83">
        <f t="shared" si="148"/>
        <v>0.11996730488969917</v>
      </c>
      <c r="N160" s="83">
        <f t="shared" si="149"/>
        <v>7.6763883011588777E-2</v>
      </c>
      <c r="O160" s="90">
        <f t="shared" si="163"/>
        <v>16.441849869509443</v>
      </c>
      <c r="P160" s="90">
        <f t="shared" si="164"/>
        <v>16.441849869509443</v>
      </c>
      <c r="Q160" s="10">
        <f t="shared" si="165"/>
        <v>6924.0384615384619</v>
      </c>
      <c r="R160" s="10">
        <f t="shared" si="166"/>
        <v>11031.009615384615</v>
      </c>
      <c r="S160" s="60">
        <f t="shared" si="167"/>
        <v>3988.3565775743209</v>
      </c>
      <c r="T160" s="85">
        <f t="shared" si="168"/>
        <v>3948.4730117985778</v>
      </c>
      <c r="U160" s="85">
        <f t="shared" si="142"/>
        <v>3988.3565775743209</v>
      </c>
      <c r="V160" s="83">
        <f t="shared" si="150"/>
        <v>0.38155933088936561</v>
      </c>
      <c r="W160" s="83">
        <f t="shared" si="151"/>
        <v>0.24262293889043091</v>
      </c>
      <c r="X160" s="90">
        <f t="shared" si="169"/>
        <v>52.389220153049941</v>
      </c>
      <c r="Y160" s="90">
        <f t="shared" si="170"/>
        <v>52.389220153049941</v>
      </c>
      <c r="Z160" s="10">
        <f t="shared" si="171"/>
        <v>14631.009615384615</v>
      </c>
      <c r="AA160" s="10">
        <f t="shared" si="172"/>
        <v>23308.990384615383</v>
      </c>
      <c r="AB160" s="60">
        <f t="shared" si="173"/>
        <v>8516.7464866863902</v>
      </c>
      <c r="AC160" s="85">
        <f t="shared" si="174"/>
        <v>8431.579021819527</v>
      </c>
      <c r="AD160" s="85">
        <f t="shared" si="143"/>
        <v>8516.7464866863902</v>
      </c>
      <c r="AE160" s="83">
        <f t="shared" si="152"/>
        <v>1.244959740074483</v>
      </c>
      <c r="AF160" s="83">
        <f t="shared" si="153"/>
        <v>0.79005085136446085</v>
      </c>
      <c r="AG160" s="90">
        <f t="shared" si="175"/>
        <v>87.338258061662316</v>
      </c>
      <c r="AH160" s="90">
        <f t="shared" si="176"/>
        <v>87.338258061662316</v>
      </c>
      <c r="AI160" s="10">
        <f t="shared" si="177"/>
        <v>27585.576923076922</v>
      </c>
      <c r="AJ160" s="10">
        <f t="shared" si="178"/>
        <v>43947.115384615383</v>
      </c>
      <c r="AK160" s="60">
        <f t="shared" si="179"/>
        <v>23462.973098663104</v>
      </c>
      <c r="AL160" s="85">
        <f t="shared" si="180"/>
        <v>23228.343367676473</v>
      </c>
      <c r="AM160" s="85">
        <f t="shared" si="144"/>
        <v>23462.973098663104</v>
      </c>
      <c r="AN160" s="83">
        <f t="shared" si="154"/>
        <v>0.64416824555738494</v>
      </c>
      <c r="AO160" s="83">
        <f t="shared" si="155"/>
        <v>0.40912673993618848</v>
      </c>
      <c r="AP160" s="90">
        <f t="shared" si="181"/>
        <v>63.468890166762499</v>
      </c>
      <c r="AQ160" s="90">
        <f t="shared" si="182"/>
        <v>63.468890166762499</v>
      </c>
      <c r="AR160" s="10">
        <f t="shared" si="183"/>
        <v>15897.884615384615</v>
      </c>
      <c r="AS160" s="10">
        <f t="shared" si="184"/>
        <v>25327</v>
      </c>
      <c r="AT160" s="60">
        <f t="shared" si="185"/>
        <v>13062.739640266111</v>
      </c>
      <c r="AU160" s="85">
        <f t="shared" si="186"/>
        <v>12932.11224386345</v>
      </c>
      <c r="AV160" s="85">
        <f t="shared" si="145"/>
        <v>13062.739640266111</v>
      </c>
      <c r="AW160" s="10"/>
      <c r="AX160" s="60">
        <f t="shared" si="156"/>
        <v>1892.5</v>
      </c>
      <c r="AZ160" s="99">
        <f t="shared" ca="1" si="137"/>
        <v>87.338258061662316</v>
      </c>
      <c r="BA160" s="99">
        <f t="shared" ca="1" si="138"/>
        <v>87.338258061662316</v>
      </c>
      <c r="BB160" s="100">
        <f t="shared" ca="1" si="139"/>
        <v>23228.343367676473</v>
      </c>
      <c r="BC160" s="100">
        <f t="shared" ca="1" si="140"/>
        <v>23462.973098663104</v>
      </c>
    </row>
    <row r="161" spans="1:55" ht="11.4" x14ac:dyDescent="0.25">
      <c r="A161" s="1"/>
      <c r="B161" s="1">
        <v>105</v>
      </c>
      <c r="C161" s="66"/>
      <c r="D161" s="83">
        <f t="shared" si="146"/>
        <v>0</v>
      </c>
      <c r="E161" s="83">
        <f t="shared" si="147"/>
        <v>0</v>
      </c>
      <c r="F161" s="90">
        <f t="shared" si="157"/>
        <v>2.0809989320627618</v>
      </c>
      <c r="G161" s="90">
        <f t="shared" si="158"/>
        <v>2.0809989320627618</v>
      </c>
      <c r="H161" s="10">
        <f t="shared" si="159"/>
        <v>1009.6</v>
      </c>
      <c r="I161" s="10">
        <f t="shared" si="160"/>
        <v>1608.3809523809523</v>
      </c>
      <c r="J161" s="60">
        <f t="shared" si="161"/>
        <v>16.713214196396546</v>
      </c>
      <c r="K161" s="85">
        <f t="shared" si="162"/>
        <v>16.546082054432581</v>
      </c>
      <c r="L161" s="85">
        <f t="shared" si="141"/>
        <v>16.713214196396546</v>
      </c>
      <c r="M161" s="83">
        <f t="shared" si="148"/>
        <v>0.11502933683103587</v>
      </c>
      <c r="N161" s="83">
        <f t="shared" si="149"/>
        <v>7.3642415796210225E-2</v>
      </c>
      <c r="O161" s="90">
        <f t="shared" si="163"/>
        <v>16.285260823133161</v>
      </c>
      <c r="P161" s="90">
        <f t="shared" si="164"/>
        <v>16.285260823133161</v>
      </c>
      <c r="Q161" s="10">
        <f t="shared" si="165"/>
        <v>6858.0952380952385</v>
      </c>
      <c r="R161" s="10">
        <f t="shared" si="166"/>
        <v>10925.952380952382</v>
      </c>
      <c r="S161" s="60">
        <f t="shared" si="167"/>
        <v>3928.5072853893348</v>
      </c>
      <c r="T161" s="85">
        <f t="shared" si="168"/>
        <v>3889.2222125354415</v>
      </c>
      <c r="U161" s="85">
        <f t="shared" si="142"/>
        <v>3928.5072853893348</v>
      </c>
      <c r="V161" s="83">
        <f t="shared" si="150"/>
        <v>0.37075211081061049</v>
      </c>
      <c r="W161" s="83">
        <f t="shared" si="151"/>
        <v>0.23578014800302022</v>
      </c>
      <c r="X161" s="90">
        <f t="shared" si="169"/>
        <v>51.890275199211366</v>
      </c>
      <c r="Y161" s="90">
        <f t="shared" si="170"/>
        <v>51.890275199211366</v>
      </c>
      <c r="Z161" s="10">
        <f t="shared" si="171"/>
        <v>14491.666666666666</v>
      </c>
      <c r="AA161" s="10">
        <f t="shared" si="172"/>
        <v>23087</v>
      </c>
      <c r="AB161" s="60">
        <f t="shared" si="173"/>
        <v>8355.2952380952374</v>
      </c>
      <c r="AC161" s="85">
        <f t="shared" si="174"/>
        <v>8271.7422857142847</v>
      </c>
      <c r="AD161" s="85">
        <f t="shared" si="143"/>
        <v>8355.2952380952374</v>
      </c>
      <c r="AE161" s="83">
        <f t="shared" si="152"/>
        <v>1.2201838577149953</v>
      </c>
      <c r="AF161" s="83">
        <f t="shared" si="153"/>
        <v>0.77435141001563412</v>
      </c>
      <c r="AG161" s="90">
        <f t="shared" si="175"/>
        <v>86.50646512774172</v>
      </c>
      <c r="AH161" s="90">
        <f t="shared" si="176"/>
        <v>86.50646512774172</v>
      </c>
      <c r="AI161" s="10">
        <f t="shared" si="177"/>
        <v>27322.857142857141</v>
      </c>
      <c r="AJ161" s="10">
        <f t="shared" si="178"/>
        <v>43528.571428571428</v>
      </c>
      <c r="AK161" s="60">
        <f t="shared" si="179"/>
        <v>23059.711920758797</v>
      </c>
      <c r="AL161" s="85">
        <f t="shared" si="180"/>
        <v>22829.114801551208</v>
      </c>
      <c r="AM161" s="85">
        <f t="shared" si="144"/>
        <v>23059.711920758797</v>
      </c>
      <c r="AN161" s="83">
        <f t="shared" si="154"/>
        <v>0.6297182449493306</v>
      </c>
      <c r="AO161" s="83">
        <f t="shared" si="155"/>
        <v>0.39997429095788406</v>
      </c>
      <c r="AP161" s="90">
        <f t="shared" si="181"/>
        <v>62.864424546126664</v>
      </c>
      <c r="AQ161" s="90">
        <f t="shared" si="182"/>
        <v>62.864424546126664</v>
      </c>
      <c r="AR161" s="10">
        <f t="shared" si="183"/>
        <v>15746.476190476191</v>
      </c>
      <c r="AS161" s="10">
        <f t="shared" si="184"/>
        <v>25085.790476190476</v>
      </c>
      <c r="AT161" s="60">
        <f t="shared" si="185"/>
        <v>12838.228630862484</v>
      </c>
      <c r="AU161" s="85">
        <f t="shared" si="186"/>
        <v>12709.84634455386</v>
      </c>
      <c r="AV161" s="85">
        <f t="shared" si="145"/>
        <v>12838.228630862484</v>
      </c>
      <c r="AW161" s="10"/>
      <c r="AX161" s="60">
        <f t="shared" si="156"/>
        <v>1917.875</v>
      </c>
      <c r="AZ161" s="99">
        <f t="shared" ca="1" si="137"/>
        <v>86.50646512774172</v>
      </c>
      <c r="BA161" s="99">
        <f t="shared" ca="1" si="138"/>
        <v>86.50646512774172</v>
      </c>
      <c r="BB161" s="100">
        <f t="shared" ca="1" si="139"/>
        <v>22829.114801551208</v>
      </c>
      <c r="BC161" s="100">
        <f t="shared" ca="1" si="140"/>
        <v>23059.711920758797</v>
      </c>
    </row>
    <row r="162" spans="1:55" ht="11.4" x14ac:dyDescent="0.25">
      <c r="A162" s="1"/>
      <c r="B162" s="1">
        <v>106</v>
      </c>
      <c r="C162" s="66"/>
      <c r="D162" s="83">
        <f t="shared" si="146"/>
        <v>0</v>
      </c>
      <c r="E162" s="83">
        <f t="shared" si="147"/>
        <v>0</v>
      </c>
      <c r="F162" s="90">
        <f t="shared" si="157"/>
        <v>2.0613668666659435</v>
      </c>
      <c r="G162" s="90">
        <f t="shared" si="158"/>
        <v>2.0613668666659435</v>
      </c>
      <c r="H162" s="10">
        <f t="shared" si="159"/>
        <v>1000.0754716981132</v>
      </c>
      <c r="I162" s="10">
        <f t="shared" si="160"/>
        <v>1593.2075471698113</v>
      </c>
      <c r="J162" s="60">
        <f t="shared" si="161"/>
        <v>16.321819232339617</v>
      </c>
      <c r="K162" s="85">
        <f t="shared" si="162"/>
        <v>16.158601040016222</v>
      </c>
      <c r="L162" s="85">
        <f t="shared" si="141"/>
        <v>16.321819232339617</v>
      </c>
      <c r="M162" s="83">
        <f t="shared" si="148"/>
        <v>0.11016070011123448</v>
      </c>
      <c r="N162" s="83">
        <f t="shared" si="149"/>
        <v>7.056499971469278E-2</v>
      </c>
      <c r="O162" s="90">
        <f t="shared" si="163"/>
        <v>16.131626287065867</v>
      </c>
      <c r="P162" s="90">
        <f t="shared" si="164"/>
        <v>16.131626287065867</v>
      </c>
      <c r="Q162" s="10">
        <f t="shared" si="165"/>
        <v>6793.3962264150941</v>
      </c>
      <c r="R162" s="10">
        <f t="shared" si="166"/>
        <v>10822.877358490567</v>
      </c>
      <c r="S162" s="60">
        <f t="shared" si="167"/>
        <v>3870.1107054048043</v>
      </c>
      <c r="T162" s="85">
        <f t="shared" si="168"/>
        <v>3831.4095983507564</v>
      </c>
      <c r="U162" s="85">
        <f t="shared" si="142"/>
        <v>3870.1107054048043</v>
      </c>
      <c r="V162" s="83">
        <f t="shared" si="150"/>
        <v>0.36019301561214401</v>
      </c>
      <c r="W162" s="83">
        <f t="shared" si="151"/>
        <v>0.22909476999230252</v>
      </c>
      <c r="X162" s="90">
        <f t="shared" si="169"/>
        <v>51.400744301105604</v>
      </c>
      <c r="Y162" s="90">
        <f t="shared" si="170"/>
        <v>51.400744301105604</v>
      </c>
      <c r="Z162" s="10">
        <f t="shared" si="171"/>
        <v>14354.952830188678</v>
      </c>
      <c r="AA162" s="10">
        <f t="shared" si="172"/>
        <v>22869.198113207549</v>
      </c>
      <c r="AB162" s="60">
        <f t="shared" si="173"/>
        <v>8198.3917764328944</v>
      </c>
      <c r="AC162" s="85">
        <f t="shared" si="174"/>
        <v>8116.4078586685655</v>
      </c>
      <c r="AD162" s="85">
        <f t="shared" si="143"/>
        <v>8198.3917764328944</v>
      </c>
      <c r="AE162" s="83">
        <f t="shared" si="152"/>
        <v>1.1960089240337015</v>
      </c>
      <c r="AF162" s="83">
        <f t="shared" si="153"/>
        <v>0.75903308492967403</v>
      </c>
      <c r="AG162" s="90">
        <f t="shared" si="175"/>
        <v>85.690366400121519</v>
      </c>
      <c r="AH162" s="90">
        <f t="shared" si="176"/>
        <v>85.690366400121519</v>
      </c>
      <c r="AI162" s="10">
        <f t="shared" si="177"/>
        <v>27065.094339622643</v>
      </c>
      <c r="AJ162" s="10">
        <f t="shared" si="178"/>
        <v>43117.92452830189</v>
      </c>
      <c r="AK162" s="60">
        <f t="shared" si="179"/>
        <v>22667.106222554223</v>
      </c>
      <c r="AL162" s="85">
        <f t="shared" si="180"/>
        <v>22440.435160328681</v>
      </c>
      <c r="AM162" s="85">
        <f t="shared" si="144"/>
        <v>22667.106222554223</v>
      </c>
      <c r="AN162" s="83">
        <f t="shared" si="154"/>
        <v>0.61559634943964392</v>
      </c>
      <c r="AO162" s="83">
        <f t="shared" si="155"/>
        <v>0.39102996528373668</v>
      </c>
      <c r="AP162" s="90">
        <f t="shared" si="181"/>
        <v>62.271363937200938</v>
      </c>
      <c r="AQ162" s="90">
        <f t="shared" si="182"/>
        <v>62.271363937200938</v>
      </c>
      <c r="AR162" s="10">
        <f t="shared" si="183"/>
        <v>15597.924528301886</v>
      </c>
      <c r="AS162" s="10">
        <f t="shared" si="184"/>
        <v>24849.132075471698</v>
      </c>
      <c r="AT162" s="60">
        <f t="shared" si="185"/>
        <v>12619.64993687662</v>
      </c>
      <c r="AU162" s="85">
        <f t="shared" si="186"/>
        <v>12493.453437507853</v>
      </c>
      <c r="AV162" s="85">
        <f t="shared" si="145"/>
        <v>12619.64993687662</v>
      </c>
      <c r="AW162" s="10"/>
      <c r="AX162" s="60">
        <f t="shared" si="156"/>
        <v>1943.5</v>
      </c>
      <c r="AZ162" s="99">
        <f t="shared" ca="1" si="137"/>
        <v>85.690366400121519</v>
      </c>
      <c r="BA162" s="99">
        <f t="shared" ca="1" si="138"/>
        <v>85.690366400121519</v>
      </c>
      <c r="BB162" s="100">
        <f t="shared" ca="1" si="139"/>
        <v>22440.435160328681</v>
      </c>
      <c r="BC162" s="100">
        <f t="shared" ca="1" si="140"/>
        <v>22667.106222554223</v>
      </c>
    </row>
    <row r="163" spans="1:55" ht="11.4" x14ac:dyDescent="0.25">
      <c r="A163" s="1"/>
      <c r="B163" s="1">
        <v>107</v>
      </c>
      <c r="C163" s="66"/>
      <c r="D163" s="83">
        <f t="shared" si="146"/>
        <v>0</v>
      </c>
      <c r="E163" s="83">
        <f t="shared" si="147"/>
        <v>0</v>
      </c>
      <c r="F163" s="90">
        <f t="shared" si="157"/>
        <v>2.0421017557625234</v>
      </c>
      <c r="G163" s="90">
        <f t="shared" si="158"/>
        <v>2.0421017557625234</v>
      </c>
      <c r="H163" s="10">
        <f t="shared" si="159"/>
        <v>990.72897196261681</v>
      </c>
      <c r="I163" s="10">
        <f t="shared" si="160"/>
        <v>1578.3177570093458</v>
      </c>
      <c r="J163" s="60">
        <f t="shared" si="161"/>
        <v>15.943137167679005</v>
      </c>
      <c r="K163" s="85">
        <f t="shared" si="162"/>
        <v>15.783705796002215</v>
      </c>
      <c r="L163" s="85">
        <f t="shared" si="141"/>
        <v>15.943137167679005</v>
      </c>
      <c r="M163" s="83">
        <f t="shared" si="148"/>
        <v>0.10536588844509003</v>
      </c>
      <c r="N163" s="83">
        <f t="shared" si="149"/>
        <v>6.753443770346601E-2</v>
      </c>
      <c r="O163" s="90">
        <f t="shared" si="163"/>
        <v>15.980863424569925</v>
      </c>
      <c r="P163" s="90">
        <f t="shared" si="164"/>
        <v>15.980863424569925</v>
      </c>
      <c r="Q163" s="10">
        <f t="shared" si="165"/>
        <v>6729.9065420560746</v>
      </c>
      <c r="R163" s="10">
        <f t="shared" si="166"/>
        <v>10721.728971962617</v>
      </c>
      <c r="S163" s="60">
        <f t="shared" si="167"/>
        <v>3813.1183651818951</v>
      </c>
      <c r="T163" s="85">
        <f t="shared" si="168"/>
        <v>3774.9871815300762</v>
      </c>
      <c r="U163" s="85">
        <f t="shared" si="142"/>
        <v>3813.1183651818951</v>
      </c>
      <c r="V163" s="83">
        <f t="shared" si="150"/>
        <v>0.34987956413074361</v>
      </c>
      <c r="W163" s="83">
        <f t="shared" si="151"/>
        <v>0.22256518546310763</v>
      </c>
      <c r="X163" s="90">
        <f t="shared" si="169"/>
        <v>50.920363513244801</v>
      </c>
      <c r="Y163" s="90">
        <f t="shared" si="170"/>
        <v>50.920363513244801</v>
      </c>
      <c r="Z163" s="10">
        <f t="shared" si="171"/>
        <v>14220.794392523365</v>
      </c>
      <c r="AA163" s="10">
        <f t="shared" si="172"/>
        <v>22655.467289719625</v>
      </c>
      <c r="AB163" s="60">
        <f t="shared" si="173"/>
        <v>8045.8668879378101</v>
      </c>
      <c r="AC163" s="85">
        <f t="shared" si="174"/>
        <v>7965.4082190584322</v>
      </c>
      <c r="AD163" s="85">
        <f t="shared" si="143"/>
        <v>8045.8668879378101</v>
      </c>
      <c r="AE163" s="83">
        <f t="shared" si="152"/>
        <v>1.1724203891205267</v>
      </c>
      <c r="AF163" s="83">
        <f t="shared" si="153"/>
        <v>0.74408660467786358</v>
      </c>
      <c r="AG163" s="90">
        <f t="shared" si="175"/>
        <v>84.889521854325992</v>
      </c>
      <c r="AH163" s="90">
        <f t="shared" si="176"/>
        <v>84.889521854325992</v>
      </c>
      <c r="AI163" s="10">
        <f t="shared" si="177"/>
        <v>26812.149532710282</v>
      </c>
      <c r="AJ163" s="10">
        <f t="shared" si="178"/>
        <v>42714.95327102804</v>
      </c>
      <c r="AK163" s="60">
        <f t="shared" si="179"/>
        <v>22284.777869579131</v>
      </c>
      <c r="AL163" s="85">
        <f t="shared" si="180"/>
        <v>22061.930090883339</v>
      </c>
      <c r="AM163" s="85">
        <f t="shared" si="144"/>
        <v>22284.777869579131</v>
      </c>
      <c r="AN163" s="83">
        <f t="shared" si="154"/>
        <v>0.60179769160701924</v>
      </c>
      <c r="AO163" s="83">
        <f t="shared" si="155"/>
        <v>0.38229063054236306</v>
      </c>
      <c r="AP163" s="90">
        <f t="shared" si="181"/>
        <v>61.689388573301862</v>
      </c>
      <c r="AQ163" s="90">
        <f t="shared" si="182"/>
        <v>61.689388573301862</v>
      </c>
      <c r="AR163" s="10">
        <f t="shared" si="183"/>
        <v>15452.14953271028</v>
      </c>
      <c r="AS163" s="10">
        <f t="shared" si="184"/>
        <v>24616.897196261682</v>
      </c>
      <c r="AT163" s="60">
        <f t="shared" si="185"/>
        <v>12406.793036303776</v>
      </c>
      <c r="AU163" s="85">
        <f t="shared" si="186"/>
        <v>12282.725105940737</v>
      </c>
      <c r="AV163" s="85">
        <f t="shared" si="145"/>
        <v>12406.793036303776</v>
      </c>
      <c r="AW163" s="10"/>
      <c r="AX163" s="60">
        <f t="shared" si="156"/>
        <v>1969.25</v>
      </c>
      <c r="AZ163" s="99">
        <f t="shared" ca="1" si="137"/>
        <v>84.889521854325992</v>
      </c>
      <c r="BA163" s="99">
        <f t="shared" ca="1" si="138"/>
        <v>84.889521854325992</v>
      </c>
      <c r="BB163" s="100">
        <f t="shared" ca="1" si="139"/>
        <v>22061.930090883339</v>
      </c>
      <c r="BC163" s="100">
        <f t="shared" ca="1" si="140"/>
        <v>22284.777869579131</v>
      </c>
    </row>
    <row r="164" spans="1:55" ht="11.4" x14ac:dyDescent="0.25">
      <c r="A164" s="1"/>
      <c r="B164" s="1">
        <v>108</v>
      </c>
      <c r="C164" s="66"/>
      <c r="D164" s="83">
        <f t="shared" si="146"/>
        <v>0</v>
      </c>
      <c r="E164" s="83">
        <f t="shared" si="147"/>
        <v>0</v>
      </c>
      <c r="F164" s="90">
        <f t="shared" si="157"/>
        <v>2.0231934061721297</v>
      </c>
      <c r="G164" s="90">
        <f t="shared" si="158"/>
        <v>2.0231934061721297</v>
      </c>
      <c r="H164" s="10">
        <f t="shared" si="159"/>
        <v>981.55555555555554</v>
      </c>
      <c r="I164" s="10">
        <f t="shared" si="160"/>
        <v>1563.7037037037037</v>
      </c>
      <c r="J164" s="60">
        <f t="shared" si="161"/>
        <v>15.576641982631937</v>
      </c>
      <c r="K164" s="85">
        <f t="shared" si="162"/>
        <v>15.420875562805618</v>
      </c>
      <c r="L164" s="85">
        <f t="shared" si="141"/>
        <v>15.576641982631937</v>
      </c>
      <c r="M164" s="83">
        <f t="shared" si="148"/>
        <v>0.10063492631654625</v>
      </c>
      <c r="N164" s="83">
        <f t="shared" si="149"/>
        <v>6.4544451160593222E-2</v>
      </c>
      <c r="O164" s="90">
        <f t="shared" si="163"/>
        <v>15.832892466935018</v>
      </c>
      <c r="P164" s="90">
        <f t="shared" si="164"/>
        <v>15.832892466935018</v>
      </c>
      <c r="Q164" s="10">
        <f t="shared" si="165"/>
        <v>6667.5925925925922</v>
      </c>
      <c r="R164" s="10">
        <f t="shared" si="166"/>
        <v>10622.453703703704</v>
      </c>
      <c r="S164" s="60">
        <f t="shared" si="167"/>
        <v>3757.4838423192023</v>
      </c>
      <c r="T164" s="85">
        <f t="shared" si="168"/>
        <v>3719.9090038960103</v>
      </c>
      <c r="U164" s="85">
        <f t="shared" si="142"/>
        <v>3757.4838423192023</v>
      </c>
      <c r="V164" s="83">
        <f t="shared" si="150"/>
        <v>0.33979513798841637</v>
      </c>
      <c r="W164" s="83">
        <f t="shared" si="151"/>
        <v>0.21618090399241999</v>
      </c>
      <c r="X164" s="90">
        <f t="shared" si="169"/>
        <v>50.44887866589994</v>
      </c>
      <c r="Y164" s="90">
        <f t="shared" si="170"/>
        <v>50.44887866589994</v>
      </c>
      <c r="Z164" s="10">
        <f t="shared" si="171"/>
        <v>14089.12037037037</v>
      </c>
      <c r="AA164" s="10">
        <f t="shared" si="172"/>
        <v>22445.694444444445</v>
      </c>
      <c r="AB164" s="60">
        <f t="shared" si="173"/>
        <v>7897.5591563786011</v>
      </c>
      <c r="AC164" s="85">
        <f t="shared" si="174"/>
        <v>7818.583564814815</v>
      </c>
      <c r="AD164" s="85">
        <f t="shared" si="143"/>
        <v>7897.5591563786011</v>
      </c>
      <c r="AE164" s="83">
        <f t="shared" si="152"/>
        <v>1.1493900849234884</v>
      </c>
      <c r="AF164" s="83">
        <f t="shared" si="153"/>
        <v>0.72949415591510502</v>
      </c>
      <c r="AG164" s="90">
        <f t="shared" si="175"/>
        <v>84.103507763082234</v>
      </c>
      <c r="AH164" s="90">
        <f t="shared" si="176"/>
        <v>84.103507763082234</v>
      </c>
      <c r="AI164" s="10">
        <f t="shared" si="177"/>
        <v>26563.888888888891</v>
      </c>
      <c r="AJ164" s="10">
        <f t="shared" si="178"/>
        <v>42319.444444444445</v>
      </c>
      <c r="AK164" s="60">
        <f t="shared" si="179"/>
        <v>21912.365510504922</v>
      </c>
      <c r="AL164" s="85">
        <f t="shared" si="180"/>
        <v>21693.241855399872</v>
      </c>
      <c r="AM164" s="85">
        <f t="shared" si="144"/>
        <v>21912.365510504922</v>
      </c>
      <c r="AN164" s="83">
        <f t="shared" si="154"/>
        <v>0.5883033561401152</v>
      </c>
      <c r="AO164" s="83">
        <f t="shared" si="155"/>
        <v>0.37374433996973327</v>
      </c>
      <c r="AP164" s="90">
        <f t="shared" si="181"/>
        <v>61.118190530956475</v>
      </c>
      <c r="AQ164" s="90">
        <f t="shared" si="182"/>
        <v>61.118190530956475</v>
      </c>
      <c r="AR164" s="10">
        <f t="shared" si="183"/>
        <v>15309.074074074075</v>
      </c>
      <c r="AS164" s="10">
        <f t="shared" si="184"/>
        <v>24388.962962962964</v>
      </c>
      <c r="AT164" s="60">
        <f t="shared" si="185"/>
        <v>12199.456750959749</v>
      </c>
      <c r="AU164" s="85">
        <f t="shared" si="186"/>
        <v>12077.462183450152</v>
      </c>
      <c r="AV164" s="85">
        <f t="shared" si="145"/>
        <v>12199.456750959749</v>
      </c>
      <c r="AW164" s="10"/>
      <c r="AX164" s="60">
        <f t="shared" si="156"/>
        <v>1995.25</v>
      </c>
      <c r="AZ164" s="99">
        <f t="shared" ca="1" si="137"/>
        <v>84.103507763082234</v>
      </c>
      <c r="BA164" s="99">
        <f t="shared" ca="1" si="138"/>
        <v>84.103507763082234</v>
      </c>
      <c r="BB164" s="100">
        <f t="shared" ca="1" si="139"/>
        <v>21693.241855399872</v>
      </c>
      <c r="BC164" s="100">
        <f t="shared" ca="1" si="140"/>
        <v>21912.365510504922</v>
      </c>
    </row>
    <row r="165" spans="1:55" ht="11.4" x14ac:dyDescent="0.25">
      <c r="A165" s="1"/>
      <c r="B165" s="1">
        <v>109</v>
      </c>
      <c r="C165" s="66"/>
      <c r="D165" s="83">
        <f t="shared" si="146"/>
        <v>0</v>
      </c>
      <c r="E165" s="83">
        <f t="shared" si="147"/>
        <v>0</v>
      </c>
      <c r="F165" s="90">
        <f t="shared" si="157"/>
        <v>2.004631998776055</v>
      </c>
      <c r="G165" s="90">
        <f t="shared" si="158"/>
        <v>2.004631998776055</v>
      </c>
      <c r="H165" s="10">
        <f t="shared" si="159"/>
        <v>972.55045871559628</v>
      </c>
      <c r="I165" s="10">
        <f t="shared" si="160"/>
        <v>1549.3577981651376</v>
      </c>
      <c r="J165" s="60">
        <f t="shared" si="161"/>
        <v>15.221834016492046</v>
      </c>
      <c r="K165" s="85">
        <f t="shared" si="162"/>
        <v>15.069615676327127</v>
      </c>
      <c r="L165" s="85">
        <f t="shared" si="141"/>
        <v>15.221834016492046</v>
      </c>
      <c r="M165" s="83">
        <f t="shared" si="148"/>
        <v>9.5972538243672925E-2</v>
      </c>
      <c r="N165" s="83">
        <f t="shared" si="149"/>
        <v>6.1597989360348604E-2</v>
      </c>
      <c r="O165" s="90">
        <f t="shared" si="163"/>
        <v>15.687636572742955</v>
      </c>
      <c r="P165" s="90">
        <f t="shared" si="164"/>
        <v>15.687636572742955</v>
      </c>
      <c r="Q165" s="10">
        <f t="shared" si="165"/>
        <v>6606.4220183486241</v>
      </c>
      <c r="R165" s="10">
        <f t="shared" si="166"/>
        <v>10525</v>
      </c>
      <c r="S165" s="60">
        <f t="shared" si="167"/>
        <v>3703.1626597872178</v>
      </c>
      <c r="T165" s="85">
        <f t="shared" si="168"/>
        <v>3666.1310331893455</v>
      </c>
      <c r="U165" s="85">
        <f t="shared" si="142"/>
        <v>3703.1626597872178</v>
      </c>
      <c r="V165" s="83">
        <f t="shared" si="150"/>
        <v>0.32993813222314672</v>
      </c>
      <c r="W165" s="83">
        <f t="shared" si="151"/>
        <v>0.20994086172916276</v>
      </c>
      <c r="X165" s="90">
        <f t="shared" si="169"/>
        <v>49.986044916671503</v>
      </c>
      <c r="Y165" s="90">
        <f t="shared" si="170"/>
        <v>49.986044916671503</v>
      </c>
      <c r="Z165" s="10">
        <f t="shared" si="171"/>
        <v>13959.862385321101</v>
      </c>
      <c r="AA165" s="10">
        <f t="shared" si="172"/>
        <v>22239.770642201835</v>
      </c>
      <c r="AB165" s="60">
        <f t="shared" si="173"/>
        <v>7753.3145358134843</v>
      </c>
      <c r="AC165" s="85">
        <f t="shared" si="174"/>
        <v>7675.7813904553495</v>
      </c>
      <c r="AD165" s="85">
        <f t="shared" si="143"/>
        <v>7753.3145358134843</v>
      </c>
      <c r="AE165" s="83">
        <f t="shared" si="152"/>
        <v>1.1269053490612164</v>
      </c>
      <c r="AF165" s="83">
        <f t="shared" si="153"/>
        <v>0.7152476639759533</v>
      </c>
      <c r="AG165" s="90">
        <f t="shared" si="175"/>
        <v>83.331915948742036</v>
      </c>
      <c r="AH165" s="90">
        <f t="shared" si="176"/>
        <v>83.331915948742036</v>
      </c>
      <c r="AI165" s="10">
        <f t="shared" si="177"/>
        <v>26320.183486238533</v>
      </c>
      <c r="AJ165" s="10">
        <f t="shared" si="178"/>
        <v>41931.192660550456</v>
      </c>
      <c r="AK165" s="60">
        <f t="shared" si="179"/>
        <v>21549.523685656794</v>
      </c>
      <c r="AL165" s="85">
        <f t="shared" si="180"/>
        <v>21334.028448800225</v>
      </c>
      <c r="AM165" s="85">
        <f t="shared" si="144"/>
        <v>21549.523685656794</v>
      </c>
      <c r="AN165" s="83">
        <f t="shared" si="154"/>
        <v>0.57510952647746039</v>
      </c>
      <c r="AO165" s="83">
        <f t="shared" si="155"/>
        <v>0.36538862747861151</v>
      </c>
      <c r="AP165" s="90">
        <f t="shared" si="181"/>
        <v>60.557473186635775</v>
      </c>
      <c r="AQ165" s="90">
        <f t="shared" si="182"/>
        <v>60.557473186635775</v>
      </c>
      <c r="AR165" s="10">
        <f t="shared" si="183"/>
        <v>15168.623853211009</v>
      </c>
      <c r="AS165" s="10">
        <f t="shared" si="184"/>
        <v>24165.211009174312</v>
      </c>
      <c r="AT165" s="60">
        <f t="shared" si="185"/>
        <v>11997.448750155274</v>
      </c>
      <c r="AU165" s="85">
        <f t="shared" si="186"/>
        <v>11877.474262653721</v>
      </c>
      <c r="AV165" s="85">
        <f t="shared" si="145"/>
        <v>11997.448750155274</v>
      </c>
      <c r="AW165" s="10"/>
      <c r="AX165" s="60">
        <f t="shared" si="156"/>
        <v>2021.375</v>
      </c>
      <c r="AZ165" s="99">
        <f t="shared" ca="1" si="137"/>
        <v>83.331915948742036</v>
      </c>
      <c r="BA165" s="99">
        <f t="shared" ca="1" si="138"/>
        <v>83.331915948742036</v>
      </c>
      <c r="BB165" s="100">
        <f t="shared" ca="1" si="139"/>
        <v>21334.028448800225</v>
      </c>
      <c r="BC165" s="100">
        <f t="shared" ca="1" si="140"/>
        <v>21549.523685656794</v>
      </c>
    </row>
    <row r="166" spans="1:55" ht="11.4" x14ac:dyDescent="0.25">
      <c r="A166" s="1"/>
      <c r="B166" s="1">
        <v>110</v>
      </c>
      <c r="C166" s="66"/>
      <c r="D166" s="83">
        <f t="shared" si="146"/>
        <v>0</v>
      </c>
      <c r="E166" s="83">
        <f t="shared" si="147"/>
        <v>0</v>
      </c>
      <c r="F166" s="90">
        <f t="shared" si="157"/>
        <v>1.9864080715144545</v>
      </c>
      <c r="G166" s="90">
        <f t="shared" si="158"/>
        <v>1.9864080715144545</v>
      </c>
      <c r="H166" s="10">
        <f t="shared" si="159"/>
        <v>963.70909090909095</v>
      </c>
      <c r="I166" s="10">
        <f t="shared" si="160"/>
        <v>1535.2727272727273</v>
      </c>
      <c r="J166" s="60">
        <f t="shared" si="161"/>
        <v>14.878238420717127</v>
      </c>
      <c r="K166" s="85">
        <f t="shared" si="162"/>
        <v>14.729456036509955</v>
      </c>
      <c r="L166" s="85">
        <f t="shared" si="141"/>
        <v>14.878238420717127</v>
      </c>
      <c r="M166" s="83">
        <f t="shared" si="148"/>
        <v>9.1368967781948043E-2</v>
      </c>
      <c r="N166" s="83">
        <f t="shared" si="149"/>
        <v>5.8688912600281015E-2</v>
      </c>
      <c r="O166" s="90">
        <f t="shared" si="163"/>
        <v>15.545021694808927</v>
      </c>
      <c r="P166" s="90">
        <f t="shared" si="164"/>
        <v>15.545021694808927</v>
      </c>
      <c r="Q166" s="10">
        <f t="shared" si="165"/>
        <v>6546.363636363636</v>
      </c>
      <c r="R166" s="10">
        <f t="shared" si="166"/>
        <v>10429.318181818182</v>
      </c>
      <c r="S166" s="60">
        <f t="shared" si="167"/>
        <v>3650.1121875070335</v>
      </c>
      <c r="T166" s="85">
        <f t="shared" si="168"/>
        <v>3613.6110656319629</v>
      </c>
      <c r="U166" s="85">
        <f t="shared" si="142"/>
        <v>3650.1121875070335</v>
      </c>
      <c r="V166" s="83">
        <f t="shared" si="150"/>
        <v>0.32029275686061859</v>
      </c>
      <c r="W166" s="83">
        <f t="shared" si="151"/>
        <v>0.20383509348900547</v>
      </c>
      <c r="X166" s="90">
        <f t="shared" si="169"/>
        <v>49.531626326519941</v>
      </c>
      <c r="Y166" s="90">
        <f t="shared" si="170"/>
        <v>49.531626326519941</v>
      </c>
      <c r="Z166" s="10">
        <f t="shared" si="171"/>
        <v>13832.954545454546</v>
      </c>
      <c r="AA166" s="10">
        <f t="shared" si="172"/>
        <v>22037.590909090908</v>
      </c>
      <c r="AB166" s="60">
        <f t="shared" si="173"/>
        <v>7612.9859504132228</v>
      </c>
      <c r="AC166" s="85">
        <f t="shared" si="174"/>
        <v>7536.8560909090902</v>
      </c>
      <c r="AD166" s="85">
        <f t="shared" si="143"/>
        <v>7612.9859504132228</v>
      </c>
      <c r="AE166" s="83">
        <f t="shared" si="152"/>
        <v>1.1049398011902078</v>
      </c>
      <c r="AF166" s="83">
        <f t="shared" si="153"/>
        <v>0.70133044898885399</v>
      </c>
      <c r="AG166" s="90">
        <f t="shared" si="175"/>
        <v>82.574353076480733</v>
      </c>
      <c r="AH166" s="90">
        <f t="shared" si="176"/>
        <v>82.574353076480733</v>
      </c>
      <c r="AI166" s="10">
        <f t="shared" si="177"/>
        <v>26080.909090909092</v>
      </c>
      <c r="AJ166" s="10">
        <f t="shared" si="178"/>
        <v>41550</v>
      </c>
      <c r="AK166" s="60">
        <f t="shared" si="179"/>
        <v>21195.921990524988</v>
      </c>
      <c r="AL166" s="85">
        <f t="shared" si="180"/>
        <v>20983.962770619739</v>
      </c>
      <c r="AM166" s="85">
        <f t="shared" si="144"/>
        <v>21195.921990524988</v>
      </c>
      <c r="AN166" s="83">
        <f t="shared" si="154"/>
        <v>0.56219828259378901</v>
      </c>
      <c r="AO166" s="83">
        <f t="shared" si="155"/>
        <v>0.3572121773532887</v>
      </c>
      <c r="AP166" s="90">
        <f t="shared" si="181"/>
        <v>60.006950703120907</v>
      </c>
      <c r="AQ166" s="90">
        <f t="shared" si="182"/>
        <v>60.006950703120907</v>
      </c>
      <c r="AR166" s="10">
        <f t="shared" si="183"/>
        <v>15030.727272727272</v>
      </c>
      <c r="AS166" s="10">
        <f t="shared" si="184"/>
        <v>23945.527272727271</v>
      </c>
      <c r="AT166" s="60">
        <f t="shared" si="185"/>
        <v>11800.585084990575</v>
      </c>
      <c r="AU166" s="85">
        <f t="shared" si="186"/>
        <v>11682.579234140669</v>
      </c>
      <c r="AV166" s="85">
        <f t="shared" si="145"/>
        <v>11800.585084990575</v>
      </c>
      <c r="AW166" s="10"/>
      <c r="AX166" s="60">
        <f t="shared" si="156"/>
        <v>2047.75</v>
      </c>
      <c r="AZ166" s="99">
        <f t="shared" ca="1" si="137"/>
        <v>82.574353076480733</v>
      </c>
      <c r="BA166" s="99">
        <f t="shared" ca="1" si="138"/>
        <v>82.574353076480733</v>
      </c>
      <c r="BB166" s="100">
        <f t="shared" ca="1" si="139"/>
        <v>20983.962770619739</v>
      </c>
      <c r="BC166" s="100">
        <f t="shared" ca="1" si="140"/>
        <v>21195.921990524988</v>
      </c>
    </row>
    <row r="167" spans="1:55" ht="11.4" x14ac:dyDescent="0.25">
      <c r="A167" s="1"/>
      <c r="B167" s="1">
        <v>111</v>
      </c>
      <c r="C167" s="66"/>
      <c r="D167" s="83">
        <f t="shared" si="146"/>
        <v>0</v>
      </c>
      <c r="E167" s="83">
        <f t="shared" si="147"/>
        <v>0</v>
      </c>
      <c r="F167" s="90">
        <f t="shared" si="157"/>
        <v>1.9685125033026125</v>
      </c>
      <c r="G167" s="90">
        <f t="shared" si="158"/>
        <v>1.9685125033026125</v>
      </c>
      <c r="H167" s="10">
        <f t="shared" si="159"/>
        <v>955.02702702702697</v>
      </c>
      <c r="I167" s="10">
        <f t="shared" si="160"/>
        <v>1521.4414414414414</v>
      </c>
      <c r="J167" s="60">
        <f t="shared" si="161"/>
        <v>14.545403715827877</v>
      </c>
      <c r="K167" s="85">
        <f t="shared" si="162"/>
        <v>14.399949678669598</v>
      </c>
      <c r="L167" s="85">
        <f t="shared" si="141"/>
        <v>14.545403715827877</v>
      </c>
      <c r="M167" s="83">
        <f t="shared" si="148"/>
        <v>8.6829147486092689E-2</v>
      </c>
      <c r="N167" s="83">
        <f t="shared" si="149"/>
        <v>5.5820302057624713E-2</v>
      </c>
      <c r="O167" s="90">
        <f t="shared" si="163"/>
        <v>15.404976454315152</v>
      </c>
      <c r="P167" s="90">
        <f t="shared" si="164"/>
        <v>15.404976454315152</v>
      </c>
      <c r="Q167" s="10">
        <f t="shared" si="165"/>
        <v>6487.3873873873872</v>
      </c>
      <c r="R167" s="10">
        <f t="shared" si="166"/>
        <v>10335.360360360361</v>
      </c>
      <c r="S167" s="60">
        <f t="shared" si="167"/>
        <v>3598.291549748029</v>
      </c>
      <c r="T167" s="85">
        <f t="shared" si="168"/>
        <v>3562.3086342505485</v>
      </c>
      <c r="U167" s="85">
        <f t="shared" si="142"/>
        <v>3598.291549748029</v>
      </c>
      <c r="V167" s="83">
        <f t="shared" si="150"/>
        <v>0.31085819055955971</v>
      </c>
      <c r="W167" s="83">
        <f t="shared" si="151"/>
        <v>0.19786303226551372</v>
      </c>
      <c r="X167" s="90">
        <f t="shared" si="169"/>
        <v>49.085395458713457</v>
      </c>
      <c r="Y167" s="90">
        <f t="shared" si="170"/>
        <v>49.085395458713457</v>
      </c>
      <c r="Z167" s="10">
        <f t="shared" si="171"/>
        <v>13708.333333333334</v>
      </c>
      <c r="AA167" s="10">
        <f t="shared" si="172"/>
        <v>21839.054054054053</v>
      </c>
      <c r="AB167" s="60">
        <f t="shared" si="173"/>
        <v>7476.4329194058919</v>
      </c>
      <c r="AC167" s="85">
        <f t="shared" si="174"/>
        <v>7401.6685902118325</v>
      </c>
      <c r="AD167" s="85">
        <f t="shared" si="143"/>
        <v>7476.4329194058919</v>
      </c>
      <c r="AE167" s="83">
        <f t="shared" si="152"/>
        <v>1.0834824729488788</v>
      </c>
      <c r="AF167" s="83">
        <f t="shared" si="153"/>
        <v>0.68773551035979563</v>
      </c>
      <c r="AG167" s="90">
        <f t="shared" si="175"/>
        <v>81.830439985701631</v>
      </c>
      <c r="AH167" s="90">
        <f t="shared" si="176"/>
        <v>81.830439985701631</v>
      </c>
      <c r="AI167" s="10">
        <f t="shared" si="177"/>
        <v>25845.945945945947</v>
      </c>
      <c r="AJ167" s="10">
        <f t="shared" si="178"/>
        <v>41175.675675675673</v>
      </c>
      <c r="AK167" s="60">
        <f t="shared" si="179"/>
        <v>20851.244290419203</v>
      </c>
      <c r="AL167" s="85">
        <f t="shared" si="180"/>
        <v>20642.73184751501</v>
      </c>
      <c r="AM167" s="85">
        <f t="shared" si="144"/>
        <v>20851.244290419203</v>
      </c>
      <c r="AN167" s="83">
        <f t="shared" si="154"/>
        <v>0.54956675105360697</v>
      </c>
      <c r="AO167" s="83">
        <f t="shared" si="155"/>
        <v>0.34921312148341155</v>
      </c>
      <c r="AP167" s="90">
        <f t="shared" si="181"/>
        <v>59.466347543633333</v>
      </c>
      <c r="AQ167" s="90">
        <f t="shared" si="182"/>
        <v>59.466347543633333</v>
      </c>
      <c r="AR167" s="10">
        <f t="shared" si="183"/>
        <v>14895.315315315316</v>
      </c>
      <c r="AS167" s="10">
        <f t="shared" si="184"/>
        <v>23729.801801801801</v>
      </c>
      <c r="AT167" s="60">
        <f t="shared" si="185"/>
        <v>11608.689751123271</v>
      </c>
      <c r="AU167" s="85">
        <f t="shared" si="186"/>
        <v>11492.602853612038</v>
      </c>
      <c r="AV167" s="85">
        <f t="shared" si="145"/>
        <v>11608.689751123271</v>
      </c>
      <c r="AW167" s="10"/>
      <c r="AX167" s="60">
        <f t="shared" si="156"/>
        <v>2074.25</v>
      </c>
      <c r="AZ167" s="99">
        <f t="shared" ca="1" si="137"/>
        <v>81.830439985701631</v>
      </c>
      <c r="BA167" s="99">
        <f t="shared" ca="1" si="138"/>
        <v>81.830439985701631</v>
      </c>
      <c r="BB167" s="100">
        <f t="shared" ca="1" si="139"/>
        <v>20642.73184751501</v>
      </c>
      <c r="BC167" s="100">
        <f t="shared" ca="1" si="140"/>
        <v>20851.244290419203</v>
      </c>
    </row>
    <row r="168" spans="1:55" ht="11.4" x14ac:dyDescent="0.25">
      <c r="A168" s="1"/>
      <c r="B168" s="1">
        <v>112</v>
      </c>
      <c r="C168" s="66"/>
      <c r="D168" s="83">
        <f t="shared" si="146"/>
        <v>0</v>
      </c>
      <c r="E168" s="83">
        <f t="shared" si="147"/>
        <v>0</v>
      </c>
      <c r="F168" s="90">
        <f t="shared" si="157"/>
        <v>1.9509364988088393</v>
      </c>
      <c r="G168" s="90">
        <f t="shared" si="158"/>
        <v>1.9509364988088393</v>
      </c>
      <c r="H168" s="10">
        <f t="shared" si="159"/>
        <v>946.5</v>
      </c>
      <c r="I168" s="10">
        <f t="shared" si="160"/>
        <v>1507.8571428571429</v>
      </c>
      <c r="J168" s="60">
        <f t="shared" si="161"/>
        <v>14.22290044429128</v>
      </c>
      <c r="K168" s="85">
        <f t="shared" si="162"/>
        <v>14.080671439848368</v>
      </c>
      <c r="L168" s="85">
        <f t="shared" si="141"/>
        <v>14.22290044429128</v>
      </c>
      <c r="M168" s="83">
        <f t="shared" si="148"/>
        <v>8.2336224735151148E-2</v>
      </c>
      <c r="N168" s="83">
        <f t="shared" si="149"/>
        <v>5.2981565036205776E-2</v>
      </c>
      <c r="O168" s="90">
        <f t="shared" si="163"/>
        <v>15.267432021687339</v>
      </c>
      <c r="P168" s="90">
        <f t="shared" si="164"/>
        <v>15.267432021687339</v>
      </c>
      <c r="Q168" s="10">
        <f t="shared" si="165"/>
        <v>6429.4642857142853</v>
      </c>
      <c r="R168" s="10">
        <f t="shared" si="166"/>
        <v>10243.080357142857</v>
      </c>
      <c r="S168" s="60">
        <f t="shared" si="167"/>
        <v>3547.6615379517075</v>
      </c>
      <c r="T168" s="85">
        <f t="shared" si="168"/>
        <v>3512.1849225721903</v>
      </c>
      <c r="U168" s="85">
        <f t="shared" si="142"/>
        <v>3547.6615379517075</v>
      </c>
      <c r="V168" s="83">
        <f t="shared" si="150"/>
        <v>0.3016120911549024</v>
      </c>
      <c r="W168" s="83">
        <f t="shared" si="151"/>
        <v>0.19201060478775164</v>
      </c>
      <c r="X168" s="90">
        <f t="shared" si="169"/>
        <v>48.647132999260656</v>
      </c>
      <c r="Y168" s="90">
        <f t="shared" si="170"/>
        <v>48.647132999260656</v>
      </c>
      <c r="Z168" s="10">
        <f t="shared" si="171"/>
        <v>13585.9375</v>
      </c>
      <c r="AA168" s="10">
        <f t="shared" si="172"/>
        <v>21644.0625</v>
      </c>
      <c r="AB168" s="60">
        <f t="shared" si="173"/>
        <v>7343.5212053571431</v>
      </c>
      <c r="AC168" s="85">
        <f t="shared" si="174"/>
        <v>7270.0859933035717</v>
      </c>
      <c r="AD168" s="85">
        <f t="shared" si="143"/>
        <v>7343.5212053571431</v>
      </c>
      <c r="AE168" s="83">
        <f t="shared" si="152"/>
        <v>1.0625012962004743</v>
      </c>
      <c r="AF168" s="83">
        <f t="shared" si="153"/>
        <v>0.67444260819072299</v>
      </c>
      <c r="AG168" s="90">
        <f t="shared" si="175"/>
        <v>81.099811057257867</v>
      </c>
      <c r="AH168" s="90">
        <f t="shared" si="176"/>
        <v>81.099811057257867</v>
      </c>
      <c r="AI168" s="10">
        <f t="shared" si="177"/>
        <v>25615.178571428572</v>
      </c>
      <c r="AJ168" s="10">
        <f t="shared" si="178"/>
        <v>40808.035714285717</v>
      </c>
      <c r="AK168" s="60">
        <f t="shared" si="179"/>
        <v>20515.187982711686</v>
      </c>
      <c r="AL168" s="85">
        <f t="shared" si="180"/>
        <v>20310.036102884569</v>
      </c>
      <c r="AM168" s="85">
        <f t="shared" si="144"/>
        <v>20515.187982711686</v>
      </c>
      <c r="AN168" s="83">
        <f t="shared" si="154"/>
        <v>0.53719061214505703</v>
      </c>
      <c r="AO168" s="83">
        <f t="shared" si="155"/>
        <v>0.34137613275996465</v>
      </c>
      <c r="AP168" s="90">
        <f t="shared" si="181"/>
        <v>58.935398011993748</v>
      </c>
      <c r="AQ168" s="90">
        <f t="shared" si="182"/>
        <v>58.935398011993748</v>
      </c>
      <c r="AR168" s="10">
        <f t="shared" si="183"/>
        <v>14762.321428571429</v>
      </c>
      <c r="AS168" s="10">
        <f t="shared" si="184"/>
        <v>23517.928571428572</v>
      </c>
      <c r="AT168" s="60">
        <f t="shared" si="185"/>
        <v>11421.594278030707</v>
      </c>
      <c r="AU168" s="85">
        <f t="shared" si="186"/>
        <v>11307.3783352504</v>
      </c>
      <c r="AV168" s="85">
        <f t="shared" si="145"/>
        <v>11421.594278030707</v>
      </c>
      <c r="AW168" s="10"/>
      <c r="AX168" s="60">
        <f t="shared" si="156"/>
        <v>2101.125</v>
      </c>
      <c r="AZ168" s="99">
        <f t="shared" ca="1" si="137"/>
        <v>81.099811057257867</v>
      </c>
      <c r="BA168" s="99">
        <f t="shared" ca="1" si="138"/>
        <v>81.099811057257867</v>
      </c>
      <c r="BB168" s="100">
        <f t="shared" ca="1" si="139"/>
        <v>20310.036102884569</v>
      </c>
      <c r="BC168" s="100">
        <f t="shared" ca="1" si="140"/>
        <v>20515.187982711686</v>
      </c>
    </row>
    <row r="169" spans="1:55" ht="11.4" x14ac:dyDescent="0.25">
      <c r="A169" s="1"/>
      <c r="B169" s="1">
        <v>113</v>
      </c>
      <c r="C169" s="66"/>
      <c r="D169" s="83">
        <f t="shared" si="146"/>
        <v>0</v>
      </c>
      <c r="E169" s="83">
        <f t="shared" si="147"/>
        <v>0</v>
      </c>
      <c r="F169" s="90">
        <f t="shared" si="157"/>
        <v>1.9336715740406194</v>
      </c>
      <c r="G169" s="90">
        <f t="shared" si="158"/>
        <v>1.9336715740406194</v>
      </c>
      <c r="H169" s="10">
        <f t="shared" si="159"/>
        <v>938.12389380530976</v>
      </c>
      <c r="I169" s="10">
        <f t="shared" si="160"/>
        <v>1494.5132743362831</v>
      </c>
      <c r="J169" s="60">
        <f t="shared" si="161"/>
        <v>13.910319912217675</v>
      </c>
      <c r="K169" s="85">
        <f t="shared" si="162"/>
        <v>13.771216713095498</v>
      </c>
      <c r="L169" s="85">
        <f t="shared" si="141"/>
        <v>13.910319912217675</v>
      </c>
      <c r="M169" s="83">
        <f t="shared" si="148"/>
        <v>7.7909907611465198E-2</v>
      </c>
      <c r="N169" s="83">
        <f t="shared" si="149"/>
        <v>5.0185058455147598E-2</v>
      </c>
      <c r="O169" s="90">
        <f t="shared" si="163"/>
        <v>15.1323220037963</v>
      </c>
      <c r="P169" s="90">
        <f t="shared" si="164"/>
        <v>15.1323220037963</v>
      </c>
      <c r="Q169" s="10">
        <f t="shared" si="165"/>
        <v>6372.5663716814161</v>
      </c>
      <c r="R169" s="10">
        <f t="shared" si="166"/>
        <v>10152.433628318584</v>
      </c>
      <c r="S169" s="60">
        <f t="shared" si="167"/>
        <v>3498.1845286186749</v>
      </c>
      <c r="T169" s="85">
        <f t="shared" si="168"/>
        <v>3463.202683332488</v>
      </c>
      <c r="U169" s="85">
        <f t="shared" si="142"/>
        <v>3498.1845286186749</v>
      </c>
      <c r="V169" s="83">
        <f t="shared" si="150"/>
        <v>0.29256892721537092</v>
      </c>
      <c r="W169" s="83">
        <f t="shared" si="151"/>
        <v>0.18628684592869643</v>
      </c>
      <c r="X169" s="90">
        <f t="shared" si="169"/>
        <v>48.216627397497291</v>
      </c>
      <c r="Y169" s="90">
        <f t="shared" si="170"/>
        <v>48.216627397497291</v>
      </c>
      <c r="Z169" s="10">
        <f t="shared" si="171"/>
        <v>13465.70796460177</v>
      </c>
      <c r="AA169" s="10">
        <f t="shared" si="172"/>
        <v>21452.522123893807</v>
      </c>
      <c r="AB169" s="60">
        <f t="shared" si="173"/>
        <v>7214.1224841412804</v>
      </c>
      <c r="AC169" s="85">
        <f t="shared" si="174"/>
        <v>7141.9812592998678</v>
      </c>
      <c r="AD169" s="85">
        <f t="shared" si="143"/>
        <v>7214.1224841412804</v>
      </c>
      <c r="AE169" s="83">
        <f t="shared" si="152"/>
        <v>1.0420014135971125</v>
      </c>
      <c r="AF169" s="83">
        <f t="shared" si="153"/>
        <v>0.66145486437726864</v>
      </c>
      <c r="AG169" s="90">
        <f t="shared" si="175"/>
        <v>80.38211361427328</v>
      </c>
      <c r="AH169" s="90">
        <f t="shared" si="176"/>
        <v>80.38211361427328</v>
      </c>
      <c r="AI169" s="10">
        <f t="shared" si="177"/>
        <v>25388.495575221237</v>
      </c>
      <c r="AJ169" s="10">
        <f t="shared" si="178"/>
        <v>40446.902654867255</v>
      </c>
      <c r="AK169" s="60">
        <f t="shared" si="179"/>
        <v>20187.463303391542</v>
      </c>
      <c r="AL169" s="85">
        <f t="shared" si="180"/>
        <v>19985.588670357625</v>
      </c>
      <c r="AM169" s="85">
        <f t="shared" si="144"/>
        <v>20187.463303391542</v>
      </c>
      <c r="AN169" s="83">
        <f t="shared" si="154"/>
        <v>0.52508242820029838</v>
      </c>
      <c r="AO169" s="83">
        <f t="shared" si="155"/>
        <v>0.33370903743117547</v>
      </c>
      <c r="AP169" s="90">
        <f t="shared" si="181"/>
        <v>58.413845817197341</v>
      </c>
      <c r="AQ169" s="90">
        <f t="shared" si="182"/>
        <v>58.413845817197341</v>
      </c>
      <c r="AR169" s="10">
        <f t="shared" si="183"/>
        <v>14631.681415929204</v>
      </c>
      <c r="AS169" s="10">
        <f t="shared" si="184"/>
        <v>23309.805309734515</v>
      </c>
      <c r="AT169" s="60">
        <f t="shared" si="185"/>
        <v>11239.137342942089</v>
      </c>
      <c r="AU169" s="85">
        <f t="shared" si="186"/>
        <v>11126.745969512669</v>
      </c>
      <c r="AV169" s="85">
        <f t="shared" si="145"/>
        <v>11239.137342942089</v>
      </c>
      <c r="AW169" s="10"/>
      <c r="AX169" s="60">
        <f t="shared" si="156"/>
        <v>2128</v>
      </c>
      <c r="AZ169" s="99">
        <f t="shared" ca="1" si="137"/>
        <v>80.38211361427328</v>
      </c>
      <c r="BA169" s="99">
        <f t="shared" ca="1" si="138"/>
        <v>80.38211361427328</v>
      </c>
      <c r="BB169" s="100">
        <f t="shared" ca="1" si="139"/>
        <v>19985.588670357625</v>
      </c>
      <c r="BC169" s="100">
        <f t="shared" ca="1" si="140"/>
        <v>20187.463303391542</v>
      </c>
    </row>
    <row r="170" spans="1:55" ht="11.4" x14ac:dyDescent="0.25">
      <c r="A170" s="1"/>
      <c r="B170" s="1">
        <v>114</v>
      </c>
      <c r="C170" s="66"/>
      <c r="D170" s="83">
        <f t="shared" si="146"/>
        <v>0</v>
      </c>
      <c r="E170" s="83">
        <f t="shared" si="147"/>
        <v>0</v>
      </c>
      <c r="F170" s="90">
        <f t="shared" si="157"/>
        <v>1.9167095426893859</v>
      </c>
      <c r="G170" s="90">
        <f t="shared" si="158"/>
        <v>1.9167095426893859</v>
      </c>
      <c r="H170" s="10">
        <f t="shared" si="159"/>
        <v>929.89473684210532</v>
      </c>
      <c r="I170" s="10">
        <f t="shared" si="160"/>
        <v>1481.4035087719299</v>
      </c>
      <c r="J170" s="60">
        <f t="shared" si="161"/>
        <v>13.607273013292845</v>
      </c>
      <c r="K170" s="85">
        <f t="shared" si="162"/>
        <v>13.471200283159916</v>
      </c>
      <c r="L170" s="85">
        <f t="shared" si="141"/>
        <v>13.607273013292845</v>
      </c>
      <c r="M170" s="83">
        <f t="shared" si="148"/>
        <v>7.3526228324518494E-2</v>
      </c>
      <c r="N170" s="83">
        <f t="shared" si="149"/>
        <v>4.7415724582205838E-2</v>
      </c>
      <c r="O170" s="90">
        <f t="shared" si="163"/>
        <v>14.999582337096333</v>
      </c>
      <c r="P170" s="90">
        <f t="shared" si="164"/>
        <v>14.999582337096333</v>
      </c>
      <c r="Q170" s="10">
        <f t="shared" si="165"/>
        <v>6316.666666666667</v>
      </c>
      <c r="R170" s="10">
        <f t="shared" si="166"/>
        <v>10063.377192982456</v>
      </c>
      <c r="S170" s="60">
        <f t="shared" si="167"/>
        <v>3449.8244059229778</v>
      </c>
      <c r="T170" s="85">
        <f t="shared" si="168"/>
        <v>3415.326161863748</v>
      </c>
      <c r="U170" s="85">
        <f t="shared" si="142"/>
        <v>3449.8244059229778</v>
      </c>
      <c r="V170" s="83">
        <f t="shared" si="150"/>
        <v>0.28369972803832716</v>
      </c>
      <c r="W170" s="83">
        <f t="shared" si="151"/>
        <v>0.18067352592408942</v>
      </c>
      <c r="X170" s="90">
        <f t="shared" si="169"/>
        <v>47.793674525589417</v>
      </c>
      <c r="Y170" s="90">
        <f t="shared" si="170"/>
        <v>47.793674525589417</v>
      </c>
      <c r="Z170" s="10">
        <f t="shared" si="171"/>
        <v>13347.587719298246</v>
      </c>
      <c r="AA170" s="10">
        <f t="shared" si="172"/>
        <v>21264.342105263157</v>
      </c>
      <c r="AB170" s="60">
        <f t="shared" si="173"/>
        <v>7088.1140350877185</v>
      </c>
      <c r="AC170" s="85">
        <f t="shared" si="174"/>
        <v>7017.2328947368414</v>
      </c>
      <c r="AD170" s="85">
        <f t="shared" si="143"/>
        <v>7088.1140350877185</v>
      </c>
      <c r="AE170" s="83">
        <f t="shared" si="152"/>
        <v>1.0219449088005761</v>
      </c>
      <c r="AF170" s="83">
        <f t="shared" si="153"/>
        <v>0.64874837729011658</v>
      </c>
      <c r="AG170" s="90">
        <f t="shared" si="175"/>
        <v>79.677007354498954</v>
      </c>
      <c r="AH170" s="90">
        <f t="shared" si="176"/>
        <v>79.677007354498954</v>
      </c>
      <c r="AI170" s="10">
        <f t="shared" si="177"/>
        <v>25165.78947368421</v>
      </c>
      <c r="AJ170" s="10">
        <f t="shared" si="178"/>
        <v>40092.105263157893</v>
      </c>
      <c r="AK170" s="60">
        <f t="shared" si="179"/>
        <v>19867.792674904696</v>
      </c>
      <c r="AL170" s="85">
        <f t="shared" si="180"/>
        <v>19669.114748155651</v>
      </c>
      <c r="AM170" s="85">
        <f t="shared" si="144"/>
        <v>19867.792674904696</v>
      </c>
      <c r="AN170" s="83">
        <f t="shared" si="154"/>
        <v>0.51321139051546283</v>
      </c>
      <c r="AO170" s="83">
        <f t="shared" si="155"/>
        <v>0.3261924403717712</v>
      </c>
      <c r="AP170" s="90">
        <f t="shared" si="181"/>
        <v>57.901443660906139</v>
      </c>
      <c r="AQ170" s="90">
        <f t="shared" si="182"/>
        <v>57.901443660906139</v>
      </c>
      <c r="AR170" s="10">
        <f t="shared" si="183"/>
        <v>14503.333333333334</v>
      </c>
      <c r="AS170" s="10">
        <f t="shared" si="184"/>
        <v>23105.333333333332</v>
      </c>
      <c r="AT170" s="60">
        <f t="shared" si="185"/>
        <v>11061.16440775589</v>
      </c>
      <c r="AU170" s="85">
        <f t="shared" si="186"/>
        <v>10950.552763678332</v>
      </c>
      <c r="AV170" s="85">
        <f t="shared" si="145"/>
        <v>11061.16440775589</v>
      </c>
      <c r="AW170" s="10"/>
      <c r="AX170" s="60">
        <f t="shared" si="156"/>
        <v>2155.25</v>
      </c>
      <c r="AZ170" s="99">
        <f t="shared" ca="1" si="137"/>
        <v>79.677007354498954</v>
      </c>
      <c r="BA170" s="99">
        <f t="shared" ca="1" si="138"/>
        <v>79.677007354498954</v>
      </c>
      <c r="BB170" s="100">
        <f t="shared" ca="1" si="139"/>
        <v>19669.114748155651</v>
      </c>
      <c r="BC170" s="100">
        <f t="shared" ca="1" si="140"/>
        <v>19867.792674904696</v>
      </c>
    </row>
    <row r="171" spans="1:55" ht="11.4" x14ac:dyDescent="0.25">
      <c r="A171" s="1"/>
      <c r="B171" s="1">
        <v>115</v>
      </c>
      <c r="C171" s="66"/>
      <c r="D171" s="83">
        <f t="shared" si="146"/>
        <v>0</v>
      </c>
      <c r="E171" s="83">
        <f t="shared" si="147"/>
        <v>0</v>
      </c>
      <c r="F171" s="90">
        <f t="shared" si="157"/>
        <v>1.900042503187739</v>
      </c>
      <c r="G171" s="90">
        <f t="shared" si="158"/>
        <v>1.900042503187739</v>
      </c>
      <c r="H171" s="10">
        <f t="shared" si="159"/>
        <v>921.80869565217392</v>
      </c>
      <c r="I171" s="10">
        <f t="shared" si="160"/>
        <v>1468.5217391304348</v>
      </c>
      <c r="J171" s="60">
        <f t="shared" si="161"/>
        <v>13.3133891289069</v>
      </c>
      <c r="K171" s="85">
        <f t="shared" si="162"/>
        <v>13.180255237617832</v>
      </c>
      <c r="L171" s="85">
        <f t="shared" si="141"/>
        <v>13.3133891289069</v>
      </c>
      <c r="M171" s="83">
        <f t="shared" si="148"/>
        <v>6.9197771101528041E-2</v>
      </c>
      <c r="N171" s="83">
        <f t="shared" si="149"/>
        <v>4.4681449793463397E-2</v>
      </c>
      <c r="O171" s="90">
        <f t="shared" si="163"/>
        <v>14.869151186338973</v>
      </c>
      <c r="P171" s="90">
        <f t="shared" si="164"/>
        <v>14.869151186338973</v>
      </c>
      <c r="Q171" s="10">
        <f t="shared" si="165"/>
        <v>6261.739130434783</v>
      </c>
      <c r="R171" s="10">
        <f t="shared" si="166"/>
        <v>9975.8695652173919</v>
      </c>
      <c r="S171" s="60">
        <f t="shared" si="167"/>
        <v>3402.5464887429503</v>
      </c>
      <c r="T171" s="85">
        <f t="shared" si="168"/>
        <v>3368.5210238555205</v>
      </c>
      <c r="U171" s="85">
        <f t="shared" si="142"/>
        <v>3402.5464887429503</v>
      </c>
      <c r="V171" s="83">
        <f t="shared" si="150"/>
        <v>0.275012298940987</v>
      </c>
      <c r="W171" s="83">
        <f t="shared" si="151"/>
        <v>0.17517550114365965</v>
      </c>
      <c r="X171" s="90">
        <f t="shared" si="169"/>
        <v>47.378077355801686</v>
      </c>
      <c r="Y171" s="90">
        <f t="shared" si="170"/>
        <v>47.378077355801686</v>
      </c>
      <c r="Z171" s="10">
        <f t="shared" si="171"/>
        <v>13231.521739130434</v>
      </c>
      <c r="AA171" s="10">
        <f t="shared" si="172"/>
        <v>21079.434782608696</v>
      </c>
      <c r="AB171" s="60">
        <f t="shared" si="173"/>
        <v>6965.3784499054818</v>
      </c>
      <c r="AC171" s="85">
        <f t="shared" si="174"/>
        <v>6895.7246654064265</v>
      </c>
      <c r="AD171" s="85">
        <f t="shared" si="143"/>
        <v>6965.3784499054818</v>
      </c>
      <c r="AE171" s="83">
        <f t="shared" si="152"/>
        <v>1.0023310031382275</v>
      </c>
      <c r="AF171" s="83">
        <f t="shared" si="153"/>
        <v>0.63632256073075499</v>
      </c>
      <c r="AG171" s="90">
        <f t="shared" si="175"/>
        <v>78.984163812285928</v>
      </c>
      <c r="AH171" s="90">
        <f t="shared" si="176"/>
        <v>78.984163812285928</v>
      </c>
      <c r="AI171" s="10">
        <f t="shared" si="177"/>
        <v>24946.956521739132</v>
      </c>
      <c r="AJ171" s="10">
        <f t="shared" si="178"/>
        <v>39743.478260869568</v>
      </c>
      <c r="AK171" s="60">
        <f t="shared" si="179"/>
        <v>19555.910092484872</v>
      </c>
      <c r="AL171" s="85">
        <f t="shared" si="180"/>
        <v>19360.350991560023</v>
      </c>
      <c r="AM171" s="85">
        <f t="shared" si="144"/>
        <v>19555.910092484872</v>
      </c>
      <c r="AN171" s="83">
        <f t="shared" si="154"/>
        <v>0.50158353172014736</v>
      </c>
      <c r="AO171" s="83">
        <f t="shared" si="155"/>
        <v>0.31883007400172075</v>
      </c>
      <c r="AP171" s="90">
        <f t="shared" si="181"/>
        <v>57.397952846463475</v>
      </c>
      <c r="AQ171" s="90">
        <f t="shared" si="182"/>
        <v>57.397952846463475</v>
      </c>
      <c r="AR171" s="10">
        <f t="shared" si="183"/>
        <v>14377.217391304348</v>
      </c>
      <c r="AS171" s="10">
        <f t="shared" si="184"/>
        <v>22904.417391304349</v>
      </c>
      <c r="AT171" s="60">
        <f t="shared" si="185"/>
        <v>10887.527377386703</v>
      </c>
      <c r="AU171" s="85">
        <f t="shared" si="186"/>
        <v>10778.652103612836</v>
      </c>
      <c r="AV171" s="85">
        <f t="shared" si="145"/>
        <v>10887.527377386703</v>
      </c>
      <c r="AW171" s="10"/>
      <c r="AX171" s="60">
        <f t="shared" si="156"/>
        <v>2182.625</v>
      </c>
      <c r="AZ171" s="99">
        <f t="shared" ca="1" si="137"/>
        <v>78.984163812285928</v>
      </c>
      <c r="BA171" s="99">
        <f t="shared" ca="1" si="138"/>
        <v>78.984163812285928</v>
      </c>
      <c r="BB171" s="100">
        <f t="shared" ca="1" si="139"/>
        <v>19360.350991560023</v>
      </c>
      <c r="BC171" s="100">
        <f t="shared" ca="1" si="140"/>
        <v>19555.910092484872</v>
      </c>
    </row>
    <row r="172" spans="1:55" ht="11.4" x14ac:dyDescent="0.25">
      <c r="A172" s="1"/>
      <c r="B172" s="1">
        <v>116</v>
      </c>
      <c r="C172" s="66"/>
      <c r="D172" s="83">
        <f t="shared" si="146"/>
        <v>0</v>
      </c>
      <c r="E172" s="83">
        <f t="shared" si="147"/>
        <v>0</v>
      </c>
      <c r="F172" s="90">
        <f t="shared" si="157"/>
        <v>1.8836628264361206</v>
      </c>
      <c r="G172" s="90">
        <f t="shared" si="158"/>
        <v>1.8836628264361206</v>
      </c>
      <c r="H172" s="10">
        <f t="shared" si="159"/>
        <v>913.86206896551721</v>
      </c>
      <c r="I172" s="10">
        <f t="shared" si="160"/>
        <v>1455.8620689655172</v>
      </c>
      <c r="J172" s="60">
        <f t="shared" si="161"/>
        <v>13.028315098933199</v>
      </c>
      <c r="K172" s="85">
        <f t="shared" si="162"/>
        <v>12.898031947943867</v>
      </c>
      <c r="L172" s="85">
        <f t="shared" si="141"/>
        <v>13.028315098933199</v>
      </c>
      <c r="M172" s="83">
        <f t="shared" si="148"/>
        <v>6.4915317588323473E-2</v>
      </c>
      <c r="N172" s="83">
        <f t="shared" si="149"/>
        <v>4.1976435555728255E-2</v>
      </c>
      <c r="O172" s="90">
        <f t="shared" si="163"/>
        <v>14.740968848525707</v>
      </c>
      <c r="P172" s="90">
        <f t="shared" si="164"/>
        <v>14.740968848525707</v>
      </c>
      <c r="Q172" s="10">
        <f t="shared" si="165"/>
        <v>6207.7586206896549</v>
      </c>
      <c r="R172" s="10">
        <f t="shared" si="166"/>
        <v>9889.8706896551721</v>
      </c>
      <c r="S172" s="60">
        <f t="shared" si="167"/>
        <v>3356.3174618207645</v>
      </c>
      <c r="T172" s="85">
        <f t="shared" si="168"/>
        <v>3322.754287202557</v>
      </c>
      <c r="U172" s="85">
        <f t="shared" si="142"/>
        <v>3356.3174618207645</v>
      </c>
      <c r="V172" s="83">
        <f t="shared" si="150"/>
        <v>0.26649285483368879</v>
      </c>
      <c r="W172" s="83">
        <f t="shared" si="151"/>
        <v>0.16978407757437702</v>
      </c>
      <c r="X172" s="90">
        <f t="shared" si="169"/>
        <v>46.969645654458567</v>
      </c>
      <c r="Y172" s="90">
        <f t="shared" si="170"/>
        <v>46.969645654458567</v>
      </c>
      <c r="Z172" s="10">
        <f t="shared" si="171"/>
        <v>13117.456896551725</v>
      </c>
      <c r="AA172" s="10">
        <f t="shared" si="172"/>
        <v>20897.71551724138</v>
      </c>
      <c r="AB172" s="60">
        <f t="shared" si="173"/>
        <v>6845.8033590963141</v>
      </c>
      <c r="AC172" s="85">
        <f t="shared" si="174"/>
        <v>6777.345325505351</v>
      </c>
      <c r="AD172" s="85">
        <f t="shared" si="143"/>
        <v>6845.8033590963141</v>
      </c>
      <c r="AE172" s="83">
        <f t="shared" si="152"/>
        <v>0.98313767160504284</v>
      </c>
      <c r="AF172" s="83">
        <f t="shared" si="153"/>
        <v>0.62416349627391399</v>
      </c>
      <c r="AG172" s="90">
        <f t="shared" si="175"/>
        <v>78.303265848386914</v>
      </c>
      <c r="AH172" s="90">
        <f t="shared" si="176"/>
        <v>78.303265848386914</v>
      </c>
      <c r="AI172" s="10">
        <f t="shared" si="177"/>
        <v>24731.896551724138</v>
      </c>
      <c r="AJ172" s="10">
        <f t="shared" si="178"/>
        <v>39400.862068965514</v>
      </c>
      <c r="AK172" s="60">
        <f t="shared" si="179"/>
        <v>19251.560546393019</v>
      </c>
      <c r="AL172" s="85">
        <f t="shared" si="180"/>
        <v>19059.044940929089</v>
      </c>
      <c r="AM172" s="85">
        <f t="shared" si="144"/>
        <v>19251.560546393019</v>
      </c>
      <c r="AN172" s="83">
        <f t="shared" si="154"/>
        <v>0.49018335657354783</v>
      </c>
      <c r="AO172" s="83">
        <f t="shared" si="155"/>
        <v>0.31161216000868192</v>
      </c>
      <c r="AP172" s="90">
        <f t="shared" si="181"/>
        <v>56.90314290813189</v>
      </c>
      <c r="AQ172" s="90">
        <f t="shared" si="182"/>
        <v>56.90314290813189</v>
      </c>
      <c r="AR172" s="10">
        <f t="shared" si="183"/>
        <v>14253.275862068966</v>
      </c>
      <c r="AS172" s="10">
        <f t="shared" si="184"/>
        <v>22706.96551724138</v>
      </c>
      <c r="AT172" s="60">
        <f t="shared" si="185"/>
        <v>10718.084278103706</v>
      </c>
      <c r="AU172" s="85">
        <f t="shared" si="186"/>
        <v>10610.903435322669</v>
      </c>
      <c r="AV172" s="85">
        <f t="shared" si="145"/>
        <v>10718.084278103706</v>
      </c>
      <c r="AW172" s="10"/>
      <c r="AX172" s="60">
        <f t="shared" si="156"/>
        <v>2210.25</v>
      </c>
      <c r="AZ172" s="99">
        <f t="shared" ca="1" si="137"/>
        <v>78.303265848386914</v>
      </c>
      <c r="BA172" s="99">
        <f t="shared" ca="1" si="138"/>
        <v>78.303265848386914</v>
      </c>
      <c r="BB172" s="100">
        <f t="shared" ca="1" si="139"/>
        <v>19059.044940929089</v>
      </c>
      <c r="BC172" s="100">
        <f t="shared" ca="1" si="140"/>
        <v>19251.560546393019</v>
      </c>
    </row>
    <row r="173" spans="1:55" ht="11.4" x14ac:dyDescent="0.25">
      <c r="A173" s="1"/>
      <c r="B173" s="1">
        <v>117</v>
      </c>
      <c r="C173" s="66"/>
      <c r="D173" s="83">
        <f t="shared" si="146"/>
        <v>0</v>
      </c>
      <c r="E173" s="83">
        <f t="shared" si="147"/>
        <v>0</v>
      </c>
      <c r="F173" s="90">
        <f t="shared" si="157"/>
        <v>1.8675631441588889</v>
      </c>
      <c r="G173" s="90">
        <f t="shared" si="158"/>
        <v>1.8675631441588889</v>
      </c>
      <c r="H173" s="10">
        <f t="shared" si="159"/>
        <v>906.0512820512821</v>
      </c>
      <c r="I173" s="10">
        <f t="shared" si="160"/>
        <v>1443.4188034188035</v>
      </c>
      <c r="J173" s="60">
        <f t="shared" si="161"/>
        <v>12.751714258057268</v>
      </c>
      <c r="K173" s="85">
        <f t="shared" si="162"/>
        <v>12.624197115476695</v>
      </c>
      <c r="L173" s="85">
        <f t="shared" si="141"/>
        <v>12.751714258057268</v>
      </c>
      <c r="M173" s="83">
        <f t="shared" si="148"/>
        <v>6.0684312234724674E-2</v>
      </c>
      <c r="N173" s="83">
        <f t="shared" si="149"/>
        <v>3.9304087606731056E-2</v>
      </c>
      <c r="O173" s="90">
        <f t="shared" si="163"/>
        <v>14.61497766178617</v>
      </c>
      <c r="P173" s="90">
        <f t="shared" si="164"/>
        <v>14.61497766178617</v>
      </c>
      <c r="Q173" s="10">
        <f t="shared" si="165"/>
        <v>6154.7008547008545</v>
      </c>
      <c r="R173" s="10">
        <f t="shared" si="166"/>
        <v>9805.3418803418808</v>
      </c>
      <c r="S173" s="60">
        <f t="shared" si="167"/>
        <v>3311.1053107838311</v>
      </c>
      <c r="T173" s="85">
        <f t="shared" si="168"/>
        <v>3277.9942576759927</v>
      </c>
      <c r="U173" s="85">
        <f t="shared" si="142"/>
        <v>3311.1053107838311</v>
      </c>
      <c r="V173" s="83">
        <f t="shared" si="150"/>
        <v>0.25814247449605932</v>
      </c>
      <c r="W173" s="83">
        <f t="shared" si="151"/>
        <v>0.16449989295699788</v>
      </c>
      <c r="X173" s="90">
        <f t="shared" si="169"/>
        <v>46.568195691599946</v>
      </c>
      <c r="Y173" s="90">
        <f t="shared" si="170"/>
        <v>46.568195691599946</v>
      </c>
      <c r="Z173" s="10">
        <f t="shared" si="171"/>
        <v>13005.341880341881</v>
      </c>
      <c r="AA173" s="10">
        <f t="shared" si="172"/>
        <v>20719.102564102563</v>
      </c>
      <c r="AB173" s="60">
        <f t="shared" si="173"/>
        <v>6729.2811746657899</v>
      </c>
      <c r="AC173" s="85">
        <f t="shared" si="174"/>
        <v>6661.9883629191318</v>
      </c>
      <c r="AD173" s="85">
        <f t="shared" si="143"/>
        <v>6729.2811746657899</v>
      </c>
      <c r="AE173" s="83">
        <f t="shared" si="152"/>
        <v>0.96435808056335592</v>
      </c>
      <c r="AF173" s="83">
        <f t="shared" si="153"/>
        <v>0.61226680489404406</v>
      </c>
      <c r="AG173" s="90">
        <f t="shared" si="175"/>
        <v>77.634007165922057</v>
      </c>
      <c r="AH173" s="90">
        <f t="shared" si="176"/>
        <v>77.634007165922057</v>
      </c>
      <c r="AI173" s="10">
        <f t="shared" si="177"/>
        <v>24520.51282051282</v>
      </c>
      <c r="AJ173" s="10">
        <f t="shared" si="178"/>
        <v>39064.102564102563</v>
      </c>
      <c r="AK173" s="60">
        <f t="shared" si="179"/>
        <v>18954.499477675872</v>
      </c>
      <c r="AL173" s="85">
        <f t="shared" si="180"/>
        <v>18764.954482899113</v>
      </c>
      <c r="AM173" s="85">
        <f t="shared" si="144"/>
        <v>18954.499477675872</v>
      </c>
      <c r="AN173" s="83">
        <f t="shared" si="154"/>
        <v>0.47901029360001923</v>
      </c>
      <c r="AO173" s="83">
        <f t="shared" si="155"/>
        <v>0.30453828981030417</v>
      </c>
      <c r="AP173" s="90">
        <f t="shared" si="181"/>
        <v>56.416791259344443</v>
      </c>
      <c r="AQ173" s="90">
        <f t="shared" si="182"/>
        <v>56.416791259344443</v>
      </c>
      <c r="AR173" s="10">
        <f t="shared" si="183"/>
        <v>14131.452991452992</v>
      </c>
      <c r="AS173" s="10">
        <f t="shared" si="184"/>
        <v>22512.888888888891</v>
      </c>
      <c r="AT173" s="60">
        <f t="shared" si="185"/>
        <v>10552.698954530524</v>
      </c>
      <c r="AU173" s="85">
        <f t="shared" si="186"/>
        <v>10447.171964985218</v>
      </c>
      <c r="AV173" s="85">
        <f t="shared" si="145"/>
        <v>10552.698954530524</v>
      </c>
      <c r="AW173" s="10"/>
      <c r="AX173" s="60">
        <f t="shared" si="156"/>
        <v>2238</v>
      </c>
      <c r="AZ173" s="99">
        <f t="shared" ca="1" si="137"/>
        <v>77.634007165922057</v>
      </c>
      <c r="BA173" s="99">
        <f t="shared" ca="1" si="138"/>
        <v>77.634007165922057</v>
      </c>
      <c r="BB173" s="100">
        <f t="shared" ca="1" si="139"/>
        <v>18764.954482899113</v>
      </c>
      <c r="BC173" s="100">
        <f t="shared" ca="1" si="140"/>
        <v>18954.499477675872</v>
      </c>
    </row>
    <row r="174" spans="1:55" ht="11.4" x14ac:dyDescent="0.25">
      <c r="A174" s="1"/>
      <c r="B174" s="1">
        <v>118</v>
      </c>
      <c r="C174" s="66"/>
      <c r="D174" s="83">
        <f t="shared" si="146"/>
        <v>0</v>
      </c>
      <c r="E174" s="83">
        <f t="shared" si="147"/>
        <v>0</v>
      </c>
      <c r="F174" s="90">
        <f t="shared" si="157"/>
        <v>1.8517363378524576</v>
      </c>
      <c r="G174" s="90">
        <f t="shared" si="158"/>
        <v>1.8517363378524576</v>
      </c>
      <c r="H174" s="10">
        <f t="shared" si="159"/>
        <v>898.37288135593224</v>
      </c>
      <c r="I174" s="10">
        <f t="shared" si="160"/>
        <v>1431.1864406779662</v>
      </c>
      <c r="J174" s="60">
        <f t="shared" si="161"/>
        <v>12.483265532964786</v>
      </c>
      <c r="K174" s="85">
        <f t="shared" si="162"/>
        <v>12.358432877635138</v>
      </c>
      <c r="L174" s="85">
        <f t="shared" si="141"/>
        <v>12.483265532964786</v>
      </c>
      <c r="M174" s="83">
        <f t="shared" si="148"/>
        <v>5.6495683438506118E-2</v>
      </c>
      <c r="N174" s="83">
        <f t="shared" si="149"/>
        <v>3.665870045946084E-2</v>
      </c>
      <c r="O174" s="90">
        <f t="shared" si="163"/>
        <v>14.491121918889677</v>
      </c>
      <c r="P174" s="90">
        <f t="shared" si="164"/>
        <v>14.491121918889677</v>
      </c>
      <c r="Q174" s="10">
        <f t="shared" si="165"/>
        <v>6102.5423728813557</v>
      </c>
      <c r="R174" s="10">
        <f t="shared" si="166"/>
        <v>9722.2457627118638</v>
      </c>
      <c r="S174" s="60">
        <f t="shared" si="167"/>
        <v>3266.8792607806045</v>
      </c>
      <c r="T174" s="85">
        <f t="shared" si="168"/>
        <v>3234.2104681727983</v>
      </c>
      <c r="U174" s="85">
        <f t="shared" si="142"/>
        <v>3266.8792607806045</v>
      </c>
      <c r="V174" s="83">
        <f t="shared" si="150"/>
        <v>0.24994791128090427</v>
      </c>
      <c r="W174" s="83">
        <f t="shared" si="151"/>
        <v>0.15931459467100581</v>
      </c>
      <c r="X174" s="90">
        <f t="shared" si="169"/>
        <v>46.17354996539995</v>
      </c>
      <c r="Y174" s="90">
        <f t="shared" si="170"/>
        <v>46.17354996539995</v>
      </c>
      <c r="Z174" s="10">
        <f t="shared" si="171"/>
        <v>12895.127118644068</v>
      </c>
      <c r="AA174" s="10">
        <f t="shared" si="172"/>
        <v>20543.516949152541</v>
      </c>
      <c r="AB174" s="60">
        <f t="shared" si="173"/>
        <v>6615.7088480321736</v>
      </c>
      <c r="AC174" s="85">
        <f t="shared" si="174"/>
        <v>6549.5517595518522</v>
      </c>
      <c r="AD174" s="85">
        <f t="shared" si="143"/>
        <v>6615.7088480321736</v>
      </c>
      <c r="AE174" s="83">
        <f t="shared" si="152"/>
        <v>0.94597138280096993</v>
      </c>
      <c r="AF174" s="83">
        <f t="shared" si="153"/>
        <v>0.60061931493025211</v>
      </c>
      <c r="AG174" s="90">
        <f t="shared" si="175"/>
        <v>76.976091850956621</v>
      </c>
      <c r="AH174" s="90">
        <f t="shared" si="176"/>
        <v>76.976091850956621</v>
      </c>
      <c r="AI174" s="10">
        <f t="shared" si="177"/>
        <v>24312.711864406781</v>
      </c>
      <c r="AJ174" s="10">
        <f t="shared" si="178"/>
        <v>38733.050847457627</v>
      </c>
      <c r="AK174" s="60">
        <f t="shared" si="179"/>
        <v>18664.492265232504</v>
      </c>
      <c r="AL174" s="85">
        <f t="shared" si="180"/>
        <v>18477.847342580179</v>
      </c>
      <c r="AM174" s="85">
        <f t="shared" si="144"/>
        <v>18664.492265232504</v>
      </c>
      <c r="AN174" s="83">
        <f t="shared" si="154"/>
        <v>0.46804950328132866</v>
      </c>
      <c r="AO174" s="83">
        <f t="shared" si="155"/>
        <v>0.29759910084669849</v>
      </c>
      <c r="AP174" s="90">
        <f t="shared" si="181"/>
        <v>55.938682858841524</v>
      </c>
      <c r="AQ174" s="90">
        <f t="shared" si="182"/>
        <v>55.938682858841524</v>
      </c>
      <c r="AR174" s="10">
        <f t="shared" si="183"/>
        <v>14011.694915254237</v>
      </c>
      <c r="AS174" s="10">
        <f t="shared" si="184"/>
        <v>22322.101694915254</v>
      </c>
      <c r="AT174" s="60">
        <f t="shared" si="185"/>
        <v>10391.240784075437</v>
      </c>
      <c r="AU174" s="85">
        <f t="shared" si="186"/>
        <v>10287.328376234682</v>
      </c>
      <c r="AV174" s="85">
        <f t="shared" si="145"/>
        <v>10391.240784075437</v>
      </c>
      <c r="AW174" s="10"/>
      <c r="AX174" s="60">
        <f t="shared" si="156"/>
        <v>2266</v>
      </c>
      <c r="AZ174" s="99">
        <f t="shared" ca="1" si="137"/>
        <v>76.976091850956621</v>
      </c>
      <c r="BA174" s="99">
        <f t="shared" ca="1" si="138"/>
        <v>76.976091850956621</v>
      </c>
      <c r="BB174" s="100">
        <f t="shared" ca="1" si="139"/>
        <v>18477.847342580179</v>
      </c>
      <c r="BC174" s="100">
        <f t="shared" ca="1" si="140"/>
        <v>18664.492265232504</v>
      </c>
    </row>
    <row r="175" spans="1:55" ht="11.4" x14ac:dyDescent="0.25">
      <c r="A175" s="1"/>
      <c r="B175" s="1">
        <v>119</v>
      </c>
      <c r="C175" s="66"/>
      <c r="D175" s="83">
        <f t="shared" si="146"/>
        <v>0</v>
      </c>
      <c r="E175" s="83">
        <f t="shared" si="147"/>
        <v>0</v>
      </c>
      <c r="F175" s="90">
        <f t="shared" si="157"/>
        <v>1.8361755282906722</v>
      </c>
      <c r="G175" s="90">
        <f t="shared" si="158"/>
        <v>1.8361755282906722</v>
      </c>
      <c r="H175" s="10">
        <f t="shared" si="159"/>
        <v>890.82352941176475</v>
      </c>
      <c r="I175" s="10">
        <f t="shared" si="160"/>
        <v>1419.1596638655462</v>
      </c>
      <c r="J175" s="60">
        <f t="shared" si="161"/>
        <v>12.222662596068446</v>
      </c>
      <c r="K175" s="85">
        <f t="shared" si="162"/>
        <v>12.10043597010776</v>
      </c>
      <c r="L175" s="85">
        <f t="shared" si="141"/>
        <v>12.222662596068446</v>
      </c>
      <c r="M175" s="83">
        <f t="shared" si="148"/>
        <v>5.2355015507294538E-2</v>
      </c>
      <c r="N175" s="83">
        <f t="shared" si="149"/>
        <v>3.4043768526689867E-2</v>
      </c>
      <c r="O175" s="90">
        <f t="shared" si="163"/>
        <v>14.369347785117496</v>
      </c>
      <c r="P175" s="90">
        <f t="shared" si="164"/>
        <v>14.369347785117496</v>
      </c>
      <c r="Q175" s="10">
        <f t="shared" si="165"/>
        <v>6051.2605042016803</v>
      </c>
      <c r="R175" s="10">
        <f t="shared" si="166"/>
        <v>9640.5462184873941</v>
      </c>
      <c r="S175" s="60">
        <f t="shared" si="167"/>
        <v>3223.6097185011345</v>
      </c>
      <c r="T175" s="85">
        <f t="shared" si="168"/>
        <v>3191.3736213161233</v>
      </c>
      <c r="U175" s="85">
        <f t="shared" si="142"/>
        <v>3223.6097185011345</v>
      </c>
      <c r="V175" s="83">
        <f t="shared" si="150"/>
        <v>0.24191075525966418</v>
      </c>
      <c r="W175" s="83">
        <f t="shared" si="151"/>
        <v>0.15422914463514828</v>
      </c>
      <c r="X175" s="90">
        <f t="shared" si="169"/>
        <v>45.785536940480618</v>
      </c>
      <c r="Y175" s="90">
        <f t="shared" si="170"/>
        <v>45.785536940480618</v>
      </c>
      <c r="Z175" s="10">
        <f t="shared" si="171"/>
        <v>12786.764705882353</v>
      </c>
      <c r="AA175" s="10">
        <f t="shared" si="172"/>
        <v>20370.882352941175</v>
      </c>
      <c r="AB175" s="60">
        <f t="shared" si="173"/>
        <v>6504.9876421156687</v>
      </c>
      <c r="AC175" s="85">
        <f t="shared" si="174"/>
        <v>6439.9377656945117</v>
      </c>
      <c r="AD175" s="85">
        <f t="shared" si="143"/>
        <v>6504.9876421156687</v>
      </c>
      <c r="AE175" s="83">
        <f t="shared" si="152"/>
        <v>0.92797186490192285</v>
      </c>
      <c r="AF175" s="83">
        <f t="shared" si="153"/>
        <v>0.58921735761913629</v>
      </c>
      <c r="AG175" s="90">
        <f t="shared" si="175"/>
        <v>76.329233936242701</v>
      </c>
      <c r="AH175" s="90">
        <f t="shared" si="176"/>
        <v>76.329233936242701</v>
      </c>
      <c r="AI175" s="10">
        <f t="shared" si="177"/>
        <v>24108.403361344539</v>
      </c>
      <c r="AJ175" s="10">
        <f t="shared" si="178"/>
        <v>38407.563025210082</v>
      </c>
      <c r="AK175" s="60">
        <f t="shared" si="179"/>
        <v>18381.313742140581</v>
      </c>
      <c r="AL175" s="85">
        <f t="shared" si="180"/>
        <v>18197.500604719175</v>
      </c>
      <c r="AM175" s="85">
        <f t="shared" si="144"/>
        <v>18381.313742140581</v>
      </c>
      <c r="AN175" s="83">
        <f t="shared" si="154"/>
        <v>0.45730103781234355</v>
      </c>
      <c r="AO175" s="83">
        <f t="shared" si="155"/>
        <v>0.29079457996577263</v>
      </c>
      <c r="AP175" s="90">
        <f t="shared" si="181"/>
        <v>55.468609893641172</v>
      </c>
      <c r="AQ175" s="90">
        <f t="shared" si="182"/>
        <v>55.468609893641172</v>
      </c>
      <c r="AR175" s="10">
        <f t="shared" si="183"/>
        <v>13893.949579831933</v>
      </c>
      <c r="AS175" s="10">
        <f t="shared" si="184"/>
        <v>22134.521008403361</v>
      </c>
      <c r="AT175" s="60">
        <f t="shared" si="185"/>
        <v>10233.584407651613</v>
      </c>
      <c r="AU175" s="85">
        <f t="shared" si="186"/>
        <v>10131.248563575096</v>
      </c>
      <c r="AV175" s="85">
        <f t="shared" si="145"/>
        <v>10233.584407651613</v>
      </c>
      <c r="AW175" s="10"/>
      <c r="AX175" s="60">
        <f t="shared" si="156"/>
        <v>2294.125</v>
      </c>
      <c r="AZ175" s="99">
        <f t="shared" ca="1" si="137"/>
        <v>76.329233936242701</v>
      </c>
      <c r="BA175" s="99">
        <f t="shared" ca="1" si="138"/>
        <v>76.329233936242701</v>
      </c>
      <c r="BB175" s="100">
        <f t="shared" ca="1" si="139"/>
        <v>18197.500604719175</v>
      </c>
      <c r="BC175" s="100">
        <f t="shared" ca="1" si="140"/>
        <v>18381.313742140581</v>
      </c>
    </row>
    <row r="176" spans="1:55" ht="11.4" x14ac:dyDescent="0.25">
      <c r="A176" s="1"/>
      <c r="B176" s="1">
        <v>120</v>
      </c>
      <c r="C176" s="66"/>
      <c r="D176" s="83">
        <f t="shared" si="146"/>
        <v>0</v>
      </c>
      <c r="E176" s="83">
        <f t="shared" si="147"/>
        <v>0</v>
      </c>
      <c r="F176" s="90">
        <f t="shared" si="157"/>
        <v>1.8208740655549167</v>
      </c>
      <c r="G176" s="90">
        <f t="shared" si="158"/>
        <v>1.8208740655549167</v>
      </c>
      <c r="H176" s="10">
        <f t="shared" si="159"/>
        <v>883.4</v>
      </c>
      <c r="I176" s="10">
        <f t="shared" si="160"/>
        <v>1407.3333333333333</v>
      </c>
      <c r="J176" s="60">
        <f t="shared" si="161"/>
        <v>11.969613071794646</v>
      </c>
      <c r="K176" s="85">
        <f t="shared" si="162"/>
        <v>11.8499169410767</v>
      </c>
      <c r="L176" s="85">
        <f t="shared" si="141"/>
        <v>11.969613071794646</v>
      </c>
      <c r="M176" s="83">
        <f t="shared" si="148"/>
        <v>4.8253370181264819E-2</v>
      </c>
      <c r="N176" s="83">
        <f t="shared" si="149"/>
        <v>3.1453670865439341E-2</v>
      </c>
      <c r="O176" s="90">
        <f t="shared" si="163"/>
        <v>14.249603220241516</v>
      </c>
      <c r="P176" s="90">
        <f t="shared" si="164"/>
        <v>14.249603220241516</v>
      </c>
      <c r="Q176" s="10">
        <f t="shared" si="165"/>
        <v>6000.833333333333</v>
      </c>
      <c r="R176" s="10">
        <f t="shared" si="166"/>
        <v>9560.2083333333339</v>
      </c>
      <c r="S176" s="60">
        <f t="shared" si="167"/>
        <v>3181.2682173690555</v>
      </c>
      <c r="T176" s="85">
        <f t="shared" si="168"/>
        <v>3149.455535195365</v>
      </c>
      <c r="U176" s="85">
        <f t="shared" si="142"/>
        <v>3181.2682173690555</v>
      </c>
      <c r="V176" s="83">
        <f t="shared" si="150"/>
        <v>0.23401824551024381</v>
      </c>
      <c r="W176" s="83">
        <f t="shared" si="151"/>
        <v>0.14923549819665377</v>
      </c>
      <c r="X176" s="90">
        <f t="shared" si="169"/>
        <v>45.403990799309945</v>
      </c>
      <c r="Y176" s="90">
        <f t="shared" si="170"/>
        <v>45.403990799309945</v>
      </c>
      <c r="Z176" s="10">
        <f t="shared" si="171"/>
        <v>12680.208333333334</v>
      </c>
      <c r="AA176" s="10">
        <f t="shared" si="172"/>
        <v>20201.125</v>
      </c>
      <c r="AB176" s="60">
        <f t="shared" si="173"/>
        <v>6397.0229166666668</v>
      </c>
      <c r="AC176" s="85">
        <f t="shared" si="174"/>
        <v>6333.0526875000005</v>
      </c>
      <c r="AD176" s="85">
        <f t="shared" si="143"/>
        <v>6397.0229166666668</v>
      </c>
      <c r="AE176" s="83">
        <f t="shared" si="152"/>
        <v>0.91033974557545283</v>
      </c>
      <c r="AF176" s="83">
        <f t="shared" si="153"/>
        <v>0.57804843713356502</v>
      </c>
      <c r="AG176" s="90">
        <f t="shared" si="175"/>
        <v>75.693156986774014</v>
      </c>
      <c r="AH176" s="90">
        <f t="shared" si="176"/>
        <v>75.693156986774014</v>
      </c>
      <c r="AI176" s="10">
        <f t="shared" si="177"/>
        <v>23907.5</v>
      </c>
      <c r="AJ176" s="10">
        <f t="shared" si="178"/>
        <v>38087.5</v>
      </c>
      <c r="AK176" s="60">
        <f t="shared" si="179"/>
        <v>18104.747739344315</v>
      </c>
      <c r="AL176" s="85">
        <f t="shared" si="180"/>
        <v>17923.700261950871</v>
      </c>
      <c r="AM176" s="85">
        <f t="shared" si="144"/>
        <v>18104.747739344315</v>
      </c>
      <c r="AN176" s="83">
        <f t="shared" si="154"/>
        <v>0.44675065111429546</v>
      </c>
      <c r="AO176" s="83">
        <f t="shared" si="155"/>
        <v>0.28411574087028907</v>
      </c>
      <c r="AP176" s="90">
        <f t="shared" si="181"/>
        <v>55.006371477860831</v>
      </c>
      <c r="AQ176" s="90">
        <f t="shared" si="182"/>
        <v>55.006371477860831</v>
      </c>
      <c r="AR176" s="10">
        <f t="shared" si="183"/>
        <v>13778.166666666666</v>
      </c>
      <c r="AS176" s="10">
        <f t="shared" si="184"/>
        <v>21950.066666666666</v>
      </c>
      <c r="AT176" s="60">
        <f t="shared" si="185"/>
        <v>10079.609475630632</v>
      </c>
      <c r="AU176" s="85">
        <f t="shared" si="186"/>
        <v>9978.813380874326</v>
      </c>
      <c r="AV176" s="85">
        <f t="shared" si="145"/>
        <v>10079.609475630632</v>
      </c>
      <c r="AW176" s="10"/>
      <c r="AX176" s="60">
        <f t="shared" si="156"/>
        <v>2322.5</v>
      </c>
      <c r="AZ176" s="99">
        <f t="shared" ca="1" si="137"/>
        <v>75.693156986774014</v>
      </c>
      <c r="BA176" s="99">
        <f t="shared" ca="1" si="138"/>
        <v>75.693156986774014</v>
      </c>
      <c r="BB176" s="100">
        <f t="shared" ca="1" si="139"/>
        <v>17923.700261950871</v>
      </c>
      <c r="BC176" s="100">
        <f t="shared" ca="1" si="140"/>
        <v>18104.747739344315</v>
      </c>
    </row>
    <row r="177" spans="1:55" ht="11.4" x14ac:dyDescent="0.25">
      <c r="A177" s="1"/>
      <c r="B177" s="1">
        <v>121</v>
      </c>
      <c r="C177" s="66"/>
      <c r="D177" s="83">
        <f t="shared" si="146"/>
        <v>0</v>
      </c>
      <c r="E177" s="83">
        <f t="shared" si="147"/>
        <v>0</v>
      </c>
      <c r="F177" s="90">
        <f t="shared" si="157"/>
        <v>1.805825519558595</v>
      </c>
      <c r="G177" s="90">
        <f t="shared" si="158"/>
        <v>1.805825519558595</v>
      </c>
      <c r="H177" s="10">
        <f t="shared" si="159"/>
        <v>876.09917355371897</v>
      </c>
      <c r="I177" s="10">
        <f t="shared" si="160"/>
        <v>1395.702479338843</v>
      </c>
      <c r="J177" s="60">
        <f t="shared" si="161"/>
        <v>11.723837791760506</v>
      </c>
      <c r="K177" s="85">
        <f t="shared" si="162"/>
        <v>11.606599413842901</v>
      </c>
      <c r="L177" s="85">
        <f t="shared" si="141"/>
        <v>11.723837791760506</v>
      </c>
      <c r="M177" s="83">
        <f t="shared" si="148"/>
        <v>4.4189165122200745E-2</v>
      </c>
      <c r="N177" s="83">
        <f t="shared" si="149"/>
        <v>2.8887404214537102E-2</v>
      </c>
      <c r="O177" s="90">
        <f t="shared" si="163"/>
        <v>14.131837904371752</v>
      </c>
      <c r="P177" s="90">
        <f t="shared" si="164"/>
        <v>14.131837904371752</v>
      </c>
      <c r="Q177" s="10">
        <f t="shared" si="165"/>
        <v>5951.2396694214876</v>
      </c>
      <c r="R177" s="10">
        <f t="shared" si="166"/>
        <v>9481.1983471074382</v>
      </c>
      <c r="S177" s="60">
        <f t="shared" si="167"/>
        <v>3139.8273657068735</v>
      </c>
      <c r="T177" s="85">
        <f t="shared" si="168"/>
        <v>3108.4290920498047</v>
      </c>
      <c r="U177" s="85">
        <f t="shared" si="142"/>
        <v>3139.8273657068735</v>
      </c>
      <c r="V177" s="83">
        <f t="shared" si="150"/>
        <v>0.22626513991387159</v>
      </c>
      <c r="W177" s="83">
        <f t="shared" si="151"/>
        <v>0.14433033165761175</v>
      </c>
      <c r="X177" s="90">
        <f t="shared" si="169"/>
        <v>45.028751205927222</v>
      </c>
      <c r="Y177" s="90">
        <f t="shared" si="170"/>
        <v>45.028751205927222</v>
      </c>
      <c r="Z177" s="10">
        <f t="shared" si="171"/>
        <v>12575.413223140496</v>
      </c>
      <c r="AA177" s="10">
        <f t="shared" si="172"/>
        <v>20034.173553719007</v>
      </c>
      <c r="AB177" s="60">
        <f t="shared" si="173"/>
        <v>6291.7239259613416</v>
      </c>
      <c r="AC177" s="85">
        <f t="shared" si="174"/>
        <v>6228.8066867017278</v>
      </c>
      <c r="AD177" s="85">
        <f t="shared" si="143"/>
        <v>6291.7239259613416</v>
      </c>
      <c r="AE177" s="83">
        <f t="shared" si="152"/>
        <v>0.89306303225846939</v>
      </c>
      <c r="AF177" s="83">
        <f t="shared" si="153"/>
        <v>0.56710494974332459</v>
      </c>
      <c r="AG177" s="90">
        <f t="shared" si="175"/>
        <v>75.067593705891582</v>
      </c>
      <c r="AH177" s="90">
        <f t="shared" si="176"/>
        <v>75.067593705891582</v>
      </c>
      <c r="AI177" s="10">
        <f t="shared" si="177"/>
        <v>23709.917355371901</v>
      </c>
      <c r="AJ177" s="10">
        <f t="shared" si="178"/>
        <v>37772.727272727272</v>
      </c>
      <c r="AK177" s="60">
        <f t="shared" si="179"/>
        <v>17834.586654943472</v>
      </c>
      <c r="AL177" s="85">
        <f t="shared" si="180"/>
        <v>17656.240788394036</v>
      </c>
      <c r="AM177" s="85">
        <f t="shared" si="144"/>
        <v>17834.586654943472</v>
      </c>
      <c r="AN177" s="83">
        <f t="shared" si="154"/>
        <v>0.43639166646601152</v>
      </c>
      <c r="AO177" s="83">
        <f t="shared" si="155"/>
        <v>0.27755835027115627</v>
      </c>
      <c r="AP177" s="90">
        <f t="shared" si="181"/>
        <v>54.551773366473547</v>
      </c>
      <c r="AQ177" s="90">
        <f t="shared" si="182"/>
        <v>54.551773366473547</v>
      </c>
      <c r="AR177" s="10">
        <f t="shared" si="183"/>
        <v>13664.297520661157</v>
      </c>
      <c r="AS177" s="10">
        <f t="shared" si="184"/>
        <v>21768.661157024795</v>
      </c>
      <c r="AT177" s="60">
        <f t="shared" si="185"/>
        <v>9929.2004080491151</v>
      </c>
      <c r="AU177" s="85">
        <f t="shared" si="186"/>
        <v>9829.908403968624</v>
      </c>
      <c r="AV177" s="85">
        <f t="shared" si="145"/>
        <v>9929.2004080491151</v>
      </c>
      <c r="AW177" s="10"/>
      <c r="AX177" s="60">
        <f t="shared" si="156"/>
        <v>2351.125</v>
      </c>
      <c r="AZ177" s="99">
        <f t="shared" ca="1" si="137"/>
        <v>75.067593705891582</v>
      </c>
      <c r="BA177" s="99">
        <f t="shared" ca="1" si="138"/>
        <v>75.067593705891582</v>
      </c>
      <c r="BB177" s="100">
        <f t="shared" ca="1" si="139"/>
        <v>17656.240788394036</v>
      </c>
      <c r="BC177" s="100">
        <f t="shared" ca="1" si="140"/>
        <v>17834.586654943472</v>
      </c>
    </row>
    <row r="178" spans="1:55" ht="11.4" x14ac:dyDescent="0.25">
      <c r="A178" s="1"/>
      <c r="B178" s="1">
        <v>122</v>
      </c>
      <c r="C178" s="66"/>
      <c r="D178" s="83">
        <f t="shared" si="146"/>
        <v>0</v>
      </c>
      <c r="E178" s="83">
        <f t="shared" si="147"/>
        <v>0</v>
      </c>
      <c r="F178" s="90">
        <f t="shared" si="157"/>
        <v>1.7910236710376228</v>
      </c>
      <c r="G178" s="90">
        <f t="shared" si="158"/>
        <v>1.7910236710376228</v>
      </c>
      <c r="H178" s="10">
        <f t="shared" si="159"/>
        <v>868.91803278688519</v>
      </c>
      <c r="I178" s="10">
        <f t="shared" si="160"/>
        <v>1384.2622950819673</v>
      </c>
      <c r="J178" s="60">
        <f t="shared" si="161"/>
        <v>11.485070095456136</v>
      </c>
      <c r="K178" s="85">
        <f t="shared" si="162"/>
        <v>11.370219394501575</v>
      </c>
      <c r="L178" s="85">
        <f t="shared" si="141"/>
        <v>11.485070095456136</v>
      </c>
      <c r="M178" s="83">
        <f t="shared" si="148"/>
        <v>4.0168171080262806E-2</v>
      </c>
      <c r="N178" s="83">
        <f t="shared" si="149"/>
        <v>2.6348581198243366E-2</v>
      </c>
      <c r="O178" s="90">
        <f t="shared" si="163"/>
        <v>14.016003167450672</v>
      </c>
      <c r="P178" s="90">
        <f t="shared" si="164"/>
        <v>14.016003167450672</v>
      </c>
      <c r="Q178" s="10">
        <f t="shared" si="165"/>
        <v>5902.4590163934427</v>
      </c>
      <c r="R178" s="10">
        <f t="shared" si="166"/>
        <v>9403.4836065573763</v>
      </c>
      <c r="S178" s="60">
        <f t="shared" si="167"/>
        <v>3099.2607976902059</v>
      </c>
      <c r="T178" s="85">
        <f t="shared" si="168"/>
        <v>3068.2681897133039</v>
      </c>
      <c r="U178" s="85">
        <f t="shared" si="142"/>
        <v>3099.2607976902059</v>
      </c>
      <c r="V178" s="83">
        <f t="shared" si="150"/>
        <v>0.21865370413633065</v>
      </c>
      <c r="W178" s="83">
        <f t="shared" si="151"/>
        <v>0.13951503528866363</v>
      </c>
      <c r="X178" s="90">
        <f t="shared" si="169"/>
        <v>44.659663081288471</v>
      </c>
      <c r="Y178" s="90">
        <f t="shared" si="170"/>
        <v>44.659663081288471</v>
      </c>
      <c r="Z178" s="10">
        <f t="shared" si="171"/>
        <v>12472.336065573771</v>
      </c>
      <c r="AA178" s="10">
        <f t="shared" si="172"/>
        <v>19869.959016393441</v>
      </c>
      <c r="AB178" s="60">
        <f t="shared" si="173"/>
        <v>6189.0036280569739</v>
      </c>
      <c r="AC178" s="85">
        <f t="shared" si="174"/>
        <v>6127.1135917764041</v>
      </c>
      <c r="AD178" s="85">
        <f t="shared" si="143"/>
        <v>6189.0036280569739</v>
      </c>
      <c r="AE178" s="83">
        <f t="shared" si="152"/>
        <v>0.87613749761915216</v>
      </c>
      <c r="AF178" s="83">
        <f t="shared" si="153"/>
        <v>0.5563841689175284</v>
      </c>
      <c r="AG178" s="90">
        <f t="shared" si="175"/>
        <v>74.452285560761325</v>
      </c>
      <c r="AH178" s="90">
        <f t="shared" si="176"/>
        <v>74.452285560761325</v>
      </c>
      <c r="AI178" s="10">
        <f t="shared" si="177"/>
        <v>23515.573770491803</v>
      </c>
      <c r="AJ178" s="10">
        <f t="shared" si="178"/>
        <v>37463.114754098358</v>
      </c>
      <c r="AK178" s="60">
        <f t="shared" si="179"/>
        <v>17570.631047449835</v>
      </c>
      <c r="AL178" s="85">
        <f t="shared" si="180"/>
        <v>17394.924736975336</v>
      </c>
      <c r="AM178" s="85">
        <f t="shared" si="144"/>
        <v>17570.631047449835</v>
      </c>
      <c r="AN178" s="83">
        <f t="shared" si="154"/>
        <v>0.42622496342256311</v>
      </c>
      <c r="AO178" s="83">
        <f t="shared" si="155"/>
        <v>0.27112291959336632</v>
      </c>
      <c r="AP178" s="90">
        <f t="shared" si="181"/>
        <v>54.1046276831418</v>
      </c>
      <c r="AQ178" s="90">
        <f t="shared" si="182"/>
        <v>54.1046276831418</v>
      </c>
      <c r="AR178" s="10">
        <f t="shared" si="183"/>
        <v>13552.295081967213</v>
      </c>
      <c r="AS178" s="10">
        <f t="shared" si="184"/>
        <v>21590.22950819672</v>
      </c>
      <c r="AT178" s="60">
        <f t="shared" si="185"/>
        <v>9782.2461681589375</v>
      </c>
      <c r="AU178" s="85">
        <f t="shared" si="186"/>
        <v>9684.4237064773479</v>
      </c>
      <c r="AV178" s="85">
        <f t="shared" si="145"/>
        <v>9782.2461681589375</v>
      </c>
      <c r="AW178" s="10"/>
      <c r="AX178" s="60">
        <f t="shared" si="156"/>
        <v>2379.875</v>
      </c>
      <c r="AZ178" s="99">
        <f t="shared" ca="1" si="137"/>
        <v>74.452285560761325</v>
      </c>
      <c r="BA178" s="99">
        <f t="shared" ca="1" si="138"/>
        <v>74.452285560761325</v>
      </c>
      <c r="BB178" s="100">
        <f t="shared" ca="1" si="139"/>
        <v>17394.924736975336</v>
      </c>
      <c r="BC178" s="100">
        <f t="shared" ca="1" si="140"/>
        <v>17570.631047449835</v>
      </c>
    </row>
    <row r="179" spans="1:55" ht="11.4" x14ac:dyDescent="0.25">
      <c r="A179" s="1"/>
      <c r="B179" s="1">
        <v>123</v>
      </c>
      <c r="C179" s="66"/>
      <c r="D179" s="83">
        <f t="shared" si="146"/>
        <v>0</v>
      </c>
      <c r="E179" s="83">
        <f t="shared" si="147"/>
        <v>0</v>
      </c>
      <c r="F179" s="90">
        <f t="shared" si="157"/>
        <v>1.7764625029804064</v>
      </c>
      <c r="G179" s="90">
        <f t="shared" si="158"/>
        <v>1.7764625029804064</v>
      </c>
      <c r="H179" s="10">
        <f t="shared" si="159"/>
        <v>861.85365853658539</v>
      </c>
      <c r="I179" s="10">
        <f t="shared" si="160"/>
        <v>1373.0081300813008</v>
      </c>
      <c r="J179" s="60">
        <f t="shared" si="161"/>
        <v>11.253055173306731</v>
      </c>
      <c r="K179" s="85">
        <f t="shared" si="162"/>
        <v>11.140524621573663</v>
      </c>
      <c r="L179" s="85">
        <f t="shared" si="141"/>
        <v>11.253055173306731</v>
      </c>
      <c r="M179" s="83">
        <f t="shared" si="148"/>
        <v>3.6181627728560144E-2</v>
      </c>
      <c r="N179" s="83">
        <f t="shared" si="149"/>
        <v>2.3831693689665232E-2</v>
      </c>
      <c r="O179" s="90">
        <f t="shared" si="163"/>
        <v>13.902051922186846</v>
      </c>
      <c r="P179" s="90">
        <f t="shared" si="164"/>
        <v>13.902051922186846</v>
      </c>
      <c r="Q179" s="10">
        <f t="shared" si="165"/>
        <v>5854.4715447154467</v>
      </c>
      <c r="R179" s="10">
        <f t="shared" si="166"/>
        <v>9327.0325203252032</v>
      </c>
      <c r="S179" s="60">
        <f t="shared" si="167"/>
        <v>3059.5431269195419</v>
      </c>
      <c r="T179" s="85">
        <f t="shared" si="168"/>
        <v>3028.9476956503463</v>
      </c>
      <c r="U179" s="85">
        <f t="shared" si="142"/>
        <v>3059.5431269195419</v>
      </c>
      <c r="V179" s="83">
        <f t="shared" si="150"/>
        <v>0.21117181975030302</v>
      </c>
      <c r="W179" s="83">
        <f t="shared" si="151"/>
        <v>0.13478197180257906</v>
      </c>
      <c r="X179" s="90">
        <f t="shared" si="169"/>
        <v>44.296576389570681</v>
      </c>
      <c r="Y179" s="90">
        <f t="shared" si="170"/>
        <v>44.296576389570681</v>
      </c>
      <c r="Z179" s="10">
        <f t="shared" si="171"/>
        <v>12370.934959349594</v>
      </c>
      <c r="AA179" s="10">
        <f t="shared" si="172"/>
        <v>19708.414634146342</v>
      </c>
      <c r="AB179" s="60">
        <f t="shared" si="173"/>
        <v>6088.77850485822</v>
      </c>
      <c r="AC179" s="85">
        <f t="shared" si="174"/>
        <v>6027.8907198096376</v>
      </c>
      <c r="AD179" s="85">
        <f t="shared" si="143"/>
        <v>6088.77850485822</v>
      </c>
      <c r="AE179" s="83">
        <f t="shared" si="152"/>
        <v>0.85954477587403189</v>
      </c>
      <c r="AF179" s="83">
        <f t="shared" si="153"/>
        <v>0.54587449631321816</v>
      </c>
      <c r="AG179" s="90">
        <f t="shared" si="175"/>
        <v>73.846982426120988</v>
      </c>
      <c r="AH179" s="90">
        <f t="shared" si="176"/>
        <v>73.846982426120988</v>
      </c>
      <c r="AI179" s="10">
        <f t="shared" si="177"/>
        <v>23324.390243902439</v>
      </c>
      <c r="AJ179" s="10">
        <f t="shared" si="178"/>
        <v>37158.536585365851</v>
      </c>
      <c r="AK179" s="60">
        <f t="shared" si="179"/>
        <v>17312.689251493903</v>
      </c>
      <c r="AL179" s="85">
        <f t="shared" si="180"/>
        <v>17139.562358978965</v>
      </c>
      <c r="AM179" s="85">
        <f t="shared" si="144"/>
        <v>17312.689251493903</v>
      </c>
      <c r="AN179" s="83">
        <f t="shared" si="154"/>
        <v>0.41623708397254072</v>
      </c>
      <c r="AO179" s="83">
        <f t="shared" si="155"/>
        <v>0.26480096220364352</v>
      </c>
      <c r="AP179" s="90">
        <f t="shared" si="181"/>
        <v>53.66475266132764</v>
      </c>
      <c r="AQ179" s="90">
        <f t="shared" si="182"/>
        <v>53.66475266132764</v>
      </c>
      <c r="AR179" s="10">
        <f t="shared" si="183"/>
        <v>13442.113821138211</v>
      </c>
      <c r="AS179" s="10">
        <f t="shared" si="184"/>
        <v>21414.699186991871</v>
      </c>
      <c r="AT179" s="60">
        <f t="shared" si="185"/>
        <v>9638.6400484763944</v>
      </c>
      <c r="AU179" s="85">
        <f t="shared" si="186"/>
        <v>9542.2536479916307</v>
      </c>
      <c r="AV179" s="85">
        <f t="shared" si="145"/>
        <v>9638.6400484763944</v>
      </c>
      <c r="AW179" s="10"/>
      <c r="AX179" s="60">
        <f t="shared" si="156"/>
        <v>2408.875</v>
      </c>
      <c r="AZ179" s="99">
        <f t="shared" ca="1" si="137"/>
        <v>73.846982426120988</v>
      </c>
      <c r="BA179" s="99">
        <f t="shared" ca="1" si="138"/>
        <v>73.846982426120988</v>
      </c>
      <c r="BB179" s="100">
        <f t="shared" ca="1" si="139"/>
        <v>17139.562358978965</v>
      </c>
      <c r="BC179" s="100">
        <f t="shared" ca="1" si="140"/>
        <v>17312.689251493903</v>
      </c>
    </row>
    <row r="180" spans="1:55" ht="11.4" x14ac:dyDescent="0.25">
      <c r="A180" s="1"/>
      <c r="B180" s="1">
        <v>124</v>
      </c>
      <c r="C180" s="66"/>
      <c r="D180" s="83">
        <f t="shared" si="146"/>
        <v>0</v>
      </c>
      <c r="E180" s="83">
        <f t="shared" si="147"/>
        <v>0</v>
      </c>
      <c r="F180" s="90">
        <f t="shared" si="157"/>
        <v>1.7621361924724999</v>
      </c>
      <c r="G180" s="90">
        <f t="shared" si="158"/>
        <v>1.7621361924724999</v>
      </c>
      <c r="H180" s="10">
        <f t="shared" si="159"/>
        <v>854.90322580645159</v>
      </c>
      <c r="I180" s="10">
        <f t="shared" si="160"/>
        <v>1361.9354838709678</v>
      </c>
      <c r="J180" s="60">
        <f t="shared" si="161"/>
        <v>11.027549449227195</v>
      </c>
      <c r="K180" s="85">
        <f t="shared" si="162"/>
        <v>10.917273954734922</v>
      </c>
      <c r="L180" s="85">
        <f t="shared" si="141"/>
        <v>11.027549449227195</v>
      </c>
      <c r="M180" s="83">
        <f t="shared" si="148"/>
        <v>3.2228122606512248E-2</v>
      </c>
      <c r="N180" s="83">
        <f t="shared" si="149"/>
        <v>2.1335846136358163E-2</v>
      </c>
      <c r="O180" s="90">
        <f t="shared" si="163"/>
        <v>13.789938600233725</v>
      </c>
      <c r="P180" s="90">
        <f t="shared" si="164"/>
        <v>13.789938600233725</v>
      </c>
      <c r="Q180" s="10">
        <f t="shared" si="165"/>
        <v>5807.2580645161288</v>
      </c>
      <c r="R180" s="10">
        <f t="shared" si="166"/>
        <v>9251.8145161290322</v>
      </c>
      <c r="S180" s="60">
        <f t="shared" si="167"/>
        <v>3020.6499024498821</v>
      </c>
      <c r="T180" s="85">
        <f t="shared" si="168"/>
        <v>2990.4434034253832</v>
      </c>
      <c r="U180" s="85">
        <f t="shared" si="142"/>
        <v>3020.6499024498821</v>
      </c>
      <c r="V180" s="83">
        <f t="shared" si="150"/>
        <v>0.20381485590890966</v>
      </c>
      <c r="W180" s="83">
        <f t="shared" si="151"/>
        <v>0.13012820507052003</v>
      </c>
      <c r="X180" s="90">
        <f t="shared" si="169"/>
        <v>43.939345934816082</v>
      </c>
      <c r="Y180" s="90">
        <f t="shared" si="170"/>
        <v>43.939345934816082</v>
      </c>
      <c r="Z180" s="10">
        <f t="shared" si="171"/>
        <v>12271.16935483871</v>
      </c>
      <c r="AA180" s="10">
        <f t="shared" si="172"/>
        <v>19549.475806451614</v>
      </c>
      <c r="AB180" s="60">
        <f t="shared" si="173"/>
        <v>5990.9683922996883</v>
      </c>
      <c r="AC180" s="85">
        <f t="shared" si="174"/>
        <v>5931.0587083766914</v>
      </c>
      <c r="AD180" s="85">
        <f t="shared" si="143"/>
        <v>5990.9683922996883</v>
      </c>
      <c r="AE180" s="83">
        <f t="shared" si="152"/>
        <v>0.8432742232873367</v>
      </c>
      <c r="AF180" s="83">
        <f t="shared" si="153"/>
        <v>0.53556918340677406</v>
      </c>
      <c r="AG180" s="90">
        <f t="shared" si="175"/>
        <v>73.251442245265167</v>
      </c>
      <c r="AH180" s="90">
        <f t="shared" si="176"/>
        <v>73.251442245265167</v>
      </c>
      <c r="AI180" s="10">
        <f t="shared" si="177"/>
        <v>23136.290322580644</v>
      </c>
      <c r="AJ180" s="10">
        <f t="shared" si="178"/>
        <v>36858.870967741932</v>
      </c>
      <c r="AK180" s="60">
        <f t="shared" si="179"/>
        <v>17060.577014572256</v>
      </c>
      <c r="AL180" s="85">
        <f t="shared" si="180"/>
        <v>16889.971244426535</v>
      </c>
      <c r="AM180" s="85">
        <f t="shared" si="144"/>
        <v>17060.577014572256</v>
      </c>
      <c r="AN180" s="83">
        <f t="shared" si="154"/>
        <v>0.40642210233882226</v>
      </c>
      <c r="AO180" s="83">
        <f t="shared" si="155"/>
        <v>0.25858872093930291</v>
      </c>
      <c r="AP180" s="90">
        <f t="shared" si="181"/>
        <v>53.231972397929837</v>
      </c>
      <c r="AQ180" s="90">
        <f t="shared" si="182"/>
        <v>53.231972397929837</v>
      </c>
      <c r="AR180" s="10">
        <f t="shared" si="183"/>
        <v>13333.709677419354</v>
      </c>
      <c r="AS180" s="10">
        <f t="shared" si="184"/>
        <v>21242</v>
      </c>
      <c r="AT180" s="60">
        <f t="shared" si="185"/>
        <v>9498.2794685454483</v>
      </c>
      <c r="AU180" s="85">
        <f t="shared" si="186"/>
        <v>9403.2966738599935</v>
      </c>
      <c r="AV180" s="85">
        <f t="shared" si="145"/>
        <v>9498.2794685454483</v>
      </c>
      <c r="AW180" s="10"/>
      <c r="AX180" s="60">
        <f t="shared" si="156"/>
        <v>2438.125</v>
      </c>
      <c r="AZ180" s="99">
        <f t="shared" ca="1" si="137"/>
        <v>73.251442245265167</v>
      </c>
      <c r="BA180" s="99">
        <f t="shared" ca="1" si="138"/>
        <v>73.251442245265167</v>
      </c>
      <c r="BB180" s="100">
        <f t="shared" ca="1" si="139"/>
        <v>16889.971244426535</v>
      </c>
      <c r="BC180" s="100">
        <f t="shared" ca="1" si="140"/>
        <v>17060.577014572256</v>
      </c>
    </row>
    <row r="181" spans="1:55" ht="11.4" x14ac:dyDescent="0.25">
      <c r="A181" s="1"/>
      <c r="B181" s="1">
        <v>125</v>
      </c>
      <c r="C181" s="66"/>
      <c r="D181" s="83">
        <f t="shared" si="146"/>
        <v>0</v>
      </c>
      <c r="E181" s="83">
        <f t="shared" si="147"/>
        <v>0</v>
      </c>
      <c r="F181" s="90">
        <f t="shared" si="157"/>
        <v>1.74803910293272</v>
      </c>
      <c r="G181" s="90">
        <f t="shared" si="158"/>
        <v>1.74803910293272</v>
      </c>
      <c r="H181" s="10">
        <f t="shared" si="159"/>
        <v>848.06399999999996</v>
      </c>
      <c r="I181" s="10">
        <f t="shared" si="160"/>
        <v>1351.04</v>
      </c>
      <c r="J181" s="60">
        <f t="shared" si="161"/>
        <v>10.808319999999995</v>
      </c>
      <c r="K181" s="85">
        <f t="shared" si="162"/>
        <v>10.700236799999995</v>
      </c>
      <c r="L181" s="85">
        <f t="shared" si="141"/>
        <v>10.808319999999995</v>
      </c>
      <c r="M181" s="83">
        <f t="shared" si="148"/>
        <v>2.8313588713203493E-2</v>
      </c>
      <c r="N181" s="83">
        <f t="shared" si="149"/>
        <v>1.8864754034423486E-2</v>
      </c>
      <c r="O181" s="90">
        <f t="shared" si="163"/>
        <v>13.679619091431857</v>
      </c>
      <c r="P181" s="90">
        <f t="shared" si="164"/>
        <v>13.679619091431857</v>
      </c>
      <c r="Q181" s="10">
        <f t="shared" si="165"/>
        <v>5760.8</v>
      </c>
      <c r="R181" s="10">
        <f t="shared" si="166"/>
        <v>9177.7999999999993</v>
      </c>
      <c r="S181" s="60">
        <f t="shared" si="167"/>
        <v>2982.5575671295742</v>
      </c>
      <c r="T181" s="85">
        <f t="shared" si="168"/>
        <v>2952.7319914582786</v>
      </c>
      <c r="U181" s="85">
        <f t="shared" si="142"/>
        <v>2982.5575671295742</v>
      </c>
      <c r="V181" s="83">
        <f t="shared" si="150"/>
        <v>0.19658566008298758</v>
      </c>
      <c r="W181" s="83">
        <f t="shared" si="151"/>
        <v>0.1255554942491314</v>
      </c>
      <c r="X181" s="90">
        <f t="shared" si="169"/>
        <v>43.587831167337548</v>
      </c>
      <c r="Y181" s="90">
        <f t="shared" si="170"/>
        <v>43.587831167337548</v>
      </c>
      <c r="Z181" s="10">
        <f t="shared" si="171"/>
        <v>12173</v>
      </c>
      <c r="AA181" s="10">
        <f t="shared" si="172"/>
        <v>19393.080000000002</v>
      </c>
      <c r="AB181" s="60">
        <f t="shared" si="173"/>
        <v>5895.4963200000002</v>
      </c>
      <c r="AC181" s="85">
        <f t="shared" si="174"/>
        <v>5836.5413568000004</v>
      </c>
      <c r="AD181" s="85">
        <f t="shared" si="143"/>
        <v>5895.4963200000002</v>
      </c>
      <c r="AE181" s="83">
        <f t="shared" si="152"/>
        <v>0.8273228983266897</v>
      </c>
      <c r="AF181" s="83">
        <f t="shared" si="153"/>
        <v>0.52546631891189144</v>
      </c>
      <c r="AG181" s="90">
        <f t="shared" si="175"/>
        <v>72.665430707303045</v>
      </c>
      <c r="AH181" s="90">
        <f t="shared" si="176"/>
        <v>72.665430707303045</v>
      </c>
      <c r="AI181" s="10">
        <f t="shared" si="177"/>
        <v>22951.200000000001</v>
      </c>
      <c r="AJ181" s="10">
        <f t="shared" si="178"/>
        <v>36564</v>
      </c>
      <c r="AK181" s="60">
        <f t="shared" si="179"/>
        <v>16814.117153525098</v>
      </c>
      <c r="AL181" s="85">
        <f t="shared" si="180"/>
        <v>16645.975981989846</v>
      </c>
      <c r="AM181" s="85">
        <f t="shared" si="144"/>
        <v>16814.117153525098</v>
      </c>
      <c r="AN181" s="83">
        <f t="shared" si="154"/>
        <v>0.396781613930489</v>
      </c>
      <c r="AO181" s="83">
        <f t="shared" si="155"/>
        <v>0.25248716110335417</v>
      </c>
      <c r="AP181" s="90">
        <f t="shared" si="181"/>
        <v>52.806116618746394</v>
      </c>
      <c r="AQ181" s="90">
        <f t="shared" si="182"/>
        <v>52.806116618746394</v>
      </c>
      <c r="AR181" s="10">
        <f t="shared" si="183"/>
        <v>13227.04</v>
      </c>
      <c r="AS181" s="10">
        <f t="shared" si="184"/>
        <v>21072.063999999998</v>
      </c>
      <c r="AT181" s="60">
        <f t="shared" si="185"/>
        <v>9361.0657836855917</v>
      </c>
      <c r="AU181" s="85">
        <f t="shared" si="186"/>
        <v>9267.4551258487354</v>
      </c>
      <c r="AV181" s="85">
        <f t="shared" si="145"/>
        <v>9361.0657836855917</v>
      </c>
      <c r="AW181" s="10"/>
      <c r="AX181" s="60">
        <f t="shared" si="156"/>
        <v>2467.5</v>
      </c>
      <c r="AZ181" s="99">
        <f t="shared" ca="1" si="137"/>
        <v>72.665430707303045</v>
      </c>
      <c r="BA181" s="99">
        <f t="shared" ca="1" si="138"/>
        <v>72.665430707303045</v>
      </c>
      <c r="BB181" s="100">
        <f t="shared" ca="1" si="139"/>
        <v>16645.975981989846</v>
      </c>
      <c r="BC181" s="100">
        <f t="shared" ca="1" si="140"/>
        <v>16814.117153525098</v>
      </c>
    </row>
    <row r="182" spans="1:55" ht="11.4" x14ac:dyDescent="0.25">
      <c r="A182" s="1"/>
      <c r="B182" s="1">
        <v>126</v>
      </c>
      <c r="C182" s="66"/>
      <c r="D182" s="83">
        <f t="shared" si="146"/>
        <v>0</v>
      </c>
      <c r="E182" s="83">
        <f t="shared" si="147"/>
        <v>0</v>
      </c>
      <c r="F182" s="90">
        <f t="shared" si="157"/>
        <v>1.7341657767189682</v>
      </c>
      <c r="G182" s="90">
        <f t="shared" si="158"/>
        <v>1.7341657767189682</v>
      </c>
      <c r="H182" s="10">
        <f t="shared" si="159"/>
        <v>841.33333333333337</v>
      </c>
      <c r="I182" s="10">
        <f t="shared" si="160"/>
        <v>1340.3174603174602</v>
      </c>
      <c r="J182" s="60">
        <f t="shared" si="161"/>
        <v>10.5951440090069</v>
      </c>
      <c r="K182" s="85">
        <f t="shared" si="162"/>
        <v>10.489192568916831</v>
      </c>
      <c r="L182" s="85">
        <f t="shared" si="141"/>
        <v>10.5951440090069</v>
      </c>
      <c r="M182" s="83">
        <f t="shared" si="148"/>
        <v>2.4429420742723768E-2</v>
      </c>
      <c r="N182" s="83">
        <f t="shared" si="149"/>
        <v>1.6413007546025125E-2</v>
      </c>
      <c r="O182" s="90">
        <f t="shared" si="163"/>
        <v>13.571050685944302</v>
      </c>
      <c r="P182" s="90">
        <f t="shared" si="164"/>
        <v>13.571050685944302</v>
      </c>
      <c r="Q182" s="10">
        <f t="shared" si="165"/>
        <v>5715.0793650793648</v>
      </c>
      <c r="R182" s="10">
        <f t="shared" si="166"/>
        <v>9104.960317460318</v>
      </c>
      <c r="S182" s="60">
        <f t="shared" si="167"/>
        <v>2945.2434181097324</v>
      </c>
      <c r="T182" s="85">
        <f t="shared" si="168"/>
        <v>2915.7909839286349</v>
      </c>
      <c r="U182" s="85">
        <f t="shared" si="142"/>
        <v>2945.2434181097324</v>
      </c>
      <c r="V182" s="83">
        <f t="shared" si="150"/>
        <v>0.18947266782750449</v>
      </c>
      <c r="W182" s="83">
        <f t="shared" si="151"/>
        <v>0.1210565532965179</v>
      </c>
      <c r="X182" s="90">
        <f t="shared" si="169"/>
        <v>43.241895999342809</v>
      </c>
      <c r="Y182" s="90">
        <f t="shared" si="170"/>
        <v>43.241895999342809</v>
      </c>
      <c r="Z182" s="10">
        <f t="shared" si="171"/>
        <v>12076.388888888889</v>
      </c>
      <c r="AA182" s="10">
        <f t="shared" si="172"/>
        <v>19239.166666666668</v>
      </c>
      <c r="AB182" s="60">
        <f t="shared" si="173"/>
        <v>5802.2883597883601</v>
      </c>
      <c r="AC182" s="85">
        <f t="shared" si="174"/>
        <v>5744.2654761904769</v>
      </c>
      <c r="AD182" s="85">
        <f t="shared" si="143"/>
        <v>5802.2883597883601</v>
      </c>
      <c r="AE182" s="83">
        <f t="shared" si="152"/>
        <v>0.81167366140471398</v>
      </c>
      <c r="AF182" s="83">
        <f t="shared" si="153"/>
        <v>0.51555508193945554</v>
      </c>
      <c r="AG182" s="90">
        <f t="shared" si="175"/>
        <v>72.088720939784778</v>
      </c>
      <c r="AH182" s="90">
        <f t="shared" si="176"/>
        <v>72.088720939784778</v>
      </c>
      <c r="AI182" s="10">
        <f t="shared" si="177"/>
        <v>22769.047619047618</v>
      </c>
      <c r="AJ182" s="10">
        <f t="shared" si="178"/>
        <v>36273.809523809527</v>
      </c>
      <c r="AK182" s="60">
        <f t="shared" si="179"/>
        <v>16573.139229524477</v>
      </c>
      <c r="AL182" s="85">
        <f t="shared" si="180"/>
        <v>16407.407837229232</v>
      </c>
      <c r="AM182" s="85">
        <f t="shared" si="144"/>
        <v>16573.139229524477</v>
      </c>
      <c r="AN182" s="83">
        <f t="shared" si="154"/>
        <v>0.38730284340666155</v>
      </c>
      <c r="AO182" s="83">
        <f t="shared" si="155"/>
        <v>0.24648822890098146</v>
      </c>
      <c r="AP182" s="90">
        <f t="shared" si="181"/>
        <v>52.387020455105549</v>
      </c>
      <c r="AQ182" s="90">
        <f t="shared" si="182"/>
        <v>52.387020455105549</v>
      </c>
      <c r="AR182" s="10">
        <f t="shared" si="183"/>
        <v>13122.063492063493</v>
      </c>
      <c r="AS182" s="10">
        <f t="shared" si="184"/>
        <v>20904.825396825396</v>
      </c>
      <c r="AT182" s="60">
        <f t="shared" si="185"/>
        <v>9226.904104045283</v>
      </c>
      <c r="AU182" s="85">
        <f t="shared" si="186"/>
        <v>9134.635063004831</v>
      </c>
      <c r="AV182" s="85">
        <f t="shared" si="145"/>
        <v>9226.904104045283</v>
      </c>
      <c r="AW182" s="10"/>
      <c r="AX182" s="60">
        <f t="shared" si="156"/>
        <v>2497.125</v>
      </c>
      <c r="AZ182" s="99">
        <f t="shared" ca="1" si="137"/>
        <v>72.088720939784778</v>
      </c>
      <c r="BA182" s="99">
        <f t="shared" ca="1" si="138"/>
        <v>72.088720939784778</v>
      </c>
      <c r="BB182" s="100">
        <f t="shared" ca="1" si="139"/>
        <v>16407.407837229232</v>
      </c>
      <c r="BC182" s="100">
        <f t="shared" ca="1" si="140"/>
        <v>16573.139229524477</v>
      </c>
    </row>
    <row r="183" spans="1:55" ht="11.4" x14ac:dyDescent="0.25">
      <c r="A183" s="1"/>
      <c r="B183" s="1">
        <v>127</v>
      </c>
      <c r="C183" s="66"/>
      <c r="D183" s="83">
        <f t="shared" si="146"/>
        <v>0</v>
      </c>
      <c r="E183" s="83">
        <f t="shared" si="147"/>
        <v>0</v>
      </c>
      <c r="F183" s="90">
        <f t="shared" si="157"/>
        <v>1.7205109280833859</v>
      </c>
      <c r="G183" s="90">
        <f t="shared" si="158"/>
        <v>1.7205109280833859</v>
      </c>
      <c r="H183" s="10">
        <f t="shared" si="159"/>
        <v>834.70866141732279</v>
      </c>
      <c r="I183" s="10">
        <f t="shared" si="160"/>
        <v>1329.7637795275591</v>
      </c>
      <c r="J183" s="60">
        <f t="shared" si="161"/>
        <v>10.387808252029279</v>
      </c>
      <c r="K183" s="85">
        <f t="shared" si="162"/>
        <v>10.283930169508986</v>
      </c>
      <c r="L183" s="85">
        <f t="shared" si="141"/>
        <v>10.387808252029279</v>
      </c>
      <c r="M183" s="83">
        <f t="shared" si="148"/>
        <v>2.0581648232037102E-2</v>
      </c>
      <c r="N183" s="83">
        <f t="shared" si="149"/>
        <v>1.3984383375863961E-2</v>
      </c>
      <c r="O183" s="90">
        <f t="shared" si="163"/>
        <v>13.464192019125843</v>
      </c>
      <c r="P183" s="90">
        <f t="shared" si="164"/>
        <v>13.464192019125843</v>
      </c>
      <c r="Q183" s="10">
        <f t="shared" si="165"/>
        <v>5670.0787401574808</v>
      </c>
      <c r="R183" s="10">
        <f t="shared" si="166"/>
        <v>9033.2677165354326</v>
      </c>
      <c r="S183" s="60">
        <f t="shared" si="167"/>
        <v>2908.6855693949947</v>
      </c>
      <c r="T183" s="85">
        <f t="shared" si="168"/>
        <v>2879.5987137010447</v>
      </c>
      <c r="U183" s="85">
        <f t="shared" si="142"/>
        <v>2908.6855693949947</v>
      </c>
      <c r="V183" s="83">
        <f t="shared" si="150"/>
        <v>0.18247906982296072</v>
      </c>
      <c r="W183" s="83">
        <f t="shared" si="151"/>
        <v>0.1166333589769922</v>
      </c>
      <c r="X183" s="90">
        <f t="shared" si="169"/>
        <v>42.901408629269241</v>
      </c>
      <c r="Y183" s="90">
        <f t="shared" si="170"/>
        <v>42.901408629269241</v>
      </c>
      <c r="Z183" s="10">
        <f t="shared" si="171"/>
        <v>11981.299212598426</v>
      </c>
      <c r="AA183" s="10">
        <f t="shared" si="172"/>
        <v>19087.677165354329</v>
      </c>
      <c r="AB183" s="60">
        <f t="shared" si="173"/>
        <v>5711.2734825469652</v>
      </c>
      <c r="AC183" s="85">
        <f t="shared" si="174"/>
        <v>5654.1607477214957</v>
      </c>
      <c r="AD183" s="85">
        <f t="shared" si="143"/>
        <v>5711.2734825469652</v>
      </c>
      <c r="AE183" s="83">
        <f t="shared" si="152"/>
        <v>0.79632433241900458</v>
      </c>
      <c r="AF183" s="83">
        <f t="shared" si="153"/>
        <v>0.50583404397803122</v>
      </c>
      <c r="AG183" s="90">
        <f t="shared" si="175"/>
        <v>71.521093215849461</v>
      </c>
      <c r="AH183" s="90">
        <f t="shared" si="176"/>
        <v>71.521093215849461</v>
      </c>
      <c r="AI183" s="10">
        <f t="shared" si="177"/>
        <v>22589.763779527559</v>
      </c>
      <c r="AJ183" s="10">
        <f t="shared" si="178"/>
        <v>35988.188976377955</v>
      </c>
      <c r="AK183" s="60">
        <f t="shared" si="179"/>
        <v>16337.479240438526</v>
      </c>
      <c r="AL183" s="85">
        <f t="shared" si="180"/>
        <v>16174.104448034141</v>
      </c>
      <c r="AM183" s="85">
        <f t="shared" si="144"/>
        <v>16337.479240438526</v>
      </c>
      <c r="AN183" s="83">
        <f t="shared" si="154"/>
        <v>0.37798781009377563</v>
      </c>
      <c r="AO183" s="83">
        <f t="shared" si="155"/>
        <v>0.24059315841453499</v>
      </c>
      <c r="AP183" s="90">
        <f t="shared" si="181"/>
        <v>51.974524231049607</v>
      </c>
      <c r="AQ183" s="90">
        <f t="shared" si="182"/>
        <v>51.974524231049607</v>
      </c>
      <c r="AR183" s="10">
        <f t="shared" si="183"/>
        <v>13018.740157480315</v>
      </c>
      <c r="AS183" s="10">
        <f t="shared" si="184"/>
        <v>20740.220472440946</v>
      </c>
      <c r="AT183" s="60">
        <f t="shared" si="185"/>
        <v>9095.7031233292873</v>
      </c>
      <c r="AU183" s="85">
        <f t="shared" si="186"/>
        <v>9004.7460920959948</v>
      </c>
      <c r="AV183" s="85">
        <f t="shared" si="145"/>
        <v>9095.7031233292873</v>
      </c>
      <c r="AW183" s="10"/>
      <c r="AX183" s="60">
        <f t="shared" si="156"/>
        <v>2526.875</v>
      </c>
      <c r="AZ183" s="99">
        <f t="shared" ca="1" si="137"/>
        <v>71.521093215849461</v>
      </c>
      <c r="BA183" s="99">
        <f t="shared" ca="1" si="138"/>
        <v>71.521093215849461</v>
      </c>
      <c r="BB183" s="100">
        <f t="shared" ca="1" si="139"/>
        <v>16174.104448034141</v>
      </c>
      <c r="BC183" s="100">
        <f t="shared" ca="1" si="140"/>
        <v>16337.479240438526</v>
      </c>
    </row>
    <row r="184" spans="1:55" ht="11.4" x14ac:dyDescent="0.25">
      <c r="A184" s="1"/>
      <c r="B184" s="1">
        <v>128</v>
      </c>
      <c r="C184" s="66"/>
      <c r="D184" s="83">
        <f t="shared" ref="D184:D206" si="187">MAX((K184-$AX184)/M_empty*3.6,0)</f>
        <v>0</v>
      </c>
      <c r="E184" s="83">
        <f t="shared" ref="E184:E206" si="188">MAX((L184-$AX184)/M_full*3.6,0)</f>
        <v>0</v>
      </c>
      <c r="F184" s="90">
        <f t="shared" si="157"/>
        <v>1.7070694364577343</v>
      </c>
      <c r="G184" s="90">
        <f t="shared" si="158"/>
        <v>1.7070694364577343</v>
      </c>
      <c r="H184" s="10">
        <f t="shared" si="159"/>
        <v>828.1875</v>
      </c>
      <c r="I184" s="10">
        <f t="shared" si="160"/>
        <v>1319.375</v>
      </c>
      <c r="J184" s="60">
        <f t="shared" si="161"/>
        <v>10.186108612999643</v>
      </c>
      <c r="K184" s="85">
        <f t="shared" si="162"/>
        <v>10.084247526869646</v>
      </c>
      <c r="L184" s="85">
        <f t="shared" si="141"/>
        <v>10.186108612999643</v>
      </c>
      <c r="M184" s="83">
        <f t="shared" ref="M184:M206" si="189">MAX((T184-$AX184)/M_empty*3.6,0)</f>
        <v>1.6761758197398766E-2</v>
      </c>
      <c r="N184" s="83">
        <f t="shared" ref="N184:N206" si="190">MAX((U184-$AX184)/M_full*3.6,0)</f>
        <v>1.1573530221784171E-2</v>
      </c>
      <c r="O184" s="90">
        <f t="shared" si="163"/>
        <v>13.359003018976422</v>
      </c>
      <c r="P184" s="90">
        <f t="shared" si="164"/>
        <v>13.359003018976422</v>
      </c>
      <c r="Q184" s="10">
        <f t="shared" si="165"/>
        <v>5625.78125</v>
      </c>
      <c r="R184" s="10">
        <f t="shared" si="166"/>
        <v>8962.6953125</v>
      </c>
      <c r="S184" s="60">
        <f t="shared" si="167"/>
        <v>2872.8629163150154</v>
      </c>
      <c r="T184" s="85">
        <f t="shared" si="168"/>
        <v>2844.134287151865</v>
      </c>
      <c r="U184" s="85">
        <f t="shared" si="142"/>
        <v>2872.8629163150154</v>
      </c>
      <c r="V184" s="83">
        <f t="shared" ref="V184:V206" si="191">MAX((AC184-$AX184)/M_empty*3.6,0)</f>
        <v>0.17559362874486142</v>
      </c>
      <c r="W184" s="83">
        <f t="shared" ref="W184:W206" si="192">MAX((AD184-$AX184)/M_full*3.6,0)</f>
        <v>0.11227883265522386</v>
      </c>
      <c r="X184" s="90">
        <f t="shared" si="169"/>
        <v>42.566241374353076</v>
      </c>
      <c r="Y184" s="90">
        <f t="shared" si="170"/>
        <v>42.566241374353076</v>
      </c>
      <c r="Z184" s="10">
        <f t="shared" si="171"/>
        <v>11887.6953125</v>
      </c>
      <c r="AA184" s="10">
        <f t="shared" si="172"/>
        <v>18938.5546875</v>
      </c>
      <c r="AB184" s="60">
        <f t="shared" si="173"/>
        <v>5622.3834228515625</v>
      </c>
      <c r="AC184" s="85">
        <f t="shared" si="174"/>
        <v>5566.1595886230471</v>
      </c>
      <c r="AD184" s="85">
        <f t="shared" si="143"/>
        <v>5622.3834228515625</v>
      </c>
      <c r="AE184" s="83">
        <f t="shared" ref="AE184:AE206" si="193">MAX((AL184-$AX184)/M_empty*3.6,0)</f>
        <v>0.78125849861238983</v>
      </c>
      <c r="AF184" s="83">
        <f t="shared" ref="AF184:AF206" si="194">MAX((AM184-$AX184)/M_full*3.6,0)</f>
        <v>0.49629284497583703</v>
      </c>
      <c r="AG184" s="90">
        <f t="shared" si="175"/>
        <v>70.962334675100635</v>
      </c>
      <c r="AH184" s="90">
        <f t="shared" si="176"/>
        <v>70.962334675100635</v>
      </c>
      <c r="AI184" s="10">
        <f t="shared" si="177"/>
        <v>22413.28125</v>
      </c>
      <c r="AJ184" s="10">
        <f t="shared" si="178"/>
        <v>35707.03125</v>
      </c>
      <c r="AK184" s="60">
        <f t="shared" si="179"/>
        <v>16106.979329514592</v>
      </c>
      <c r="AL184" s="85">
        <f t="shared" si="180"/>
        <v>15945.909536219446</v>
      </c>
      <c r="AM184" s="85">
        <f t="shared" si="144"/>
        <v>16106.979329514592</v>
      </c>
      <c r="AN184" s="83">
        <f t="shared" ref="AN184:AN206" si="195">MAX((AU184-$AX184)/M_empty*3.6,0)</f>
        <v>0.36882414330528435</v>
      </c>
      <c r="AO184" s="83">
        <f t="shared" ref="AO184:AO206" si="196">MAX((AV184-$AX184)/M_full*3.6,0)</f>
        <v>0.23479415241506804</v>
      </c>
      <c r="AP184" s="90">
        <f t="shared" si="181"/>
        <v>51.568473260494528</v>
      </c>
      <c r="AQ184" s="90">
        <f t="shared" si="182"/>
        <v>51.568473260494528</v>
      </c>
      <c r="AR184" s="10">
        <f t="shared" si="183"/>
        <v>12917.03125</v>
      </c>
      <c r="AS184" s="10">
        <f t="shared" si="184"/>
        <v>20578.1875</v>
      </c>
      <c r="AT184" s="60">
        <f t="shared" si="185"/>
        <v>8967.374956611342</v>
      </c>
      <c r="AU184" s="85">
        <f t="shared" si="186"/>
        <v>8877.7012070452292</v>
      </c>
      <c r="AV184" s="85">
        <f t="shared" si="145"/>
        <v>8967.374956611342</v>
      </c>
      <c r="AW184" s="10"/>
      <c r="AX184" s="60">
        <f t="shared" si="156"/>
        <v>2556.875</v>
      </c>
      <c r="AZ184" s="99">
        <f t="shared" ca="1" si="137"/>
        <v>70.962334675100635</v>
      </c>
      <c r="BA184" s="99">
        <f t="shared" ca="1" si="138"/>
        <v>70.962334675100635</v>
      </c>
      <c r="BB184" s="100">
        <f t="shared" ca="1" si="139"/>
        <v>15945.909536219446</v>
      </c>
      <c r="BC184" s="100">
        <f t="shared" ca="1" si="140"/>
        <v>16106.979329514592</v>
      </c>
    </row>
    <row r="185" spans="1:55" ht="11.4" x14ac:dyDescent="0.25">
      <c r="A185" s="1"/>
      <c r="B185" s="1">
        <v>129</v>
      </c>
      <c r="C185" s="66"/>
      <c r="D185" s="83">
        <f t="shared" si="187"/>
        <v>0</v>
      </c>
      <c r="E185" s="83">
        <f t="shared" si="188"/>
        <v>0</v>
      </c>
      <c r="F185" s="90">
        <f t="shared" ref="F185:F206" si="197">MIN(E$41*E$45/Speed,F$56)</f>
        <v>1.6938363400510852</v>
      </c>
      <c r="G185" s="90">
        <f t="shared" ref="G185:G206" si="198">MIN(E$41*E$45/Speed,G$56)</f>
        <v>1.6938363400510852</v>
      </c>
      <c r="H185" s="10">
        <f t="shared" ref="H185:H206" si="199">D$39*D$40/Speed</f>
        <v>821.76744186046517</v>
      </c>
      <c r="I185" s="10">
        <f t="shared" ref="I185:I206" si="200">E$39*E$40/Speed</f>
        <v>1309.1472868217054</v>
      </c>
      <c r="J185" s="60">
        <f t="shared" ref="J185:J206" si="201">(E$39*E$40/Speed)*(E$45^(E$47-1)/Speed^(E$47-1))</f>
        <v>9.9898496277427551</v>
      </c>
      <c r="K185" s="85">
        <f t="shared" ref="K185:K206" si="202">MIN(D$39,MAX(H185,L185*F185/G185),J185*D$46)</f>
        <v>9.8899511314653274</v>
      </c>
      <c r="L185" s="85">
        <f t="shared" si="141"/>
        <v>9.9898496277427551</v>
      </c>
      <c r="M185" s="83">
        <f t="shared" si="189"/>
        <v>1.2968574669828424E-2</v>
      </c>
      <c r="N185" s="83">
        <f t="shared" si="190"/>
        <v>9.17970247579529E-3</v>
      </c>
      <c r="O185" s="90">
        <f t="shared" ref="O185:O206" si="203">MIN(N$41*N$45/Speed,O$56)</f>
        <v>13.25544485603862</v>
      </c>
      <c r="P185" s="90">
        <f t="shared" ref="P185:P206" si="204">MIN(N$41*N$45/Speed,P$56)</f>
        <v>13.25544485603862</v>
      </c>
      <c r="Q185" s="10">
        <f t="shared" ref="Q185:Q206" si="205">M$39*M$40/Speed</f>
        <v>5582.1705426356593</v>
      </c>
      <c r="R185" s="10">
        <f t="shared" ref="R185:R206" si="206">N$39*N$40/Speed</f>
        <v>8893.2170542635668</v>
      </c>
      <c r="S185" s="60">
        <f t="shared" ref="S185:S206" si="207">(N$39*N$40/Speed)*(N$45^(N$47-1)/Speed^(N$47-1))</f>
        <v>2837.7551018040781</v>
      </c>
      <c r="T185" s="85">
        <f t="shared" ref="T185:T206" si="208">MIN(M$39,MAX(Q185,U185*O185/P185),S185*M$46)</f>
        <v>2809.3775507860373</v>
      </c>
      <c r="U185" s="85">
        <f t="shared" si="142"/>
        <v>2837.7551018040781</v>
      </c>
      <c r="V185" s="83">
        <f t="shared" si="191"/>
        <v>0.16881255335044287</v>
      </c>
      <c r="W185" s="83">
        <f t="shared" si="192"/>
        <v>0.10799057054255386</v>
      </c>
      <c r="X185" s="90">
        <f t="shared" ref="X185:X206" si="209">MIN(W$41*W$45/Speed,X$56)</f>
        <v>42.236270510985996</v>
      </c>
      <c r="Y185" s="90">
        <f t="shared" ref="Y185:Y206" si="210">MIN(W$41*W$45/Speed,Y$56)</f>
        <v>42.236270510985996</v>
      </c>
      <c r="Z185" s="10">
        <f t="shared" ref="Z185:Z206" si="211">V$39*V$40/Speed</f>
        <v>11795.542635658914</v>
      </c>
      <c r="AA185" s="10">
        <f t="shared" ref="AA185:AA206" si="212">W$39*W$40/Speed</f>
        <v>18791.744186046511</v>
      </c>
      <c r="AB185" s="60">
        <f t="shared" ref="AB185:AB206" si="213">(W$39*W$40/Speed)*(W$45^(W$47-1)/Speed^(W$47-1))</f>
        <v>5535.5525509284298</v>
      </c>
      <c r="AC185" s="85">
        <f t="shared" ref="AC185:AC206" si="214">MIN(V$39,MAX(Z185,AD185*X185/Y185),AB185*V$46)</f>
        <v>5480.1970254191456</v>
      </c>
      <c r="AD185" s="85">
        <f t="shared" si="143"/>
        <v>5535.5525509284298</v>
      </c>
      <c r="AE185" s="83">
        <f t="shared" si="193"/>
        <v>0.76646738011358528</v>
      </c>
      <c r="AF185" s="83">
        <f t="shared" si="194"/>
        <v>0.48692591816853292</v>
      </c>
      <c r="AG185" s="90">
        <f t="shared" ref="AG185:AG206" si="215">MIN(AF$41*AF$45/Speed,AG$56)</f>
        <v>70.412239057464191</v>
      </c>
      <c r="AH185" s="90">
        <f t="shared" ref="AH185:AH206" si="216">MIN(AF$41*AF$45/Speed,AH$56)</f>
        <v>70.412239057464191</v>
      </c>
      <c r="AI185" s="10">
        <f t="shared" ref="AI185:AI206" si="217">AE$39*AE$40/Speed</f>
        <v>22239.534883720931</v>
      </c>
      <c r="AJ185" s="10">
        <f t="shared" ref="AJ185:AJ206" si="218">AF$39*AF$40/Speed</f>
        <v>35430.232558139534</v>
      </c>
      <c r="AK185" s="60">
        <f t="shared" ref="AK185:AK206" si="219">(AF$39*AF$40/Speed)*(AF$45^(AF$47-1)/Speed^(AF$47-1))</f>
        <v>15881.487509396116</v>
      </c>
      <c r="AL185" s="85">
        <f t="shared" ref="AL185:AL206" si="220">MIN(AE$39,MAX(AI185,AM185*AG185/AH185),AK185*AE$46)</f>
        <v>15722.672634302155</v>
      </c>
      <c r="AM185" s="85">
        <f t="shared" si="144"/>
        <v>15881.487509396116</v>
      </c>
      <c r="AN185" s="83">
        <f t="shared" si="195"/>
        <v>0.35980695494912146</v>
      </c>
      <c r="AO185" s="83">
        <f t="shared" si="196"/>
        <v>0.22908811167074422</v>
      </c>
      <c r="AP185" s="90">
        <f t="shared" ref="AP185:AP206" si="221">MIN(AO$41*AO$45/Speed,AP$56)</f>
        <v>51.168717653824025</v>
      </c>
      <c r="AQ185" s="90">
        <f t="shared" ref="AQ185:AQ206" si="222">MIN(AO$41*AO$45/Speed,AQ$56)</f>
        <v>51.168717653824025</v>
      </c>
      <c r="AR185" s="10">
        <f t="shared" ref="AR185:AR206" si="223">AN$39*AN$40/Speed</f>
        <v>12816.899224806202</v>
      </c>
      <c r="AS185" s="10">
        <f t="shared" ref="AS185:AS206" si="224">AO$39*AO$40/Speed</f>
        <v>20418.666666666668</v>
      </c>
      <c r="AT185" s="60">
        <f t="shared" ref="AT185:AT206" si="225">(AO$39*AO$40/Speed)*(AO$45^(AO$47-1)/Speed^(AO$47-1))</f>
        <v>8841.8349866837816</v>
      </c>
      <c r="AU185" s="85">
        <f t="shared" ref="AU185:AU206" si="226">MIN(AN$39,MAX(AR185,AV185*AP185/AQ185),AT185*AN$46)</f>
        <v>8753.4166368169444</v>
      </c>
      <c r="AV185" s="85">
        <f t="shared" si="145"/>
        <v>8841.8349866837816</v>
      </c>
      <c r="AW185" s="10"/>
      <c r="AX185" s="60">
        <f t="shared" si="156"/>
        <v>2587.125</v>
      </c>
      <c r="AZ185" s="99">
        <f t="shared" ref="AZ185:AZ206" ca="1" si="227">OFFSET(F185,0,($AZ$32-1)*9)</f>
        <v>70.412239057464191</v>
      </c>
      <c r="BA185" s="99">
        <f t="shared" ref="BA185:BA206" ca="1" si="228">OFFSET(G185,0,($AZ$32-1)*9)</f>
        <v>70.412239057464191</v>
      </c>
      <c r="BB185" s="100">
        <f t="shared" ref="BB185:BB206" ca="1" si="229">OFFSET(K185,0,($AZ$32-1)*9)</f>
        <v>15722.672634302155</v>
      </c>
      <c r="BC185" s="100">
        <f t="shared" ref="BC185:BC206" ca="1" si="230">OFFSET(L185,0,($AZ$32-1)*9)</f>
        <v>15881.487509396116</v>
      </c>
    </row>
    <row r="186" spans="1:55" ht="11.4" x14ac:dyDescent="0.25">
      <c r="A186" s="1"/>
      <c r="B186" s="1">
        <v>130</v>
      </c>
      <c r="C186" s="66"/>
      <c r="D186" s="83">
        <f t="shared" si="187"/>
        <v>0</v>
      </c>
      <c r="E186" s="83">
        <f t="shared" si="188"/>
        <v>0</v>
      </c>
      <c r="F186" s="90">
        <f t="shared" si="197"/>
        <v>1.6808068297429999</v>
      </c>
      <c r="G186" s="90">
        <f t="shared" si="198"/>
        <v>1.6808068297429999</v>
      </c>
      <c r="H186" s="10">
        <f t="shared" si="199"/>
        <v>815.44615384615383</v>
      </c>
      <c r="I186" s="10">
        <f t="shared" si="200"/>
        <v>1299.0769230769231</v>
      </c>
      <c r="J186" s="60">
        <f t="shared" si="201"/>
        <v>9.7988440538865493</v>
      </c>
      <c r="K186" s="85">
        <f t="shared" si="202"/>
        <v>9.7008556133476844</v>
      </c>
      <c r="L186" s="85">
        <f t="shared" si="141"/>
        <v>9.7988440538865493</v>
      </c>
      <c r="M186" s="83">
        <f t="shared" si="189"/>
        <v>9.2082568455537517E-3</v>
      </c>
      <c r="N186" s="83">
        <f t="shared" si="190"/>
        <v>6.806759051384885E-3</v>
      </c>
      <c r="O186" s="90">
        <f t="shared" si="203"/>
        <v>13.153479895607553</v>
      </c>
      <c r="P186" s="90">
        <f t="shared" si="204"/>
        <v>13.153479895607553</v>
      </c>
      <c r="Q186" s="10">
        <f t="shared" si="205"/>
        <v>5539.2307692307695</v>
      </c>
      <c r="R186" s="10">
        <f t="shared" si="206"/>
        <v>8824.8076923076915</v>
      </c>
      <c r="S186" s="60">
        <f t="shared" si="207"/>
        <v>2803.3424843836374</v>
      </c>
      <c r="T186" s="85">
        <f t="shared" si="208"/>
        <v>2775.3090595398012</v>
      </c>
      <c r="U186" s="85">
        <f t="shared" si="142"/>
        <v>2803.3424843836374</v>
      </c>
      <c r="V186" s="83">
        <f t="shared" si="191"/>
        <v>0.16213949147873755</v>
      </c>
      <c r="W186" s="83">
        <f t="shared" si="192"/>
        <v>0.10377083925877581</v>
      </c>
      <c r="X186" s="90">
        <f t="shared" si="209"/>
        <v>41.911376122439954</v>
      </c>
      <c r="Y186" s="90">
        <f t="shared" si="210"/>
        <v>41.911376122439954</v>
      </c>
      <c r="Z186" s="10">
        <f t="shared" si="211"/>
        <v>11704.807692307691</v>
      </c>
      <c r="AA186" s="10">
        <f t="shared" si="212"/>
        <v>18647.192307692309</v>
      </c>
      <c r="AB186" s="60">
        <f t="shared" si="213"/>
        <v>5450.7177514792902</v>
      </c>
      <c r="AC186" s="85">
        <f t="shared" si="214"/>
        <v>5396.2105739644976</v>
      </c>
      <c r="AD186" s="85">
        <f t="shared" si="143"/>
        <v>5450.7177514792902</v>
      </c>
      <c r="AE186" s="83">
        <f t="shared" si="193"/>
        <v>0.75194981482718037</v>
      </c>
      <c r="AF186" s="83">
        <f t="shared" si="194"/>
        <v>0.47773248049891087</v>
      </c>
      <c r="AG186" s="90">
        <f t="shared" si="215"/>
        <v>69.870606449329856</v>
      </c>
      <c r="AH186" s="90">
        <f t="shared" si="216"/>
        <v>69.870606449329856</v>
      </c>
      <c r="AI186" s="10">
        <f t="shared" si="217"/>
        <v>22068.461538461539</v>
      </c>
      <c r="AJ186" s="10">
        <f t="shared" si="218"/>
        <v>35157.692307692305</v>
      </c>
      <c r="AK186" s="60">
        <f t="shared" si="219"/>
        <v>15660.857400554916</v>
      </c>
      <c r="AL186" s="85">
        <f t="shared" si="220"/>
        <v>15504.248826549367</v>
      </c>
      <c r="AM186" s="85">
        <f t="shared" si="144"/>
        <v>15660.857400554916</v>
      </c>
      <c r="AN186" s="83">
        <f t="shared" si="195"/>
        <v>0.35093883111537394</v>
      </c>
      <c r="AO186" s="83">
        <f t="shared" si="196"/>
        <v>0.22347662961310907</v>
      </c>
      <c r="AP186" s="90">
        <f t="shared" si="221"/>
        <v>50.775112133409998</v>
      </c>
      <c r="AQ186" s="90">
        <f t="shared" si="222"/>
        <v>50.775112133409998</v>
      </c>
      <c r="AR186" s="10">
        <f t="shared" si="223"/>
        <v>12718.307692307691</v>
      </c>
      <c r="AS186" s="10">
        <f t="shared" si="224"/>
        <v>20261.599999999999</v>
      </c>
      <c r="AT186" s="60">
        <f t="shared" si="225"/>
        <v>8719.0017184326898</v>
      </c>
      <c r="AU186" s="85">
        <f t="shared" si="226"/>
        <v>8631.8117012483635</v>
      </c>
      <c r="AV186" s="85">
        <f t="shared" si="145"/>
        <v>8719.0017184326898</v>
      </c>
      <c r="AW186" s="10"/>
      <c r="AX186" s="60">
        <f t="shared" si="156"/>
        <v>2617.5</v>
      </c>
      <c r="AZ186" s="99">
        <f t="shared" ca="1" si="227"/>
        <v>69.870606449329856</v>
      </c>
      <c r="BA186" s="99">
        <f t="shared" ca="1" si="228"/>
        <v>69.870606449329856</v>
      </c>
      <c r="BB186" s="100">
        <f t="shared" ca="1" si="229"/>
        <v>15504.248826549367</v>
      </c>
      <c r="BC186" s="100">
        <f t="shared" ca="1" si="230"/>
        <v>15660.857400554916</v>
      </c>
    </row>
    <row r="187" spans="1:55" ht="11.4" x14ac:dyDescent="0.25">
      <c r="A187" s="1"/>
      <c r="B187" s="1">
        <v>131</v>
      </c>
      <c r="C187" s="66"/>
      <c r="D187" s="83">
        <f t="shared" si="187"/>
        <v>0</v>
      </c>
      <c r="E187" s="83">
        <f t="shared" si="188"/>
        <v>0</v>
      </c>
      <c r="F187" s="90">
        <f t="shared" si="197"/>
        <v>1.6679762432564122</v>
      </c>
      <c r="G187" s="90">
        <f t="shared" si="198"/>
        <v>1.6679762432564122</v>
      </c>
      <c r="H187" s="10">
        <f t="shared" si="199"/>
        <v>809.22137404580155</v>
      </c>
      <c r="I187" s="10">
        <f t="shared" si="200"/>
        <v>1289.1603053435115</v>
      </c>
      <c r="J187" s="60">
        <f t="shared" si="201"/>
        <v>9.6129124652549027</v>
      </c>
      <c r="K187" s="85">
        <f t="shared" si="202"/>
        <v>9.5167833406023536</v>
      </c>
      <c r="L187" s="85">
        <f t="shared" si="141"/>
        <v>9.6129124652549027</v>
      </c>
      <c r="M187" s="83">
        <f t="shared" si="189"/>
        <v>5.4724158457468697E-3</v>
      </c>
      <c r="N187" s="83">
        <f t="shared" si="190"/>
        <v>4.4494273335216952E-3</v>
      </c>
      <c r="O187" s="90">
        <f t="shared" si="203"/>
        <v>13.053071652129633</v>
      </c>
      <c r="P187" s="90">
        <f t="shared" si="204"/>
        <v>13.053071652129633</v>
      </c>
      <c r="Q187" s="10">
        <f t="shared" si="205"/>
        <v>5496.9465648854966</v>
      </c>
      <c r="R187" s="10">
        <f t="shared" si="206"/>
        <v>8757.4427480916038</v>
      </c>
      <c r="S187" s="60">
        <f t="shared" si="207"/>
        <v>2769.6061077494946</v>
      </c>
      <c r="T187" s="85">
        <f t="shared" si="208"/>
        <v>2741.9100466719997</v>
      </c>
      <c r="U187" s="85">
        <f t="shared" si="142"/>
        <v>2769.6061077494946</v>
      </c>
      <c r="V187" s="83">
        <f t="shared" si="191"/>
        <v>0.15556364193984129</v>
      </c>
      <c r="W187" s="83">
        <f t="shared" si="192"/>
        <v>9.9612836694081025E-2</v>
      </c>
      <c r="X187" s="90">
        <f t="shared" si="209"/>
        <v>41.591441953566367</v>
      </c>
      <c r="Y187" s="90">
        <f t="shared" si="210"/>
        <v>41.591441953566367</v>
      </c>
      <c r="Z187" s="10">
        <f t="shared" si="211"/>
        <v>11615.458015267175</v>
      </c>
      <c r="AA187" s="10">
        <f t="shared" si="212"/>
        <v>18504.847328244276</v>
      </c>
      <c r="AB187" s="60">
        <f t="shared" si="213"/>
        <v>5367.8183089563545</v>
      </c>
      <c r="AC187" s="85">
        <f t="shared" si="214"/>
        <v>5314.1401258667911</v>
      </c>
      <c r="AD187" s="85">
        <f t="shared" si="143"/>
        <v>5367.8183089563545</v>
      </c>
      <c r="AE187" s="83">
        <f t="shared" si="193"/>
        <v>0.73769036262345034</v>
      </c>
      <c r="AF187" s="83">
        <f t="shared" si="194"/>
        <v>0.46870278859709863</v>
      </c>
      <c r="AG187" s="90">
        <f t="shared" si="215"/>
        <v>69.337243041319709</v>
      </c>
      <c r="AH187" s="90">
        <f t="shared" si="216"/>
        <v>69.337243041319709</v>
      </c>
      <c r="AI187" s="10">
        <f t="shared" si="217"/>
        <v>21900</v>
      </c>
      <c r="AJ187" s="10">
        <f t="shared" si="218"/>
        <v>34889.312977099238</v>
      </c>
      <c r="AK187" s="60">
        <f t="shared" si="219"/>
        <v>15444.947983281814</v>
      </c>
      <c r="AL187" s="85">
        <f t="shared" si="220"/>
        <v>15290.498503448996</v>
      </c>
      <c r="AM187" s="85">
        <f t="shared" si="144"/>
        <v>15444.947983281814</v>
      </c>
      <c r="AN187" s="83">
        <f t="shared" si="195"/>
        <v>0.34220794261660809</v>
      </c>
      <c r="AO187" s="83">
        <f t="shared" si="196"/>
        <v>0.21795225234375665</v>
      </c>
      <c r="AP187" s="90">
        <f t="shared" si="221"/>
        <v>50.387515857582443</v>
      </c>
      <c r="AQ187" s="90">
        <f t="shared" si="222"/>
        <v>50.387515857582443</v>
      </c>
      <c r="AR187" s="10">
        <f t="shared" si="223"/>
        <v>12621.221374045801</v>
      </c>
      <c r="AS187" s="10">
        <f t="shared" si="224"/>
        <v>20106.931297709925</v>
      </c>
      <c r="AT187" s="60">
        <f t="shared" si="225"/>
        <v>8598.796640761575</v>
      </c>
      <c r="AU187" s="85">
        <f t="shared" si="226"/>
        <v>8512.8086743539588</v>
      </c>
      <c r="AV187" s="85">
        <f t="shared" si="145"/>
        <v>8598.796640761575</v>
      </c>
      <c r="AW187" s="10"/>
      <c r="AX187" s="60">
        <f t="shared" si="156"/>
        <v>2648.125</v>
      </c>
      <c r="AZ187" s="99">
        <f t="shared" ca="1" si="227"/>
        <v>69.337243041319709</v>
      </c>
      <c r="BA187" s="99">
        <f t="shared" ca="1" si="228"/>
        <v>69.337243041319709</v>
      </c>
      <c r="BB187" s="100">
        <f t="shared" ca="1" si="229"/>
        <v>15290.498503448996</v>
      </c>
      <c r="BC187" s="100">
        <f t="shared" ca="1" si="230"/>
        <v>15444.947983281814</v>
      </c>
    </row>
    <row r="188" spans="1:55" ht="11.4" x14ac:dyDescent="0.25">
      <c r="A188" s="1"/>
      <c r="B188" s="1">
        <v>132</v>
      </c>
      <c r="C188" s="66"/>
      <c r="D188" s="83">
        <f t="shared" si="187"/>
        <v>0</v>
      </c>
      <c r="E188" s="83">
        <f t="shared" si="188"/>
        <v>0</v>
      </c>
      <c r="F188" s="90">
        <f t="shared" si="197"/>
        <v>1.6553400595953787</v>
      </c>
      <c r="G188" s="90">
        <f t="shared" si="198"/>
        <v>1.6553400595953787</v>
      </c>
      <c r="H188" s="10">
        <f t="shared" si="199"/>
        <v>803.09090909090912</v>
      </c>
      <c r="I188" s="10">
        <f t="shared" si="200"/>
        <v>1279.3939393939395</v>
      </c>
      <c r="J188" s="60">
        <f t="shared" si="201"/>
        <v>9.4318828691745598</v>
      </c>
      <c r="K188" s="85">
        <f t="shared" si="202"/>
        <v>9.337564040482814</v>
      </c>
      <c r="L188" s="85">
        <f t="shared" si="141"/>
        <v>9.4318828691745598</v>
      </c>
      <c r="M188" s="83">
        <f t="shared" si="189"/>
        <v>1.7672883582482786E-3</v>
      </c>
      <c r="N188" s="83">
        <f t="shared" si="190"/>
        <v>2.1116153682526079E-3</v>
      </c>
      <c r="O188" s="90">
        <f t="shared" si="203"/>
        <v>12.954184745674105</v>
      </c>
      <c r="P188" s="90">
        <f t="shared" si="204"/>
        <v>12.954184745674105</v>
      </c>
      <c r="Q188" s="10">
        <f t="shared" si="205"/>
        <v>5455.30303030303</v>
      </c>
      <c r="R188" s="10">
        <f t="shared" si="206"/>
        <v>8691.0984848484841</v>
      </c>
      <c r="S188" s="60">
        <f t="shared" si="207"/>
        <v>2736.5276718716291</v>
      </c>
      <c r="T188" s="85">
        <f t="shared" si="208"/>
        <v>2709.1623951529127</v>
      </c>
      <c r="U188" s="85">
        <f t="shared" si="142"/>
        <v>2736.5276718716291</v>
      </c>
      <c r="V188" s="83">
        <f t="shared" si="191"/>
        <v>0.14908892354889672</v>
      </c>
      <c r="W188" s="83">
        <f t="shared" si="192"/>
        <v>9.5519001277176718E-2</v>
      </c>
      <c r="X188" s="90">
        <f t="shared" si="209"/>
        <v>41.276355272099956</v>
      </c>
      <c r="Y188" s="90">
        <f t="shared" si="210"/>
        <v>41.276355272099956</v>
      </c>
      <c r="Z188" s="10">
        <f t="shared" si="211"/>
        <v>11527.462121212122</v>
      </c>
      <c r="AA188" s="10">
        <f t="shared" si="212"/>
        <v>18364.659090909092</v>
      </c>
      <c r="AB188" s="60">
        <f t="shared" si="213"/>
        <v>5286.7957988980725</v>
      </c>
      <c r="AC188" s="85">
        <f t="shared" si="214"/>
        <v>5233.9278409090921</v>
      </c>
      <c r="AD188" s="85">
        <f t="shared" si="143"/>
        <v>5286.7957988980725</v>
      </c>
      <c r="AE188" s="83">
        <f t="shared" si="193"/>
        <v>0.72368846705979617</v>
      </c>
      <c r="AF188" s="83">
        <f t="shared" si="194"/>
        <v>0.45983644341225544</v>
      </c>
      <c r="AG188" s="90">
        <f t="shared" si="215"/>
        <v>68.81196089706728</v>
      </c>
      <c r="AH188" s="90">
        <f t="shared" si="216"/>
        <v>68.81196089706728</v>
      </c>
      <c r="AI188" s="10">
        <f t="shared" si="217"/>
        <v>21734.090909090908</v>
      </c>
      <c r="AJ188" s="10">
        <f t="shared" si="218"/>
        <v>34625</v>
      </c>
      <c r="AK188" s="60">
        <f t="shared" si="219"/>
        <v>15233.623362435799</v>
      </c>
      <c r="AL188" s="85">
        <f t="shared" si="220"/>
        <v>15081.28712881144</v>
      </c>
      <c r="AM188" s="85">
        <f t="shared" si="144"/>
        <v>15233.623362435799</v>
      </c>
      <c r="AN188" s="83">
        <f t="shared" si="195"/>
        <v>0.33361721273312822</v>
      </c>
      <c r="AO188" s="83">
        <f t="shared" si="196"/>
        <v>0.21251678708534821</v>
      </c>
      <c r="AP188" s="90">
        <f t="shared" si="221"/>
        <v>50.005792252600756</v>
      </c>
      <c r="AQ188" s="90">
        <f t="shared" si="222"/>
        <v>50.005792252600756</v>
      </c>
      <c r="AR188" s="10">
        <f t="shared" si="223"/>
        <v>12525.60606060606</v>
      </c>
      <c r="AS188" s="10">
        <f t="shared" si="224"/>
        <v>19954.60606060606</v>
      </c>
      <c r="AT188" s="60">
        <f t="shared" si="225"/>
        <v>8481.1440956181486</v>
      </c>
      <c r="AU188" s="85">
        <f t="shared" si="226"/>
        <v>8396.3326546619664</v>
      </c>
      <c r="AV188" s="85">
        <f t="shared" si="145"/>
        <v>8481.1440956181486</v>
      </c>
      <c r="AW188" s="10"/>
      <c r="AX188" s="60">
        <f t="shared" si="156"/>
        <v>2678.875</v>
      </c>
      <c r="AZ188" s="99">
        <f t="shared" ca="1" si="227"/>
        <v>68.81196089706728</v>
      </c>
      <c r="BA188" s="99">
        <f t="shared" ca="1" si="228"/>
        <v>68.81196089706728</v>
      </c>
      <c r="BB188" s="100">
        <f t="shared" ca="1" si="229"/>
        <v>15081.28712881144</v>
      </c>
      <c r="BC188" s="100">
        <f t="shared" ca="1" si="230"/>
        <v>15233.623362435799</v>
      </c>
    </row>
    <row r="189" spans="1:55" ht="11.4" x14ac:dyDescent="0.25">
      <c r="A189" s="1"/>
      <c r="B189" s="1">
        <v>133</v>
      </c>
      <c r="C189" s="66"/>
      <c r="D189" s="83">
        <f t="shared" si="187"/>
        <v>0</v>
      </c>
      <c r="E189" s="83">
        <f t="shared" si="188"/>
        <v>0</v>
      </c>
      <c r="F189" s="90">
        <f t="shared" si="197"/>
        <v>1.6428938937337594</v>
      </c>
      <c r="G189" s="90">
        <f t="shared" si="198"/>
        <v>1.6428938937337594</v>
      </c>
      <c r="H189" s="10">
        <f t="shared" si="199"/>
        <v>797.0526315789474</v>
      </c>
      <c r="I189" s="10">
        <f t="shared" si="200"/>
        <v>1269.7744360902257</v>
      </c>
      <c r="J189" s="60">
        <f t="shared" si="201"/>
        <v>9.2555903452401775</v>
      </c>
      <c r="K189" s="85">
        <f t="shared" si="202"/>
        <v>9.1630344417877758</v>
      </c>
      <c r="L189" s="85">
        <f t="shared" si="141"/>
        <v>9.2555903452401775</v>
      </c>
      <c r="M189" s="83">
        <f t="shared" si="189"/>
        <v>0</v>
      </c>
      <c r="N189" s="83">
        <f t="shared" si="190"/>
        <v>0</v>
      </c>
      <c r="O189" s="90">
        <f t="shared" si="203"/>
        <v>12.856784860368286</v>
      </c>
      <c r="P189" s="90">
        <f t="shared" si="204"/>
        <v>12.856784860368286</v>
      </c>
      <c r="Q189" s="10">
        <f t="shared" si="205"/>
        <v>5414.2857142857147</v>
      </c>
      <c r="R189" s="10">
        <f t="shared" si="206"/>
        <v>8625.7518796992481</v>
      </c>
      <c r="S189" s="60">
        <f t="shared" si="207"/>
        <v>2704.0895055207043</v>
      </c>
      <c r="T189" s="85">
        <f t="shared" si="208"/>
        <v>2677.0486104654974</v>
      </c>
      <c r="U189" s="85">
        <f t="shared" si="142"/>
        <v>2704.0895055207043</v>
      </c>
      <c r="V189" s="83">
        <f t="shared" si="191"/>
        <v>0.14270479386679874</v>
      </c>
      <c r="W189" s="83">
        <f t="shared" si="192"/>
        <v>9.1482694955866709E-2</v>
      </c>
      <c r="X189" s="90">
        <f t="shared" si="209"/>
        <v>40.966006736219505</v>
      </c>
      <c r="Y189" s="90">
        <f t="shared" si="210"/>
        <v>40.966006736219505</v>
      </c>
      <c r="Z189" s="10">
        <f t="shared" si="211"/>
        <v>11440.78947368421</v>
      </c>
      <c r="AA189" s="10">
        <f t="shared" si="212"/>
        <v>18226.57894736842</v>
      </c>
      <c r="AB189" s="60">
        <f t="shared" si="213"/>
        <v>5207.5939849624056</v>
      </c>
      <c r="AC189" s="85">
        <f t="shared" si="214"/>
        <v>5155.5180451127817</v>
      </c>
      <c r="AD189" s="85">
        <f t="shared" si="143"/>
        <v>5207.5939849624056</v>
      </c>
      <c r="AE189" s="83">
        <f t="shared" si="193"/>
        <v>0.70992926717364768</v>
      </c>
      <c r="AF189" s="83">
        <f t="shared" si="194"/>
        <v>0.45112406878798589</v>
      </c>
      <c r="AG189" s="90">
        <f t="shared" si="215"/>
        <v>68.294577732427683</v>
      </c>
      <c r="AH189" s="90">
        <f t="shared" si="216"/>
        <v>68.294577732427683</v>
      </c>
      <c r="AI189" s="10">
        <f t="shared" si="217"/>
        <v>21570.676691729324</v>
      </c>
      <c r="AJ189" s="10">
        <f t="shared" si="218"/>
        <v>34364.661654135336</v>
      </c>
      <c r="AK189" s="60">
        <f t="shared" si="219"/>
        <v>15026.75254420465</v>
      </c>
      <c r="AL189" s="85">
        <f t="shared" si="220"/>
        <v>14876.485018762603</v>
      </c>
      <c r="AM189" s="85">
        <f t="shared" si="144"/>
        <v>15026.75254420465</v>
      </c>
      <c r="AN189" s="83">
        <f t="shared" si="195"/>
        <v>0.32515513472213337</v>
      </c>
      <c r="AO189" s="83">
        <f t="shared" si="196"/>
        <v>0.20716298438134534</v>
      </c>
      <c r="AP189" s="90">
        <f t="shared" si="221"/>
        <v>49.629808852205258</v>
      </c>
      <c r="AQ189" s="90">
        <f t="shared" si="222"/>
        <v>49.629808852205258</v>
      </c>
      <c r="AR189" s="10">
        <f t="shared" si="223"/>
        <v>12431.428571428571</v>
      </c>
      <c r="AS189" s="10">
        <f t="shared" si="224"/>
        <v>19804.571428571428</v>
      </c>
      <c r="AT189" s="60">
        <f t="shared" si="225"/>
        <v>8365.9711537084004</v>
      </c>
      <c r="AU189" s="85">
        <f t="shared" si="226"/>
        <v>8282.3114421713162</v>
      </c>
      <c r="AV189" s="85">
        <f t="shared" si="145"/>
        <v>8365.9711537084004</v>
      </c>
      <c r="AW189" s="10"/>
      <c r="AX189" s="60">
        <f t="shared" si="156"/>
        <v>2709.875</v>
      </c>
      <c r="AZ189" s="99">
        <f t="shared" ca="1" si="227"/>
        <v>68.294577732427683</v>
      </c>
      <c r="BA189" s="99">
        <f t="shared" ca="1" si="228"/>
        <v>68.294577732427683</v>
      </c>
      <c r="BB189" s="100">
        <f t="shared" ca="1" si="229"/>
        <v>14876.485018762603</v>
      </c>
      <c r="BC189" s="100">
        <f t="shared" ca="1" si="230"/>
        <v>15026.75254420465</v>
      </c>
    </row>
    <row r="190" spans="1:55" ht="11.4" x14ac:dyDescent="0.25">
      <c r="A190" s="1"/>
      <c r="B190" s="1">
        <v>134</v>
      </c>
      <c r="C190" s="66"/>
      <c r="D190" s="83">
        <f t="shared" si="187"/>
        <v>0</v>
      </c>
      <c r="E190" s="83">
        <f t="shared" si="188"/>
        <v>0</v>
      </c>
      <c r="F190" s="90">
        <f t="shared" si="197"/>
        <v>1.6306334915417164</v>
      </c>
      <c r="G190" s="90">
        <f t="shared" si="198"/>
        <v>1.6306334915417164</v>
      </c>
      <c r="H190" s="10">
        <f t="shared" si="199"/>
        <v>791.1044776119403</v>
      </c>
      <c r="I190" s="10">
        <f t="shared" si="200"/>
        <v>1260.2985074626865</v>
      </c>
      <c r="J190" s="60">
        <f t="shared" si="201"/>
        <v>9.0838767041840445</v>
      </c>
      <c r="K190" s="85">
        <f t="shared" si="202"/>
        <v>8.9930379371422031</v>
      </c>
      <c r="L190" s="85">
        <f t="shared" si="141"/>
        <v>9.0838767041840445</v>
      </c>
      <c r="M190" s="83">
        <f t="shared" si="189"/>
        <v>0</v>
      </c>
      <c r="N190" s="83">
        <f t="shared" si="190"/>
        <v>0</v>
      </c>
      <c r="O190" s="90">
        <f t="shared" si="203"/>
        <v>12.760838704693896</v>
      </c>
      <c r="P190" s="90">
        <f t="shared" si="204"/>
        <v>12.760838704693896</v>
      </c>
      <c r="Q190" s="10">
        <f t="shared" si="205"/>
        <v>5373.8805970149251</v>
      </c>
      <c r="R190" s="10">
        <f t="shared" si="206"/>
        <v>8561.380597014926</v>
      </c>
      <c r="S190" s="60">
        <f t="shared" si="207"/>
        <v>2672.2745401406933</v>
      </c>
      <c r="T190" s="85">
        <f t="shared" si="208"/>
        <v>2645.5517947392864</v>
      </c>
      <c r="U190" s="85">
        <f t="shared" si="142"/>
        <v>2672.2745401406933</v>
      </c>
      <c r="V190" s="83">
        <f t="shared" si="191"/>
        <v>0.1364081250450617</v>
      </c>
      <c r="W190" s="83">
        <f t="shared" si="192"/>
        <v>8.7501934558092201E-2</v>
      </c>
      <c r="X190" s="90">
        <f t="shared" si="209"/>
        <v>40.660290268038757</v>
      </c>
      <c r="Y190" s="90">
        <f t="shared" si="210"/>
        <v>40.660290268038757</v>
      </c>
      <c r="Z190" s="10">
        <f t="shared" si="211"/>
        <v>11355.410447761195</v>
      </c>
      <c r="AA190" s="10">
        <f t="shared" si="212"/>
        <v>18090.559701492537</v>
      </c>
      <c r="AB190" s="60">
        <f t="shared" si="213"/>
        <v>5130.1587213187786</v>
      </c>
      <c r="AC190" s="85">
        <f t="shared" si="214"/>
        <v>5078.8571341055904</v>
      </c>
      <c r="AD190" s="85">
        <f t="shared" si="143"/>
        <v>5130.1587213187786</v>
      </c>
      <c r="AE190" s="83">
        <f t="shared" si="193"/>
        <v>0.69640546672351211</v>
      </c>
      <c r="AF190" s="83">
        <f t="shared" si="194"/>
        <v>0.44256103863631663</v>
      </c>
      <c r="AG190" s="90">
        <f t="shared" si="215"/>
        <v>67.784916704573746</v>
      </c>
      <c r="AH190" s="90">
        <f t="shared" si="216"/>
        <v>67.784916704573746</v>
      </c>
      <c r="AI190" s="10">
        <f t="shared" si="217"/>
        <v>21409.701492537315</v>
      </c>
      <c r="AJ190" s="10">
        <f t="shared" si="218"/>
        <v>34108.208955223883</v>
      </c>
      <c r="AK190" s="60">
        <f t="shared" si="219"/>
        <v>14824.209224178956</v>
      </c>
      <c r="AL190" s="85">
        <f t="shared" si="220"/>
        <v>14675.967131937166</v>
      </c>
      <c r="AM190" s="85">
        <f t="shared" si="144"/>
        <v>14824.209224178956</v>
      </c>
      <c r="AN190" s="83">
        <f t="shared" si="195"/>
        <v>0.31681764648533028</v>
      </c>
      <c r="AO190" s="83">
        <f t="shared" si="196"/>
        <v>0.20188826871062798</v>
      </c>
      <c r="AP190" s="90">
        <f t="shared" si="221"/>
        <v>49.259437144352979</v>
      </c>
      <c r="AQ190" s="90">
        <f t="shared" si="222"/>
        <v>49.259437144352979</v>
      </c>
      <c r="AR190" s="10">
        <f t="shared" si="223"/>
        <v>12338.656716417911</v>
      </c>
      <c r="AS190" s="10">
        <f t="shared" si="224"/>
        <v>19656.776119402984</v>
      </c>
      <c r="AT190" s="60">
        <f t="shared" si="225"/>
        <v>8253.2074965092415</v>
      </c>
      <c r="AU190" s="85">
        <f t="shared" si="226"/>
        <v>8170.6754215441488</v>
      </c>
      <c r="AV190" s="85">
        <f t="shared" si="145"/>
        <v>8253.2074965092415</v>
      </c>
      <c r="AW190" s="10"/>
      <c r="AX190" s="60">
        <f t="shared" si="156"/>
        <v>2741.125</v>
      </c>
      <c r="AZ190" s="99">
        <f t="shared" ca="1" si="227"/>
        <v>67.784916704573746</v>
      </c>
      <c r="BA190" s="99">
        <f t="shared" ca="1" si="228"/>
        <v>67.784916704573746</v>
      </c>
      <c r="BB190" s="100">
        <f t="shared" ca="1" si="229"/>
        <v>14675.967131937166</v>
      </c>
      <c r="BC190" s="100">
        <f t="shared" ca="1" si="230"/>
        <v>14824.209224178956</v>
      </c>
    </row>
    <row r="191" spans="1:55" ht="11.4" x14ac:dyDescent="0.25">
      <c r="A191" s="1"/>
      <c r="B191" s="1">
        <v>135</v>
      </c>
      <c r="C191" s="66"/>
      <c r="D191" s="83">
        <f t="shared" si="187"/>
        <v>0</v>
      </c>
      <c r="E191" s="83">
        <f t="shared" si="188"/>
        <v>0</v>
      </c>
      <c r="F191" s="90">
        <f t="shared" si="197"/>
        <v>1.6185547249377037</v>
      </c>
      <c r="G191" s="90">
        <f t="shared" si="198"/>
        <v>1.6185547249377037</v>
      </c>
      <c r="H191" s="10">
        <f t="shared" si="199"/>
        <v>785.24444444444441</v>
      </c>
      <c r="I191" s="10">
        <f t="shared" si="200"/>
        <v>1250.962962962963</v>
      </c>
      <c r="J191" s="60">
        <f t="shared" si="201"/>
        <v>8.9165901655915789</v>
      </c>
      <c r="K191" s="85">
        <f t="shared" si="202"/>
        <v>8.8274242639356633</v>
      </c>
      <c r="L191" s="85">
        <f t="shared" si="141"/>
        <v>8.9165901655915789</v>
      </c>
      <c r="M191" s="83">
        <f t="shared" si="189"/>
        <v>0</v>
      </c>
      <c r="N191" s="83">
        <f t="shared" si="190"/>
        <v>0</v>
      </c>
      <c r="O191" s="90">
        <f t="shared" si="203"/>
        <v>12.666313973548014</v>
      </c>
      <c r="P191" s="90">
        <f t="shared" si="204"/>
        <v>12.666313973548014</v>
      </c>
      <c r="Q191" s="10">
        <f t="shared" si="205"/>
        <v>5334.0740740740739</v>
      </c>
      <c r="R191" s="10">
        <f t="shared" si="206"/>
        <v>8497.9629629629635</v>
      </c>
      <c r="S191" s="60">
        <f t="shared" si="207"/>
        <v>2641.0662849922173</v>
      </c>
      <c r="T191" s="85">
        <f t="shared" si="208"/>
        <v>2614.6556221422952</v>
      </c>
      <c r="U191" s="85">
        <f t="shared" si="142"/>
        <v>2641.0662849922173</v>
      </c>
      <c r="V191" s="83">
        <f t="shared" si="191"/>
        <v>0.13020319847856157</v>
      </c>
      <c r="W191" s="83">
        <f t="shared" si="192"/>
        <v>8.3579388401571864E-2</v>
      </c>
      <c r="X191" s="90">
        <f t="shared" si="209"/>
        <v>40.359102932719956</v>
      </c>
      <c r="Y191" s="90">
        <f t="shared" si="210"/>
        <v>40.359102932719956</v>
      </c>
      <c r="Z191" s="10">
        <f t="shared" si="211"/>
        <v>11271.296296296296</v>
      </c>
      <c r="AA191" s="10">
        <f t="shared" si="212"/>
        <v>17956.555555555555</v>
      </c>
      <c r="AB191" s="60">
        <f t="shared" si="213"/>
        <v>5054.4378600823047</v>
      </c>
      <c r="AC191" s="85">
        <f t="shared" si="214"/>
        <v>5003.893481481482</v>
      </c>
      <c r="AD191" s="85">
        <f t="shared" si="143"/>
        <v>5054.4378600823047</v>
      </c>
      <c r="AE191" s="83">
        <f t="shared" si="193"/>
        <v>0.68311732256245639</v>
      </c>
      <c r="AF191" s="83">
        <f t="shared" si="194"/>
        <v>0.43414746956605166</v>
      </c>
      <c r="AG191" s="90">
        <f t="shared" si="215"/>
        <v>67.282806210465793</v>
      </c>
      <c r="AH191" s="90">
        <f t="shared" si="216"/>
        <v>67.282806210465793</v>
      </c>
      <c r="AI191" s="10">
        <f t="shared" si="217"/>
        <v>21251.111111111109</v>
      </c>
      <c r="AJ191" s="10">
        <f t="shared" si="218"/>
        <v>33855.555555555555</v>
      </c>
      <c r="AK191" s="60">
        <f t="shared" si="219"/>
        <v>14625.871586086787</v>
      </c>
      <c r="AL191" s="85">
        <f t="shared" si="220"/>
        <v>14479.612870225919</v>
      </c>
      <c r="AM191" s="85">
        <f t="shared" si="144"/>
        <v>14625.871586086787</v>
      </c>
      <c r="AN191" s="83">
        <f t="shared" si="195"/>
        <v>0.30860812409600463</v>
      </c>
      <c r="AO191" s="83">
        <f t="shared" si="196"/>
        <v>0.19669473438341728</v>
      </c>
      <c r="AP191" s="90">
        <f t="shared" si="221"/>
        <v>48.89455242476518</v>
      </c>
      <c r="AQ191" s="90">
        <f t="shared" si="222"/>
        <v>48.89455242476518</v>
      </c>
      <c r="AR191" s="10">
        <f t="shared" si="223"/>
        <v>12247.259259259259</v>
      </c>
      <c r="AS191" s="10">
        <f t="shared" si="224"/>
        <v>19511.170370370372</v>
      </c>
      <c r="AT191" s="60">
        <f t="shared" si="225"/>
        <v>8142.7853042163588</v>
      </c>
      <c r="AU191" s="85">
        <f t="shared" si="226"/>
        <v>8061.3574511741954</v>
      </c>
      <c r="AV191" s="85">
        <f t="shared" si="145"/>
        <v>8142.7853042163588</v>
      </c>
      <c r="AW191" s="10"/>
      <c r="AX191" s="60">
        <f t="shared" si="156"/>
        <v>2772.5</v>
      </c>
      <c r="AZ191" s="99">
        <f t="shared" ca="1" si="227"/>
        <v>67.282806210465793</v>
      </c>
      <c r="BA191" s="99">
        <f t="shared" ca="1" si="228"/>
        <v>67.282806210465793</v>
      </c>
      <c r="BB191" s="100">
        <f t="shared" ca="1" si="229"/>
        <v>14479.612870225919</v>
      </c>
      <c r="BC191" s="100">
        <f t="shared" ca="1" si="230"/>
        <v>14625.871586086787</v>
      </c>
    </row>
    <row r="192" spans="1:55" ht="11.4" x14ac:dyDescent="0.25">
      <c r="A192" s="1"/>
      <c r="B192" s="1">
        <v>136</v>
      </c>
      <c r="C192" s="66"/>
      <c r="D192" s="83">
        <f t="shared" si="187"/>
        <v>0</v>
      </c>
      <c r="E192" s="83">
        <f t="shared" si="188"/>
        <v>0</v>
      </c>
      <c r="F192" s="90">
        <f t="shared" si="197"/>
        <v>1.6066535872543382</v>
      </c>
      <c r="G192" s="90">
        <f t="shared" si="198"/>
        <v>1.6066535872543382</v>
      </c>
      <c r="H192" s="10">
        <f t="shared" si="199"/>
        <v>779.47058823529414</v>
      </c>
      <c r="I192" s="10">
        <f t="shared" si="200"/>
        <v>1241.7647058823529</v>
      </c>
      <c r="J192" s="60">
        <f t="shared" si="201"/>
        <v>8.7535850532915145</v>
      </c>
      <c r="K192" s="85">
        <f t="shared" si="202"/>
        <v>8.6660492027585985</v>
      </c>
      <c r="L192" s="85">
        <f t="shared" si="141"/>
        <v>8.7535850532915145</v>
      </c>
      <c r="M192" s="83">
        <f t="shared" si="189"/>
        <v>0</v>
      </c>
      <c r="N192" s="83">
        <f t="shared" si="190"/>
        <v>0</v>
      </c>
      <c r="O192" s="90">
        <f t="shared" si="203"/>
        <v>12.573179311977809</v>
      </c>
      <c r="P192" s="90">
        <f t="shared" si="204"/>
        <v>12.573179311977809</v>
      </c>
      <c r="Q192" s="10">
        <f t="shared" si="205"/>
        <v>5294.8529411764703</v>
      </c>
      <c r="R192" s="10">
        <f t="shared" si="206"/>
        <v>8435.4779411764703</v>
      </c>
      <c r="S192" s="60">
        <f t="shared" si="207"/>
        <v>2610.4488034959386</v>
      </c>
      <c r="T192" s="85">
        <f t="shared" si="208"/>
        <v>2584.344315460979</v>
      </c>
      <c r="U192" s="85">
        <f t="shared" si="142"/>
        <v>2610.4488034959386</v>
      </c>
      <c r="V192" s="83">
        <f t="shared" si="191"/>
        <v>0.12407981824908426</v>
      </c>
      <c r="W192" s="83">
        <f t="shared" si="192"/>
        <v>7.9708638141218702E-2</v>
      </c>
      <c r="X192" s="90">
        <f t="shared" si="209"/>
        <v>40.062344822920544</v>
      </c>
      <c r="Y192" s="90">
        <f t="shared" si="210"/>
        <v>40.062344822920544</v>
      </c>
      <c r="Z192" s="10">
        <f t="shared" si="211"/>
        <v>11188.419117647059</v>
      </c>
      <c r="AA192" s="10">
        <f t="shared" si="212"/>
        <v>17824.522058823528</v>
      </c>
      <c r="AB192" s="60">
        <f t="shared" si="213"/>
        <v>4980.3811634948097</v>
      </c>
      <c r="AC192" s="85">
        <f t="shared" si="214"/>
        <v>4930.5773518598617</v>
      </c>
      <c r="AD192" s="85">
        <f t="shared" si="143"/>
        <v>4980.3811634948097</v>
      </c>
      <c r="AE192" s="83">
        <f t="shared" si="193"/>
        <v>0.67005075210876808</v>
      </c>
      <c r="AF192" s="83">
        <f t="shared" si="194"/>
        <v>0.42587447894315666</v>
      </c>
      <c r="AG192" s="90">
        <f t="shared" si="215"/>
        <v>66.788079694212357</v>
      </c>
      <c r="AH192" s="90">
        <f t="shared" si="216"/>
        <v>66.788079694212357</v>
      </c>
      <c r="AI192" s="10">
        <f t="shared" si="217"/>
        <v>21094.852941176472</v>
      </c>
      <c r="AJ192" s="10">
        <f t="shared" si="218"/>
        <v>33606.617647058825</v>
      </c>
      <c r="AK192" s="60">
        <f t="shared" si="219"/>
        <v>14431.622110578721</v>
      </c>
      <c r="AL192" s="85">
        <f t="shared" si="220"/>
        <v>14287.305889472933</v>
      </c>
      <c r="AM192" s="85">
        <f t="shared" si="144"/>
        <v>14431.622110578721</v>
      </c>
      <c r="AN192" s="83">
        <f t="shared" si="195"/>
        <v>0.30051549416591961</v>
      </c>
      <c r="AO192" s="83">
        <f t="shared" si="196"/>
        <v>0.19157540670605633</v>
      </c>
      <c r="AP192" s="90">
        <f t="shared" si="221"/>
        <v>48.535033656936029</v>
      </c>
      <c r="AQ192" s="90">
        <f t="shared" si="222"/>
        <v>48.535033656936029</v>
      </c>
      <c r="AR192" s="10">
        <f t="shared" si="223"/>
        <v>12157.205882352941</v>
      </c>
      <c r="AS192" s="10">
        <f t="shared" si="224"/>
        <v>19367.705882352941</v>
      </c>
      <c r="AT192" s="60">
        <f t="shared" si="225"/>
        <v>8034.6391492874791</v>
      </c>
      <c r="AU192" s="85">
        <f t="shared" si="226"/>
        <v>7954.2927577946039</v>
      </c>
      <c r="AV192" s="85">
        <f t="shared" si="145"/>
        <v>8034.6391492874791</v>
      </c>
      <c r="AW192" s="10"/>
      <c r="AX192" s="60">
        <f t="shared" si="156"/>
        <v>2804.125</v>
      </c>
      <c r="AZ192" s="99">
        <f t="shared" ca="1" si="227"/>
        <v>66.788079694212357</v>
      </c>
      <c r="BA192" s="99">
        <f t="shared" ca="1" si="228"/>
        <v>66.788079694212357</v>
      </c>
      <c r="BB192" s="100">
        <f t="shared" ca="1" si="229"/>
        <v>14287.305889472933</v>
      </c>
      <c r="BC192" s="100">
        <f t="shared" ca="1" si="230"/>
        <v>14431.622110578721</v>
      </c>
    </row>
    <row r="193" spans="1:55" ht="11.4" x14ac:dyDescent="0.25">
      <c r="A193" s="1"/>
      <c r="B193" s="1">
        <v>137</v>
      </c>
      <c r="C193" s="66"/>
      <c r="D193" s="83">
        <f t="shared" si="187"/>
        <v>0</v>
      </c>
      <c r="E193" s="83">
        <f t="shared" si="188"/>
        <v>0</v>
      </c>
      <c r="F193" s="90">
        <f t="shared" si="197"/>
        <v>1.5949261888072261</v>
      </c>
      <c r="G193" s="90">
        <f t="shared" si="198"/>
        <v>1.5949261888072261</v>
      </c>
      <c r="H193" s="10">
        <f t="shared" si="199"/>
        <v>773.78102189781021</v>
      </c>
      <c r="I193" s="10">
        <f t="shared" si="200"/>
        <v>1232.7007299270074</v>
      </c>
      <c r="J193" s="60">
        <f t="shared" si="201"/>
        <v>8.5947215073298278</v>
      </c>
      <c r="K193" s="85">
        <f t="shared" si="202"/>
        <v>8.508774292256529</v>
      </c>
      <c r="L193" s="85">
        <f t="shared" si="141"/>
        <v>8.5947215073298278</v>
      </c>
      <c r="M193" s="83">
        <f t="shared" si="189"/>
        <v>0</v>
      </c>
      <c r="N193" s="83">
        <f t="shared" si="190"/>
        <v>0</v>
      </c>
      <c r="O193" s="90">
        <f t="shared" si="203"/>
        <v>12.481404280503519</v>
      </c>
      <c r="P193" s="90">
        <f t="shared" si="204"/>
        <v>12.481404280503519</v>
      </c>
      <c r="Q193" s="10">
        <f t="shared" si="205"/>
        <v>5256.2043795620439</v>
      </c>
      <c r="R193" s="10">
        <f t="shared" si="206"/>
        <v>8373.905109489051</v>
      </c>
      <c r="S193" s="60">
        <f t="shared" si="207"/>
        <v>2580.4066907097131</v>
      </c>
      <c r="T193" s="85">
        <f t="shared" si="208"/>
        <v>2554.6026238026161</v>
      </c>
      <c r="U193" s="85">
        <f t="shared" si="142"/>
        <v>2580.4066907097131</v>
      </c>
      <c r="V193" s="83">
        <f t="shared" si="191"/>
        <v>0.11803518779393445</v>
      </c>
      <c r="W193" s="83">
        <f t="shared" si="192"/>
        <v>7.5887910652463739E-2</v>
      </c>
      <c r="X193" s="90">
        <f t="shared" si="209"/>
        <v>39.769918948300685</v>
      </c>
      <c r="Y193" s="90">
        <f t="shared" si="210"/>
        <v>39.769918948300685</v>
      </c>
      <c r="Z193" s="10">
        <f t="shared" si="211"/>
        <v>11106.751824817518</v>
      </c>
      <c r="AA193" s="10">
        <f t="shared" si="212"/>
        <v>17694.416058394159</v>
      </c>
      <c r="AB193" s="60">
        <f t="shared" si="213"/>
        <v>4907.9402205764818</v>
      </c>
      <c r="AC193" s="85">
        <f t="shared" si="214"/>
        <v>4858.8608183707165</v>
      </c>
      <c r="AD193" s="85">
        <f t="shared" si="143"/>
        <v>4907.9402205764818</v>
      </c>
      <c r="AE193" s="83">
        <f t="shared" si="193"/>
        <v>0.65719920433098056</v>
      </c>
      <c r="AF193" s="83">
        <f t="shared" si="194"/>
        <v>0.41773791317047976</v>
      </c>
      <c r="AG193" s="90">
        <f t="shared" si="215"/>
        <v>66.300575462867741</v>
      </c>
      <c r="AH193" s="90">
        <f t="shared" si="216"/>
        <v>66.300575462867741</v>
      </c>
      <c r="AI193" s="10">
        <f t="shared" si="217"/>
        <v>20940.875912408759</v>
      </c>
      <c r="AJ193" s="10">
        <f t="shared" si="218"/>
        <v>33361.313868613135</v>
      </c>
      <c r="AK193" s="60">
        <f t="shared" si="219"/>
        <v>14241.347393491631</v>
      </c>
      <c r="AL193" s="85">
        <f t="shared" si="220"/>
        <v>14098.933919556715</v>
      </c>
      <c r="AM193" s="85">
        <f t="shared" si="144"/>
        <v>14241.347393491631</v>
      </c>
      <c r="AN193" s="83">
        <f t="shared" si="195"/>
        <v>0.29253610948386882</v>
      </c>
      <c r="AO193" s="83">
        <f t="shared" si="196"/>
        <v>0.18652797321124059</v>
      </c>
      <c r="AP193" s="90">
        <f t="shared" si="221"/>
        <v>48.180763338272257</v>
      </c>
      <c r="AQ193" s="90">
        <f t="shared" si="222"/>
        <v>48.180763338272257</v>
      </c>
      <c r="AR193" s="10">
        <f t="shared" si="223"/>
        <v>12068.467153284671</v>
      </c>
      <c r="AS193" s="10">
        <f t="shared" si="224"/>
        <v>19226.335766423359</v>
      </c>
      <c r="AT193" s="60">
        <f t="shared" si="225"/>
        <v>7928.7058952628422</v>
      </c>
      <c r="AU193" s="85">
        <f t="shared" si="226"/>
        <v>7849.4188363102139</v>
      </c>
      <c r="AV193" s="85">
        <f t="shared" si="145"/>
        <v>7928.7058952628422</v>
      </c>
      <c r="AW193" s="10"/>
      <c r="AX193" s="60">
        <f t="shared" si="156"/>
        <v>2836</v>
      </c>
      <c r="AZ193" s="99">
        <f t="shared" ca="1" si="227"/>
        <v>66.300575462867741</v>
      </c>
      <c r="BA193" s="99">
        <f t="shared" ca="1" si="228"/>
        <v>66.300575462867741</v>
      </c>
      <c r="BB193" s="100">
        <f t="shared" ca="1" si="229"/>
        <v>14098.933919556715</v>
      </c>
      <c r="BC193" s="100">
        <f t="shared" ca="1" si="230"/>
        <v>14241.347393491631</v>
      </c>
    </row>
    <row r="194" spans="1:55" ht="11.4" x14ac:dyDescent="0.25">
      <c r="A194" s="1"/>
      <c r="B194" s="1">
        <v>138</v>
      </c>
      <c r="C194" s="66"/>
      <c r="D194" s="83">
        <f t="shared" si="187"/>
        <v>0</v>
      </c>
      <c r="E194" s="83">
        <f t="shared" si="188"/>
        <v>0</v>
      </c>
      <c r="F194" s="90">
        <f t="shared" si="197"/>
        <v>1.5833687526564493</v>
      </c>
      <c r="G194" s="90">
        <f t="shared" si="198"/>
        <v>1.5833687526564493</v>
      </c>
      <c r="H194" s="10">
        <f t="shared" si="199"/>
        <v>768.17391304347825</v>
      </c>
      <c r="I194" s="10">
        <f t="shared" si="200"/>
        <v>1223.768115942029</v>
      </c>
      <c r="J194" s="60">
        <f t="shared" si="201"/>
        <v>8.4398652115119912</v>
      </c>
      <c r="K194" s="85">
        <f t="shared" si="202"/>
        <v>8.3554665593968718</v>
      </c>
      <c r="L194" s="85">
        <f t="shared" si="141"/>
        <v>8.4398652115119912</v>
      </c>
      <c r="M194" s="83">
        <f t="shared" si="189"/>
        <v>0</v>
      </c>
      <c r="N194" s="83">
        <f t="shared" si="190"/>
        <v>0</v>
      </c>
      <c r="O194" s="90">
        <f t="shared" si="203"/>
        <v>12.390959321949145</v>
      </c>
      <c r="P194" s="90">
        <f t="shared" si="204"/>
        <v>12.390959321949145</v>
      </c>
      <c r="Q194" s="10">
        <f t="shared" si="205"/>
        <v>5218.115942028986</v>
      </c>
      <c r="R194" s="10">
        <f t="shared" si="206"/>
        <v>8313.2246376811599</v>
      </c>
      <c r="S194" s="60">
        <f t="shared" si="207"/>
        <v>2550.9250518774065</v>
      </c>
      <c r="T194" s="85">
        <f t="shared" si="208"/>
        <v>2525.4158013586325</v>
      </c>
      <c r="U194" s="85">
        <f t="shared" si="142"/>
        <v>2550.9250518774065</v>
      </c>
      <c r="V194" s="83">
        <f t="shared" si="191"/>
        <v>0.11207390533447979</v>
      </c>
      <c r="W194" s="83">
        <f t="shared" si="192"/>
        <v>7.212007513278329E-2</v>
      </c>
      <c r="X194" s="90">
        <f t="shared" si="209"/>
        <v>39.481731129834735</v>
      </c>
      <c r="Y194" s="90">
        <f t="shared" si="210"/>
        <v>39.481731129834735</v>
      </c>
      <c r="Z194" s="10">
        <f t="shared" si="211"/>
        <v>11026.268115942028</v>
      </c>
      <c r="AA194" s="10">
        <f t="shared" si="212"/>
        <v>17566.195652173912</v>
      </c>
      <c r="AB194" s="60">
        <f t="shared" si="213"/>
        <v>4837.0683679899175</v>
      </c>
      <c r="AC194" s="85">
        <f t="shared" si="214"/>
        <v>4788.6976843100183</v>
      </c>
      <c r="AD194" s="85">
        <f t="shared" si="143"/>
        <v>4837.0683679899175</v>
      </c>
      <c r="AE194" s="83">
        <f t="shared" si="193"/>
        <v>0.64456364976616176</v>
      </c>
      <c r="AF194" s="83">
        <f t="shared" si="194"/>
        <v>0.40973834135897674</v>
      </c>
      <c r="AG194" s="90">
        <f t="shared" si="215"/>
        <v>65.820136510238271</v>
      </c>
      <c r="AH194" s="90">
        <f t="shared" si="216"/>
        <v>65.820136510238271</v>
      </c>
      <c r="AI194" s="10">
        <f t="shared" si="217"/>
        <v>20789.130434782608</v>
      </c>
      <c r="AJ194" s="10">
        <f t="shared" si="218"/>
        <v>33119.565217391304</v>
      </c>
      <c r="AK194" s="60">
        <f t="shared" si="219"/>
        <v>14054.937973056429</v>
      </c>
      <c r="AL194" s="85">
        <f t="shared" si="220"/>
        <v>13914.388593325864</v>
      </c>
      <c r="AM194" s="85">
        <f t="shared" si="144"/>
        <v>14054.937973056429</v>
      </c>
      <c r="AN194" s="83">
        <f t="shared" si="195"/>
        <v>0.28467374345847302</v>
      </c>
      <c r="AO194" s="83">
        <f t="shared" si="196"/>
        <v>0.18155478013454435</v>
      </c>
      <c r="AP194" s="90">
        <f t="shared" si="221"/>
        <v>47.831627372052893</v>
      </c>
      <c r="AQ194" s="90">
        <f t="shared" si="222"/>
        <v>47.831627372052893</v>
      </c>
      <c r="AR194" s="10">
        <f t="shared" si="223"/>
        <v>11981.014492753624</v>
      </c>
      <c r="AS194" s="10">
        <f t="shared" si="224"/>
        <v>19087.014492753624</v>
      </c>
      <c r="AT194" s="60">
        <f t="shared" si="225"/>
        <v>7824.9246005650821</v>
      </c>
      <c r="AU194" s="85">
        <f t="shared" si="226"/>
        <v>7746.6753545594311</v>
      </c>
      <c r="AV194" s="85">
        <f t="shared" si="145"/>
        <v>7824.9246005650821</v>
      </c>
      <c r="AW194" s="10"/>
      <c r="AX194" s="60">
        <f t="shared" si="156"/>
        <v>2868</v>
      </c>
      <c r="AZ194" s="99">
        <f t="shared" ca="1" si="227"/>
        <v>65.820136510238271</v>
      </c>
      <c r="BA194" s="99">
        <f t="shared" ca="1" si="228"/>
        <v>65.820136510238271</v>
      </c>
      <c r="BB194" s="100">
        <f t="shared" ca="1" si="229"/>
        <v>13914.388593325864</v>
      </c>
      <c r="BC194" s="100">
        <f t="shared" ca="1" si="230"/>
        <v>14054.937973056429</v>
      </c>
    </row>
    <row r="195" spans="1:55" ht="11.4" x14ac:dyDescent="0.25">
      <c r="A195" s="1"/>
      <c r="B195" s="1">
        <v>139</v>
      </c>
      <c r="C195" s="66"/>
      <c r="D195" s="83">
        <f t="shared" si="187"/>
        <v>0</v>
      </c>
      <c r="E195" s="83">
        <f t="shared" si="188"/>
        <v>0</v>
      </c>
      <c r="F195" s="90">
        <f t="shared" si="197"/>
        <v>1.5719776105510073</v>
      </c>
      <c r="G195" s="90">
        <f t="shared" si="198"/>
        <v>1.5719776105510073</v>
      </c>
      <c r="H195" s="10">
        <f t="shared" si="199"/>
        <v>762.64748201438852</v>
      </c>
      <c r="I195" s="10">
        <f t="shared" si="200"/>
        <v>1214.9640287769785</v>
      </c>
      <c r="J195" s="60">
        <f t="shared" si="201"/>
        <v>8.2888871355663323</v>
      </c>
      <c r="K195" s="85">
        <f t="shared" si="202"/>
        <v>8.2059982642106686</v>
      </c>
      <c r="L195" s="85">
        <f t="shared" si="141"/>
        <v>8.2888871355663323</v>
      </c>
      <c r="M195" s="83">
        <f t="shared" si="189"/>
        <v>0</v>
      </c>
      <c r="N195" s="83">
        <f t="shared" si="190"/>
        <v>0</v>
      </c>
      <c r="O195" s="90">
        <f t="shared" si="203"/>
        <v>12.301815729704906</v>
      </c>
      <c r="P195" s="90">
        <f t="shared" si="204"/>
        <v>12.301815729704906</v>
      </c>
      <c r="Q195" s="10">
        <f t="shared" si="205"/>
        <v>5180.5755395683454</v>
      </c>
      <c r="R195" s="10">
        <f t="shared" si="206"/>
        <v>8253.4172661870507</v>
      </c>
      <c r="S195" s="60">
        <f t="shared" si="207"/>
        <v>2521.9894819910305</v>
      </c>
      <c r="T195" s="85">
        <f t="shared" si="208"/>
        <v>2496.7695871711203</v>
      </c>
      <c r="U195" s="85">
        <f t="shared" si="142"/>
        <v>2521.9894819910305</v>
      </c>
      <c r="V195" s="83">
        <f t="shared" si="191"/>
        <v>0.10618607805067627</v>
      </c>
      <c r="W195" s="83">
        <f t="shared" si="192"/>
        <v>6.8398905412582464E-2</v>
      </c>
      <c r="X195" s="90">
        <f t="shared" si="209"/>
        <v>39.19768989868485</v>
      </c>
      <c r="Y195" s="90">
        <f t="shared" si="210"/>
        <v>39.19768989868485</v>
      </c>
      <c r="Z195" s="10">
        <f t="shared" si="211"/>
        <v>10946.942446043166</v>
      </c>
      <c r="AA195" s="10">
        <f t="shared" si="212"/>
        <v>17439.820143884892</v>
      </c>
      <c r="AB195" s="60">
        <f t="shared" si="213"/>
        <v>4767.7206148750065</v>
      </c>
      <c r="AC195" s="85">
        <f t="shared" si="214"/>
        <v>4720.0434087262565</v>
      </c>
      <c r="AD195" s="85">
        <f t="shared" si="143"/>
        <v>4767.7206148750065</v>
      </c>
      <c r="AE195" s="83">
        <f t="shared" si="193"/>
        <v>0.63213068954251628</v>
      </c>
      <c r="AF195" s="83">
        <f t="shared" si="194"/>
        <v>0.40186731437208278</v>
      </c>
      <c r="AG195" s="90">
        <f t="shared" si="215"/>
        <v>65.346610348294107</v>
      </c>
      <c r="AH195" s="90">
        <f t="shared" si="216"/>
        <v>65.346610348294107</v>
      </c>
      <c r="AI195" s="10">
        <f t="shared" si="217"/>
        <v>20639.56834532374</v>
      </c>
      <c r="AJ195" s="10">
        <f t="shared" si="218"/>
        <v>32881.294964028777</v>
      </c>
      <c r="AK195" s="60">
        <f t="shared" si="219"/>
        <v>13872.288165548563</v>
      </c>
      <c r="AL195" s="85">
        <f t="shared" si="220"/>
        <v>13733.565283893078</v>
      </c>
      <c r="AM195" s="85">
        <f t="shared" si="144"/>
        <v>13872.288165548563</v>
      </c>
      <c r="AN195" s="83">
        <f t="shared" si="195"/>
        <v>0.27691770334910593</v>
      </c>
      <c r="AO195" s="83">
        <f t="shared" si="196"/>
        <v>0.17664909412702701</v>
      </c>
      <c r="AP195" s="90">
        <f t="shared" si="221"/>
        <v>47.487514944915823</v>
      </c>
      <c r="AQ195" s="90">
        <f t="shared" si="222"/>
        <v>47.487514944915823</v>
      </c>
      <c r="AR195" s="10">
        <f t="shared" si="223"/>
        <v>11894.820143884892</v>
      </c>
      <c r="AS195" s="10">
        <f t="shared" si="224"/>
        <v>18949.697841726618</v>
      </c>
      <c r="AT195" s="60">
        <f t="shared" si="225"/>
        <v>7723.2364269995614</v>
      </c>
      <c r="AU195" s="85">
        <f t="shared" si="226"/>
        <v>7646.0040627295657</v>
      </c>
      <c r="AV195" s="85">
        <f t="shared" si="145"/>
        <v>7723.2364269995614</v>
      </c>
      <c r="AW195" s="10"/>
      <c r="AX195" s="60">
        <f t="shared" si="156"/>
        <v>2900.25</v>
      </c>
      <c r="AZ195" s="99">
        <f t="shared" ca="1" si="227"/>
        <v>65.346610348294107</v>
      </c>
      <c r="BA195" s="99">
        <f t="shared" ca="1" si="228"/>
        <v>65.346610348294107</v>
      </c>
      <c r="BB195" s="100">
        <f t="shared" ca="1" si="229"/>
        <v>13733.565283893078</v>
      </c>
      <c r="BC195" s="100">
        <f t="shared" ca="1" si="230"/>
        <v>13872.288165548563</v>
      </c>
    </row>
    <row r="196" spans="1:55" ht="11.4" x14ac:dyDescent="0.25">
      <c r="A196" s="1"/>
      <c r="B196" s="1">
        <v>140</v>
      </c>
      <c r="C196" s="66"/>
      <c r="D196" s="83">
        <f t="shared" si="187"/>
        <v>0</v>
      </c>
      <c r="E196" s="83">
        <f t="shared" si="188"/>
        <v>0</v>
      </c>
      <c r="F196" s="90">
        <f t="shared" si="197"/>
        <v>1.5607491990470714</v>
      </c>
      <c r="G196" s="90">
        <f t="shared" si="198"/>
        <v>1.5607491990470714</v>
      </c>
      <c r="H196" s="10">
        <f t="shared" si="199"/>
        <v>757.2</v>
      </c>
      <c r="I196" s="10">
        <f t="shared" si="200"/>
        <v>1206.2857142857142</v>
      </c>
      <c r="J196" s="60">
        <f t="shared" si="201"/>
        <v>8.1416632910457043</v>
      </c>
      <c r="K196" s="85">
        <f t="shared" si="202"/>
        <v>8.060246658135247</v>
      </c>
      <c r="L196" s="85">
        <f t="shared" si="141"/>
        <v>8.1416632910457043</v>
      </c>
      <c r="M196" s="83">
        <f t="shared" si="189"/>
        <v>0</v>
      </c>
      <c r="N196" s="83">
        <f t="shared" si="190"/>
        <v>0</v>
      </c>
      <c r="O196" s="90">
        <f t="shared" si="203"/>
        <v>12.213945617349871</v>
      </c>
      <c r="P196" s="90">
        <f t="shared" si="204"/>
        <v>12.213945617349871</v>
      </c>
      <c r="Q196" s="10">
        <f t="shared" si="205"/>
        <v>5143.5714285714284</v>
      </c>
      <c r="R196" s="10">
        <f t="shared" si="206"/>
        <v>8194.4642857142862</v>
      </c>
      <c r="S196" s="60">
        <f t="shared" si="207"/>
        <v>2493.5860463114486</v>
      </c>
      <c r="T196" s="85">
        <f t="shared" si="208"/>
        <v>2468.6501858483343</v>
      </c>
      <c r="U196" s="85">
        <f t="shared" si="142"/>
        <v>2493.5860463114486</v>
      </c>
      <c r="V196" s="83">
        <f t="shared" si="191"/>
        <v>0.10037649326652337</v>
      </c>
      <c r="W196" s="83">
        <f t="shared" si="192"/>
        <v>6.4727390587426478E-2</v>
      </c>
      <c r="X196" s="90">
        <f t="shared" si="209"/>
        <v>38.91770639940853</v>
      </c>
      <c r="Y196" s="90">
        <f t="shared" si="210"/>
        <v>38.91770639940853</v>
      </c>
      <c r="Z196" s="10">
        <f t="shared" si="211"/>
        <v>10868.75</v>
      </c>
      <c r="AA196" s="10">
        <f t="shared" si="212"/>
        <v>17315.25</v>
      </c>
      <c r="AB196" s="60">
        <f t="shared" si="213"/>
        <v>4699.8535714285708</v>
      </c>
      <c r="AC196" s="85">
        <f t="shared" si="214"/>
        <v>4652.8550357142849</v>
      </c>
      <c r="AD196" s="85">
        <f t="shared" si="143"/>
        <v>4699.8535714285708</v>
      </c>
      <c r="AE196" s="83">
        <f t="shared" si="193"/>
        <v>0.61990172165717072</v>
      </c>
      <c r="AF196" s="83">
        <f t="shared" si="194"/>
        <v>0.39412567234629964</v>
      </c>
      <c r="AG196" s="90">
        <f t="shared" si="215"/>
        <v>64.879848845806293</v>
      </c>
      <c r="AH196" s="90">
        <f t="shared" si="216"/>
        <v>64.879848845806293</v>
      </c>
      <c r="AI196" s="10">
        <f t="shared" si="217"/>
        <v>20492.142857142859</v>
      </c>
      <c r="AJ196" s="10">
        <f t="shared" si="218"/>
        <v>32646.428571428572</v>
      </c>
      <c r="AK196" s="60">
        <f t="shared" si="219"/>
        <v>13693.295908911561</v>
      </c>
      <c r="AL196" s="85">
        <f t="shared" si="220"/>
        <v>13556.362949822445</v>
      </c>
      <c r="AM196" s="85">
        <f t="shared" si="144"/>
        <v>13693.295908911561</v>
      </c>
      <c r="AN196" s="83">
        <f t="shared" si="195"/>
        <v>0.26927200054784561</v>
      </c>
      <c r="AO196" s="83">
        <f t="shared" si="196"/>
        <v>0.17181341231460992</v>
      </c>
      <c r="AP196" s="90">
        <f t="shared" si="221"/>
        <v>47.148318409594999</v>
      </c>
      <c r="AQ196" s="90">
        <f t="shared" si="222"/>
        <v>47.148318409594999</v>
      </c>
      <c r="AR196" s="10">
        <f t="shared" si="223"/>
        <v>11809.857142857143</v>
      </c>
      <c r="AS196" s="10">
        <f t="shared" si="224"/>
        <v>18814.342857142856</v>
      </c>
      <c r="AT196" s="60">
        <f t="shared" si="225"/>
        <v>7623.58455269357</v>
      </c>
      <c r="AU196" s="85">
        <f t="shared" si="226"/>
        <v>7547.3487071666341</v>
      </c>
      <c r="AV196" s="85">
        <f t="shared" si="145"/>
        <v>7623.58455269357</v>
      </c>
      <c r="AW196" s="10"/>
      <c r="AX196" s="60">
        <f t="shared" si="156"/>
        <v>2932.625</v>
      </c>
      <c r="AZ196" s="99">
        <f t="shared" ca="1" si="227"/>
        <v>64.879848845806293</v>
      </c>
      <c r="BA196" s="99">
        <f t="shared" ca="1" si="228"/>
        <v>64.879848845806293</v>
      </c>
      <c r="BB196" s="100">
        <f t="shared" ca="1" si="229"/>
        <v>13556.362949822445</v>
      </c>
      <c r="BC196" s="100">
        <f t="shared" ca="1" si="230"/>
        <v>13693.295908911561</v>
      </c>
    </row>
    <row r="197" spans="1:55" ht="11.4" x14ac:dyDescent="0.25">
      <c r="A197" s="1"/>
      <c r="B197" s="1">
        <v>141</v>
      </c>
      <c r="C197" s="66"/>
      <c r="D197" s="83">
        <f t="shared" si="187"/>
        <v>0</v>
      </c>
      <c r="E197" s="83">
        <f t="shared" si="188"/>
        <v>0</v>
      </c>
      <c r="F197" s="90">
        <f t="shared" si="197"/>
        <v>1.5496800557914183</v>
      </c>
      <c r="G197" s="90">
        <f t="shared" si="198"/>
        <v>1.5496800557914183</v>
      </c>
      <c r="H197" s="10">
        <f t="shared" si="199"/>
        <v>751.82978723404256</v>
      </c>
      <c r="I197" s="10">
        <f t="shared" si="200"/>
        <v>1197.7304964539007</v>
      </c>
      <c r="J197" s="60">
        <f t="shared" si="201"/>
        <v>7.9980745001438107</v>
      </c>
      <c r="K197" s="85">
        <f t="shared" si="202"/>
        <v>7.9180937551423725</v>
      </c>
      <c r="L197" s="85">
        <f t="shared" si="141"/>
        <v>7.9980745001438107</v>
      </c>
      <c r="M197" s="83">
        <f t="shared" si="189"/>
        <v>0</v>
      </c>
      <c r="N197" s="83">
        <f t="shared" si="190"/>
        <v>0</v>
      </c>
      <c r="O197" s="90">
        <f t="shared" si="203"/>
        <v>12.127321889567249</v>
      </c>
      <c r="P197" s="90">
        <f t="shared" si="204"/>
        <v>12.127321889567249</v>
      </c>
      <c r="Q197" s="10">
        <f t="shared" si="205"/>
        <v>5107.0921985815603</v>
      </c>
      <c r="R197" s="10">
        <f t="shared" si="206"/>
        <v>8136.3475177304963</v>
      </c>
      <c r="S197" s="60">
        <f t="shared" si="207"/>
        <v>2465.7012617962387</v>
      </c>
      <c r="T197" s="85">
        <f t="shared" si="208"/>
        <v>2441.0442491782765</v>
      </c>
      <c r="U197" s="85">
        <f t="shared" si="142"/>
        <v>2465.7012617962387</v>
      </c>
      <c r="V197" s="83">
        <f t="shared" si="191"/>
        <v>9.4635439217206477E-2</v>
      </c>
      <c r="W197" s="83">
        <f t="shared" si="192"/>
        <v>6.1099419283457385E-2</v>
      </c>
      <c r="X197" s="90">
        <f t="shared" si="209"/>
        <v>38.641694297285063</v>
      </c>
      <c r="Y197" s="90">
        <f t="shared" si="210"/>
        <v>38.641694297285063</v>
      </c>
      <c r="Z197" s="10">
        <f t="shared" si="211"/>
        <v>10791.666666666666</v>
      </c>
      <c r="AA197" s="10">
        <f t="shared" si="212"/>
        <v>17192.446808510638</v>
      </c>
      <c r="AB197" s="60">
        <f t="shared" si="213"/>
        <v>4633.4253810170512</v>
      </c>
      <c r="AC197" s="85">
        <f t="shared" si="214"/>
        <v>4587.0911272068806</v>
      </c>
      <c r="AD197" s="85">
        <f t="shared" si="143"/>
        <v>4633.4253810170512</v>
      </c>
      <c r="AE197" s="83">
        <f t="shared" si="193"/>
        <v>0.60786375706668894</v>
      </c>
      <c r="AF197" s="83">
        <f t="shared" si="194"/>
        <v>0.38650522599145698</v>
      </c>
      <c r="AG197" s="90">
        <f t="shared" si="215"/>
        <v>64.419708073850217</v>
      </c>
      <c r="AH197" s="90">
        <f t="shared" si="216"/>
        <v>64.419708073850217</v>
      </c>
      <c r="AI197" s="10">
        <f t="shared" si="217"/>
        <v>20346.808510638297</v>
      </c>
      <c r="AJ197" s="10">
        <f t="shared" si="218"/>
        <v>32414.893617021276</v>
      </c>
      <c r="AK197" s="60">
        <f t="shared" si="219"/>
        <v>13517.862613913143</v>
      </c>
      <c r="AL197" s="85">
        <f t="shared" si="220"/>
        <v>13382.683987774011</v>
      </c>
      <c r="AM197" s="85">
        <f t="shared" si="144"/>
        <v>13517.862613913143</v>
      </c>
      <c r="AN197" s="83">
        <f t="shared" si="195"/>
        <v>0.2617261704812775</v>
      </c>
      <c r="AO197" s="83">
        <f t="shared" si="196"/>
        <v>0.16704114601483522</v>
      </c>
      <c r="AP197" s="90">
        <f t="shared" si="221"/>
        <v>46.813933172647516</v>
      </c>
      <c r="AQ197" s="90">
        <f t="shared" si="222"/>
        <v>46.813933172647516</v>
      </c>
      <c r="AR197" s="10">
        <f t="shared" si="223"/>
        <v>11726.099290780141</v>
      </c>
      <c r="AS197" s="10">
        <f t="shared" si="224"/>
        <v>18680.907801418442</v>
      </c>
      <c r="AT197" s="60">
        <f t="shared" si="225"/>
        <v>7525.9140892292071</v>
      </c>
      <c r="AU197" s="85">
        <f t="shared" si="226"/>
        <v>7450.6549483369154</v>
      </c>
      <c r="AV197" s="85">
        <f t="shared" si="145"/>
        <v>7525.9140892292071</v>
      </c>
      <c r="AW197" s="10"/>
      <c r="AX197" s="60">
        <f t="shared" si="156"/>
        <v>2965.25</v>
      </c>
      <c r="AZ197" s="99">
        <f t="shared" ca="1" si="227"/>
        <v>64.419708073850217</v>
      </c>
      <c r="BA197" s="99">
        <f t="shared" ca="1" si="228"/>
        <v>64.419708073850217</v>
      </c>
      <c r="BB197" s="100">
        <f t="shared" ca="1" si="229"/>
        <v>13382.683987774011</v>
      </c>
      <c r="BC197" s="100">
        <f t="shared" ca="1" si="230"/>
        <v>13517.862613913143</v>
      </c>
    </row>
    <row r="198" spans="1:55" ht="11.4" x14ac:dyDescent="0.25">
      <c r="A198" s="1"/>
      <c r="B198" s="1">
        <v>142</v>
      </c>
      <c r="C198" s="66"/>
      <c r="D198" s="83">
        <f t="shared" si="187"/>
        <v>0</v>
      </c>
      <c r="E198" s="83">
        <f t="shared" si="188"/>
        <v>0</v>
      </c>
      <c r="F198" s="90">
        <f t="shared" si="197"/>
        <v>1.5387668159619015</v>
      </c>
      <c r="G198" s="90">
        <f t="shared" si="198"/>
        <v>1.5387668159619015</v>
      </c>
      <c r="H198" s="10">
        <f t="shared" si="199"/>
        <v>746.53521126760563</v>
      </c>
      <c r="I198" s="10">
        <f t="shared" si="200"/>
        <v>1189.2957746478874</v>
      </c>
      <c r="J198" s="60">
        <f t="shared" si="201"/>
        <v>7.8580061766570726</v>
      </c>
      <c r="K198" s="85">
        <f t="shared" si="202"/>
        <v>7.7794261148905015</v>
      </c>
      <c r="L198" s="85">
        <f t="shared" si="141"/>
        <v>7.8580061766570726</v>
      </c>
      <c r="M198" s="83">
        <f t="shared" si="189"/>
        <v>0</v>
      </c>
      <c r="N198" s="83">
        <f t="shared" si="190"/>
        <v>0</v>
      </c>
      <c r="O198" s="90">
        <f t="shared" si="203"/>
        <v>12.041918214288605</v>
      </c>
      <c r="P198" s="90">
        <f t="shared" si="204"/>
        <v>12.041918214288605</v>
      </c>
      <c r="Q198" s="10">
        <f t="shared" si="205"/>
        <v>5071.1267605633802</v>
      </c>
      <c r="R198" s="10">
        <f t="shared" si="206"/>
        <v>8079.0492957746483</v>
      </c>
      <c r="S198" s="60">
        <f t="shared" si="207"/>
        <v>2438.3220793863807</v>
      </c>
      <c r="T198" s="85">
        <f t="shared" si="208"/>
        <v>2413.9388585925167</v>
      </c>
      <c r="U198" s="85">
        <f t="shared" si="142"/>
        <v>2438.3220793863807</v>
      </c>
      <c r="V198" s="83">
        <f t="shared" si="191"/>
        <v>8.896058280348032E-2</v>
      </c>
      <c r="W198" s="83">
        <f t="shared" si="192"/>
        <v>5.7513512229139238E-2</v>
      </c>
      <c r="X198" s="90">
        <f t="shared" si="209"/>
        <v>38.3695696895577</v>
      </c>
      <c r="Y198" s="90">
        <f t="shared" si="210"/>
        <v>38.3695696895577</v>
      </c>
      <c r="Z198" s="10">
        <f t="shared" si="211"/>
        <v>10715.669014084508</v>
      </c>
      <c r="AA198" s="10">
        <f t="shared" si="212"/>
        <v>17071.37323943662</v>
      </c>
      <c r="AB198" s="60">
        <f t="shared" si="213"/>
        <v>4568.3956556238836</v>
      </c>
      <c r="AC198" s="85">
        <f t="shared" si="214"/>
        <v>4522.711699067645</v>
      </c>
      <c r="AD198" s="85">
        <f t="shared" si="143"/>
        <v>4568.3956556238836</v>
      </c>
      <c r="AE198" s="83">
        <f t="shared" si="193"/>
        <v>0.59601129298346389</v>
      </c>
      <c r="AF198" s="83">
        <f t="shared" si="194"/>
        <v>0.37900248633592537</v>
      </c>
      <c r="AG198" s="90">
        <f t="shared" si="215"/>
        <v>63.966048157837193</v>
      </c>
      <c r="AH198" s="90">
        <f t="shared" si="216"/>
        <v>63.966048157837193</v>
      </c>
      <c r="AI198" s="10">
        <f t="shared" si="217"/>
        <v>20203.521126760563</v>
      </c>
      <c r="AJ198" s="10">
        <f t="shared" si="218"/>
        <v>32186.619718309859</v>
      </c>
      <c r="AK198" s="60">
        <f t="shared" si="219"/>
        <v>13345.893022420816</v>
      </c>
      <c r="AL198" s="85">
        <f t="shared" si="220"/>
        <v>13212.434092196609</v>
      </c>
      <c r="AM198" s="85">
        <f t="shared" si="144"/>
        <v>13345.893022420816</v>
      </c>
      <c r="AN198" s="83">
        <f t="shared" si="195"/>
        <v>0.2542771495358726</v>
      </c>
      <c r="AO198" s="83">
        <f t="shared" si="196"/>
        <v>0.16233035278299143</v>
      </c>
      <c r="AP198" s="90">
        <f t="shared" si="221"/>
        <v>46.484257586924642</v>
      </c>
      <c r="AQ198" s="90">
        <f t="shared" si="222"/>
        <v>46.484257586924642</v>
      </c>
      <c r="AR198" s="10">
        <f t="shared" si="223"/>
        <v>11643.521126760563</v>
      </c>
      <c r="AS198" s="10">
        <f t="shared" si="224"/>
        <v>18549.352112676057</v>
      </c>
      <c r="AT198" s="60">
        <f t="shared" si="225"/>
        <v>7430.1720027399542</v>
      </c>
      <c r="AU198" s="85">
        <f t="shared" si="226"/>
        <v>7355.8702827125544</v>
      </c>
      <c r="AV198" s="85">
        <f t="shared" si="145"/>
        <v>7430.1720027399542</v>
      </c>
      <c r="AW198" s="10"/>
      <c r="AX198" s="60">
        <f t="shared" si="156"/>
        <v>2998.125</v>
      </c>
      <c r="AZ198" s="99">
        <f t="shared" ca="1" si="227"/>
        <v>63.966048157837193</v>
      </c>
      <c r="BA198" s="99">
        <f t="shared" ca="1" si="228"/>
        <v>63.966048157837193</v>
      </c>
      <c r="BB198" s="100">
        <f t="shared" ca="1" si="229"/>
        <v>13212.434092196609</v>
      </c>
      <c r="BC198" s="100">
        <f t="shared" ca="1" si="230"/>
        <v>13345.893022420816</v>
      </c>
    </row>
    <row r="199" spans="1:55" ht="11.4" x14ac:dyDescent="0.25">
      <c r="A199" s="1"/>
      <c r="B199" s="1">
        <v>143</v>
      </c>
      <c r="C199" s="66"/>
      <c r="D199" s="83">
        <f t="shared" si="187"/>
        <v>0</v>
      </c>
      <c r="E199" s="83">
        <f t="shared" si="188"/>
        <v>0</v>
      </c>
      <c r="F199" s="90">
        <f t="shared" si="197"/>
        <v>1.5280062088572728</v>
      </c>
      <c r="G199" s="90">
        <f t="shared" si="198"/>
        <v>1.5280062088572728</v>
      </c>
      <c r="H199" s="10">
        <f t="shared" si="199"/>
        <v>741.31468531468533</v>
      </c>
      <c r="I199" s="10">
        <f t="shared" si="200"/>
        <v>1180.979020979021</v>
      </c>
      <c r="J199" s="60">
        <f t="shared" si="201"/>
        <v>7.7213481183739194</v>
      </c>
      <c r="K199" s="85">
        <f t="shared" si="202"/>
        <v>7.6441346371901799</v>
      </c>
      <c r="L199" s="85">
        <f t="shared" si="141"/>
        <v>7.7213481183739194</v>
      </c>
      <c r="M199" s="83">
        <f t="shared" si="189"/>
        <v>0</v>
      </c>
      <c r="N199" s="83">
        <f t="shared" si="190"/>
        <v>0</v>
      </c>
      <c r="O199" s="90">
        <f t="shared" si="203"/>
        <v>11.957708996006867</v>
      </c>
      <c r="P199" s="90">
        <f t="shared" si="204"/>
        <v>11.957708996006867</v>
      </c>
      <c r="Q199" s="10">
        <f t="shared" si="205"/>
        <v>5035.6643356643353</v>
      </c>
      <c r="R199" s="10">
        <f t="shared" si="206"/>
        <v>8022.5524475524471</v>
      </c>
      <c r="S199" s="60">
        <f t="shared" si="207"/>
        <v>2411.4358671063387</v>
      </c>
      <c r="T199" s="85">
        <f t="shared" si="208"/>
        <v>2387.3215084352755</v>
      </c>
      <c r="U199" s="85">
        <f t="shared" si="142"/>
        <v>2411.4358671063387</v>
      </c>
      <c r="V199" s="83">
        <f t="shared" si="191"/>
        <v>8.335696604454837E-2</v>
      </c>
      <c r="W199" s="83">
        <f t="shared" si="192"/>
        <v>5.3972820006251948E-2</v>
      </c>
      <c r="X199" s="90">
        <f t="shared" si="209"/>
        <v>38.101251020399957</v>
      </c>
      <c r="Y199" s="90">
        <f t="shared" si="210"/>
        <v>38.101251020399957</v>
      </c>
      <c r="Z199" s="10">
        <f t="shared" si="211"/>
        <v>10640.734265734265</v>
      </c>
      <c r="AA199" s="10">
        <f t="shared" si="212"/>
        <v>16951.993006993009</v>
      </c>
      <c r="AB199" s="60">
        <f t="shared" si="213"/>
        <v>4504.7254144456947</v>
      </c>
      <c r="AC199" s="85">
        <f t="shared" si="214"/>
        <v>4459.6781603012378</v>
      </c>
      <c r="AD199" s="85">
        <f t="shared" si="143"/>
        <v>4504.7254144456947</v>
      </c>
      <c r="AE199" s="83">
        <f t="shared" si="193"/>
        <v>0.58434630507756546</v>
      </c>
      <c r="AF199" s="83">
        <f t="shared" si="194"/>
        <v>0.37161865978229819</v>
      </c>
      <c r="AG199" s="90">
        <f t="shared" si="215"/>
        <v>63.518733135754417</v>
      </c>
      <c r="AH199" s="90">
        <f t="shared" si="216"/>
        <v>63.518733135754417</v>
      </c>
      <c r="AI199" s="10">
        <f t="shared" si="217"/>
        <v>20062.237762237761</v>
      </c>
      <c r="AJ199" s="10">
        <f t="shared" si="218"/>
        <v>31961.538461538461</v>
      </c>
      <c r="AK199" s="60">
        <f t="shared" si="219"/>
        <v>13177.295072408944</v>
      </c>
      <c r="AL199" s="85">
        <f t="shared" si="220"/>
        <v>13045.522121684855</v>
      </c>
      <c r="AM199" s="85">
        <f t="shared" si="144"/>
        <v>13177.295072408944</v>
      </c>
      <c r="AN199" s="83">
        <f t="shared" si="195"/>
        <v>0.24692927071645743</v>
      </c>
      <c r="AO199" s="83">
        <f t="shared" si="196"/>
        <v>0.15768373365942179</v>
      </c>
      <c r="AP199" s="90">
        <f t="shared" si="221"/>
        <v>46.15919284855454</v>
      </c>
      <c r="AQ199" s="90">
        <f t="shared" si="222"/>
        <v>46.15919284855454</v>
      </c>
      <c r="AR199" s="10">
        <f t="shared" si="223"/>
        <v>11562.097902097903</v>
      </c>
      <c r="AS199" s="10">
        <f t="shared" si="224"/>
        <v>18419.636363636364</v>
      </c>
      <c r="AT199" s="60">
        <f t="shared" si="225"/>
        <v>7336.3070387549269</v>
      </c>
      <c r="AU199" s="85">
        <f t="shared" si="226"/>
        <v>7262.9439683673772</v>
      </c>
      <c r="AV199" s="85">
        <f t="shared" si="145"/>
        <v>7336.3070387549269</v>
      </c>
      <c r="AW199" s="10"/>
      <c r="AX199" s="60">
        <f t="shared" si="156"/>
        <v>3031.125</v>
      </c>
      <c r="AZ199" s="99">
        <f t="shared" ca="1" si="227"/>
        <v>63.518733135754417</v>
      </c>
      <c r="BA199" s="99">
        <f t="shared" ca="1" si="228"/>
        <v>63.518733135754417</v>
      </c>
      <c r="BB199" s="100">
        <f t="shared" ca="1" si="229"/>
        <v>13045.522121684855</v>
      </c>
      <c r="BC199" s="100">
        <f t="shared" ca="1" si="230"/>
        <v>13177.295072408944</v>
      </c>
    </row>
    <row r="200" spans="1:55" ht="11.4" x14ac:dyDescent="0.25">
      <c r="A200" s="1"/>
      <c r="B200" s="1">
        <v>144</v>
      </c>
      <c r="C200" s="66"/>
      <c r="D200" s="83">
        <f t="shared" si="187"/>
        <v>0</v>
      </c>
      <c r="E200" s="83">
        <f t="shared" si="188"/>
        <v>0</v>
      </c>
      <c r="F200" s="90">
        <f t="shared" si="197"/>
        <v>1.5173950546290973</v>
      </c>
      <c r="G200" s="90">
        <f t="shared" si="198"/>
        <v>1.5173950546290973</v>
      </c>
      <c r="H200" s="10">
        <f t="shared" si="199"/>
        <v>736.16666666666663</v>
      </c>
      <c r="I200" s="10">
        <f t="shared" si="200"/>
        <v>1172.7777777777778</v>
      </c>
      <c r="J200" s="60">
        <f t="shared" si="201"/>
        <v>7.5879943102206351</v>
      </c>
      <c r="K200" s="85">
        <f t="shared" si="202"/>
        <v>7.5121143671184285</v>
      </c>
      <c r="L200" s="85">
        <f t="shared" si="141"/>
        <v>7.5879943102206351</v>
      </c>
      <c r="M200" s="83">
        <f t="shared" si="189"/>
        <v>0</v>
      </c>
      <c r="N200" s="83">
        <f t="shared" si="190"/>
        <v>0</v>
      </c>
      <c r="O200" s="90">
        <f t="shared" si="203"/>
        <v>11.874669350201264</v>
      </c>
      <c r="P200" s="90">
        <f t="shared" si="204"/>
        <v>11.874669350201264</v>
      </c>
      <c r="Q200" s="10">
        <f t="shared" si="205"/>
        <v>5000.6944444444443</v>
      </c>
      <c r="R200" s="10">
        <f t="shared" si="206"/>
        <v>7966.8402777777774</v>
      </c>
      <c r="S200" s="60">
        <f t="shared" si="207"/>
        <v>2385.0303939348096</v>
      </c>
      <c r="T200" s="85">
        <f t="shared" si="208"/>
        <v>2361.1800899954615</v>
      </c>
      <c r="U200" s="85">
        <f t="shared" si="142"/>
        <v>2385.0303939348096</v>
      </c>
      <c r="V200" s="83">
        <f t="shared" si="191"/>
        <v>7.7815121219365901E-2</v>
      </c>
      <c r="W200" s="83">
        <f t="shared" si="192"/>
        <v>5.0471385973747604E-2</v>
      </c>
      <c r="X200" s="90">
        <f t="shared" si="209"/>
        <v>37.836658999424955</v>
      </c>
      <c r="Y200" s="90">
        <f t="shared" si="210"/>
        <v>37.836658999424955</v>
      </c>
      <c r="Z200" s="10">
        <f t="shared" si="211"/>
        <v>10566.840277777777</v>
      </c>
      <c r="AA200" s="10">
        <f t="shared" si="212"/>
        <v>16834.270833333332</v>
      </c>
      <c r="AB200" s="60">
        <f t="shared" si="213"/>
        <v>4442.3770254629626</v>
      </c>
      <c r="AC200" s="85">
        <f t="shared" si="214"/>
        <v>4397.9532552083328</v>
      </c>
      <c r="AD200" s="85">
        <f t="shared" si="143"/>
        <v>4442.3770254629626</v>
      </c>
      <c r="AE200" s="83">
        <f t="shared" si="193"/>
        <v>0.5728563585630283</v>
      </c>
      <c r="AF200" s="83">
        <f t="shared" si="194"/>
        <v>0.36434590846021797</v>
      </c>
      <c r="AG200" s="90">
        <f t="shared" si="215"/>
        <v>63.077630822311676</v>
      </c>
      <c r="AH200" s="90">
        <f t="shared" si="216"/>
        <v>63.077630822311676</v>
      </c>
      <c r="AI200" s="10">
        <f t="shared" si="217"/>
        <v>19922.916666666668</v>
      </c>
      <c r="AJ200" s="10">
        <f t="shared" si="218"/>
        <v>31739.583333333332</v>
      </c>
      <c r="AK200" s="60">
        <f t="shared" si="219"/>
        <v>13011.979769333499</v>
      </c>
      <c r="AL200" s="85">
        <f t="shared" si="220"/>
        <v>12881.859971640164</v>
      </c>
      <c r="AM200" s="85">
        <f t="shared" si="144"/>
        <v>13011.979769333499</v>
      </c>
      <c r="AN200" s="83">
        <f t="shared" si="195"/>
        <v>0.23967237802607105</v>
      </c>
      <c r="AO200" s="83">
        <f t="shared" si="196"/>
        <v>0.1530948956105958</v>
      </c>
      <c r="AP200" s="90">
        <f t="shared" si="221"/>
        <v>45.838642898217358</v>
      </c>
      <c r="AQ200" s="90">
        <f t="shared" si="222"/>
        <v>45.838642898217358</v>
      </c>
      <c r="AR200" s="10">
        <f t="shared" si="223"/>
        <v>11481.805555555555</v>
      </c>
      <c r="AS200" s="10">
        <f t="shared" si="224"/>
        <v>18291.722222222223</v>
      </c>
      <c r="AT200" s="60">
        <f t="shared" si="225"/>
        <v>7244.2696505882377</v>
      </c>
      <c r="AU200" s="85">
        <f t="shared" si="226"/>
        <v>7171.8269540823549</v>
      </c>
      <c r="AV200" s="85">
        <f t="shared" si="145"/>
        <v>7244.2696505882377</v>
      </c>
      <c r="AW200" s="10"/>
      <c r="AX200" s="60">
        <f t="shared" si="156"/>
        <v>3064.375</v>
      </c>
      <c r="AZ200" s="99">
        <f t="shared" ca="1" si="227"/>
        <v>63.077630822311676</v>
      </c>
      <c r="BA200" s="99">
        <f t="shared" ca="1" si="228"/>
        <v>63.077630822311676</v>
      </c>
      <c r="BB200" s="100">
        <f t="shared" ca="1" si="229"/>
        <v>12881.859971640164</v>
      </c>
      <c r="BC200" s="100">
        <f t="shared" ca="1" si="230"/>
        <v>13011.979769333499</v>
      </c>
    </row>
    <row r="201" spans="1:55" ht="11.4" x14ac:dyDescent="0.25">
      <c r="A201" s="1"/>
      <c r="B201" s="1">
        <v>145</v>
      </c>
      <c r="C201" s="66"/>
      <c r="D201" s="83">
        <f t="shared" si="187"/>
        <v>0</v>
      </c>
      <c r="E201" s="83">
        <f t="shared" si="188"/>
        <v>0</v>
      </c>
      <c r="F201" s="90">
        <f t="shared" si="197"/>
        <v>1.5069302611488966</v>
      </c>
      <c r="G201" s="90">
        <f t="shared" si="198"/>
        <v>1.5069302611488966</v>
      </c>
      <c r="H201" s="10">
        <f t="shared" si="199"/>
        <v>731.08965517241381</v>
      </c>
      <c r="I201" s="10">
        <f t="shared" si="200"/>
        <v>1164.6896551724137</v>
      </c>
      <c r="J201" s="60">
        <f t="shared" si="201"/>
        <v>7.4578427375363887</v>
      </c>
      <c r="K201" s="85">
        <f t="shared" si="202"/>
        <v>7.3832643101610245</v>
      </c>
      <c r="L201" s="85">
        <f t="shared" si="141"/>
        <v>7.4578427375363887</v>
      </c>
      <c r="M201" s="83">
        <f t="shared" si="189"/>
        <v>0</v>
      </c>
      <c r="N201" s="83">
        <f t="shared" si="190"/>
        <v>0</v>
      </c>
      <c r="O201" s="90">
        <f t="shared" si="203"/>
        <v>11.792775078820565</v>
      </c>
      <c r="P201" s="90">
        <f t="shared" si="204"/>
        <v>11.792775078820565</v>
      </c>
      <c r="Q201" s="10">
        <f t="shared" si="205"/>
        <v>4966.2068965517237</v>
      </c>
      <c r="R201" s="10">
        <f t="shared" si="206"/>
        <v>7911.8965517241377</v>
      </c>
      <c r="S201" s="60">
        <f t="shared" si="207"/>
        <v>2359.0938144059342</v>
      </c>
      <c r="T201" s="85">
        <f t="shared" si="208"/>
        <v>2335.5028762618749</v>
      </c>
      <c r="U201" s="85">
        <f t="shared" si="142"/>
        <v>2359.0938144059342</v>
      </c>
      <c r="V201" s="83">
        <f t="shared" si="191"/>
        <v>7.2340242964930176E-2</v>
      </c>
      <c r="W201" s="83">
        <f t="shared" si="192"/>
        <v>4.7012457478753183E-2</v>
      </c>
      <c r="X201" s="90">
        <f t="shared" si="209"/>
        <v>37.575716523566854</v>
      </c>
      <c r="Y201" s="90">
        <f t="shared" si="210"/>
        <v>37.575716523566854</v>
      </c>
      <c r="Z201" s="10">
        <f t="shared" si="211"/>
        <v>10493.965517241379</v>
      </c>
      <c r="AA201" s="10">
        <f t="shared" si="212"/>
        <v>16718.172413793105</v>
      </c>
      <c r="AB201" s="60">
        <f t="shared" si="213"/>
        <v>4381.3141498216419</v>
      </c>
      <c r="AC201" s="85">
        <f t="shared" si="214"/>
        <v>4337.5010083234256</v>
      </c>
      <c r="AD201" s="85">
        <f t="shared" si="143"/>
        <v>4381.3141498216419</v>
      </c>
      <c r="AE201" s="83">
        <f t="shared" si="193"/>
        <v>0.56154377642680398</v>
      </c>
      <c r="AF201" s="83">
        <f t="shared" si="194"/>
        <v>0.35718565898407512</v>
      </c>
      <c r="AG201" s="90">
        <f t="shared" si="215"/>
        <v>62.642612678709526</v>
      </c>
      <c r="AH201" s="90">
        <f t="shared" si="216"/>
        <v>62.642612678709526</v>
      </c>
      <c r="AI201" s="10">
        <f t="shared" si="217"/>
        <v>19785.517241379312</v>
      </c>
      <c r="AJ201" s="10">
        <f t="shared" si="218"/>
        <v>31520.689655172413</v>
      </c>
      <c r="AK201" s="60">
        <f t="shared" si="219"/>
        <v>12849.861063532015</v>
      </c>
      <c r="AL201" s="85">
        <f t="shared" si="220"/>
        <v>12721.362452896694</v>
      </c>
      <c r="AM201" s="85">
        <f t="shared" si="144"/>
        <v>12849.861063532015</v>
      </c>
      <c r="AN201" s="83">
        <f t="shared" si="195"/>
        <v>0.23251099783420751</v>
      </c>
      <c r="AO201" s="83">
        <f t="shared" si="196"/>
        <v>0.14856666227723458</v>
      </c>
      <c r="AP201" s="90">
        <f t="shared" si="221"/>
        <v>45.522514326505515</v>
      </c>
      <c r="AQ201" s="90">
        <f t="shared" si="222"/>
        <v>45.522514326505515</v>
      </c>
      <c r="AR201" s="10">
        <f t="shared" si="223"/>
        <v>11402.620689655172</v>
      </c>
      <c r="AS201" s="10">
        <f t="shared" si="224"/>
        <v>18165.572413793103</v>
      </c>
      <c r="AT201" s="60">
        <f t="shared" si="225"/>
        <v>7154.0119310828468</v>
      </c>
      <c r="AU201" s="85">
        <f t="shared" si="226"/>
        <v>7082.4718117720186</v>
      </c>
      <c r="AV201" s="85">
        <f t="shared" si="145"/>
        <v>7154.0119310828468</v>
      </c>
      <c r="AW201" s="10"/>
      <c r="AX201" s="60">
        <f t="shared" si="156"/>
        <v>3097.75</v>
      </c>
      <c r="AZ201" s="99">
        <f t="shared" ca="1" si="227"/>
        <v>62.642612678709526</v>
      </c>
      <c r="BA201" s="99">
        <f t="shared" ca="1" si="228"/>
        <v>62.642612678709526</v>
      </c>
      <c r="BB201" s="100">
        <f t="shared" ca="1" si="229"/>
        <v>12721.362452896694</v>
      </c>
      <c r="BC201" s="100">
        <f t="shared" ca="1" si="230"/>
        <v>12849.861063532015</v>
      </c>
    </row>
    <row r="202" spans="1:55" ht="11.4" x14ac:dyDescent="0.25">
      <c r="A202" s="1"/>
      <c r="B202" s="1">
        <v>146</v>
      </c>
      <c r="C202" s="66"/>
      <c r="D202" s="83">
        <f t="shared" si="187"/>
        <v>0</v>
      </c>
      <c r="E202" s="83">
        <f t="shared" si="188"/>
        <v>0</v>
      </c>
      <c r="F202" s="90">
        <f t="shared" si="197"/>
        <v>1.4966088210040411</v>
      </c>
      <c r="G202" s="90">
        <f t="shared" si="198"/>
        <v>1.4966088210040411</v>
      </c>
      <c r="H202" s="10">
        <f t="shared" si="199"/>
        <v>726.08219178082197</v>
      </c>
      <c r="I202" s="10">
        <f t="shared" si="200"/>
        <v>1156.7123287671234</v>
      </c>
      <c r="J202" s="60">
        <f t="shared" si="201"/>
        <v>7.3307952088907138</v>
      </c>
      <c r="K202" s="85">
        <f t="shared" si="202"/>
        <v>7.2574872568018067</v>
      </c>
      <c r="L202" s="85">
        <f t="shared" si="141"/>
        <v>7.3307952088907138</v>
      </c>
      <c r="M202" s="83">
        <f t="shared" si="189"/>
        <v>0</v>
      </c>
      <c r="N202" s="83">
        <f t="shared" si="190"/>
        <v>0</v>
      </c>
      <c r="O202" s="90">
        <f t="shared" si="203"/>
        <v>11.712002646773849</v>
      </c>
      <c r="P202" s="90">
        <f t="shared" si="204"/>
        <v>11.712002646773849</v>
      </c>
      <c r="Q202" s="10">
        <f t="shared" si="205"/>
        <v>4932.1917808219177</v>
      </c>
      <c r="R202" s="10">
        <f t="shared" si="206"/>
        <v>7857.7054794520545</v>
      </c>
      <c r="S202" s="60">
        <f t="shared" si="207"/>
        <v>2333.6146539031197</v>
      </c>
      <c r="T202" s="85">
        <f t="shared" si="208"/>
        <v>2310.2785073640885</v>
      </c>
      <c r="U202" s="85">
        <f t="shared" si="142"/>
        <v>2333.6146539031197</v>
      </c>
      <c r="V202" s="83">
        <f t="shared" si="191"/>
        <v>6.6923009905675429E-2</v>
      </c>
      <c r="W202" s="83">
        <f t="shared" si="192"/>
        <v>4.3590170668687402E-2</v>
      </c>
      <c r="X202" s="90">
        <f t="shared" si="209"/>
        <v>37.318348602172563</v>
      </c>
      <c r="Y202" s="90">
        <f t="shared" si="210"/>
        <v>37.318348602172563</v>
      </c>
      <c r="Z202" s="10">
        <f t="shared" si="211"/>
        <v>10422.089041095891</v>
      </c>
      <c r="AA202" s="10">
        <f t="shared" si="212"/>
        <v>16603.664383561645</v>
      </c>
      <c r="AB202" s="60">
        <f t="shared" si="213"/>
        <v>4321.5016888722084</v>
      </c>
      <c r="AC202" s="85">
        <f t="shared" si="214"/>
        <v>4278.2866719834865</v>
      </c>
      <c r="AD202" s="85">
        <f t="shared" si="143"/>
        <v>4321.5016888722084</v>
      </c>
      <c r="AE202" s="83">
        <f t="shared" si="193"/>
        <v>0.55039645736481391</v>
      </c>
      <c r="AF202" s="83">
        <f t="shared" si="194"/>
        <v>0.35013028492340836</v>
      </c>
      <c r="AG202" s="90">
        <f t="shared" si="215"/>
        <v>62.213553687759457</v>
      </c>
      <c r="AH202" s="90">
        <f t="shared" si="216"/>
        <v>62.213553687759457</v>
      </c>
      <c r="AI202" s="10">
        <f t="shared" si="217"/>
        <v>19650</v>
      </c>
      <c r="AJ202" s="10">
        <f t="shared" si="218"/>
        <v>31304.794520547945</v>
      </c>
      <c r="AK202" s="60">
        <f t="shared" si="219"/>
        <v>12690.855733327597</v>
      </c>
      <c r="AL202" s="85">
        <f t="shared" si="220"/>
        <v>12563.947175994321</v>
      </c>
      <c r="AM202" s="85">
        <f t="shared" si="144"/>
        <v>12690.855733327597</v>
      </c>
      <c r="AN202" s="83">
        <f t="shared" si="195"/>
        <v>0.22543515980609966</v>
      </c>
      <c r="AO202" s="83">
        <f t="shared" si="196"/>
        <v>0.14409275834253105</v>
      </c>
      <c r="AP202" s="90">
        <f t="shared" si="221"/>
        <v>45.210716283173284</v>
      </c>
      <c r="AQ202" s="90">
        <f t="shared" si="222"/>
        <v>45.210716283173284</v>
      </c>
      <c r="AR202" s="10">
        <f t="shared" si="223"/>
        <v>11324.520547945205</v>
      </c>
      <c r="AS202" s="10">
        <f t="shared" si="224"/>
        <v>18041.150684931508</v>
      </c>
      <c r="AT202" s="60">
        <f t="shared" si="225"/>
        <v>7065.4875475300569</v>
      </c>
      <c r="AU202" s="85">
        <f t="shared" si="226"/>
        <v>6994.8326720547566</v>
      </c>
      <c r="AV202" s="85">
        <f t="shared" si="145"/>
        <v>7065.4875475300569</v>
      </c>
      <c r="AW202" s="10"/>
      <c r="AX202" s="60">
        <f t="shared" si="156"/>
        <v>3131.375</v>
      </c>
      <c r="AZ202" s="99">
        <f t="shared" ca="1" si="227"/>
        <v>62.213553687759457</v>
      </c>
      <c r="BA202" s="99">
        <f t="shared" ca="1" si="228"/>
        <v>62.213553687759457</v>
      </c>
      <c r="BB202" s="100">
        <f t="shared" ca="1" si="229"/>
        <v>12563.947175994321</v>
      </c>
      <c r="BC202" s="100">
        <f t="shared" ca="1" si="230"/>
        <v>12690.855733327597</v>
      </c>
    </row>
    <row r="203" spans="1:55" ht="11.4" x14ac:dyDescent="0.25">
      <c r="A203" s="1"/>
      <c r="B203" s="1">
        <v>147</v>
      </c>
      <c r="C203" s="66"/>
      <c r="D203" s="83">
        <f t="shared" si="187"/>
        <v>0</v>
      </c>
      <c r="E203" s="83">
        <f t="shared" si="188"/>
        <v>0</v>
      </c>
      <c r="F203" s="90">
        <f t="shared" si="197"/>
        <v>1.4864278086162586</v>
      </c>
      <c r="G203" s="90">
        <f t="shared" si="198"/>
        <v>1.4864278086162586</v>
      </c>
      <c r="H203" s="10">
        <f t="shared" si="199"/>
        <v>721.14285714285711</v>
      </c>
      <c r="I203" s="10">
        <f t="shared" si="200"/>
        <v>1148.843537414966</v>
      </c>
      <c r="J203" s="60">
        <f t="shared" si="201"/>
        <v>7.2067571878946897</v>
      </c>
      <c r="K203" s="85">
        <f t="shared" si="202"/>
        <v>7.1346896160157431</v>
      </c>
      <c r="L203" s="85">
        <f t="shared" si="141"/>
        <v>7.2067571878946897</v>
      </c>
      <c r="M203" s="83">
        <f t="shared" si="189"/>
        <v>0</v>
      </c>
      <c r="N203" s="83">
        <f t="shared" si="190"/>
        <v>0</v>
      </c>
      <c r="O203" s="90">
        <f t="shared" si="203"/>
        <v>11.632329159380831</v>
      </c>
      <c r="P203" s="90">
        <f t="shared" si="204"/>
        <v>11.632329159380831</v>
      </c>
      <c r="Q203" s="10">
        <f t="shared" si="205"/>
        <v>4898.6394557823132</v>
      </c>
      <c r="R203" s="10">
        <f t="shared" si="206"/>
        <v>7804.2517006802718</v>
      </c>
      <c r="S203" s="60">
        <f t="shared" si="207"/>
        <v>2308.5817946098282</v>
      </c>
      <c r="T203" s="85">
        <f t="shared" si="208"/>
        <v>2285.4959766637298</v>
      </c>
      <c r="U203" s="85">
        <f t="shared" si="142"/>
        <v>2308.5817946098282</v>
      </c>
      <c r="V203" s="83">
        <f t="shared" si="191"/>
        <v>6.1561463222663086E-2</v>
      </c>
      <c r="W203" s="83">
        <f t="shared" si="192"/>
        <v>4.0203283579623626E-2</v>
      </c>
      <c r="X203" s="90">
        <f t="shared" si="209"/>
        <v>37.06448228515098</v>
      </c>
      <c r="Y203" s="90">
        <f t="shared" si="210"/>
        <v>37.06448228515098</v>
      </c>
      <c r="Z203" s="10">
        <f t="shared" si="211"/>
        <v>10351.190476190477</v>
      </c>
      <c r="AA203" s="10">
        <f t="shared" si="212"/>
        <v>16490.714285714286</v>
      </c>
      <c r="AB203" s="60">
        <f t="shared" si="213"/>
        <v>4262.9057337220602</v>
      </c>
      <c r="AC203" s="85">
        <f t="shared" si="214"/>
        <v>4220.2766763848394</v>
      </c>
      <c r="AD203" s="85">
        <f t="shared" si="143"/>
        <v>4262.9057337220602</v>
      </c>
      <c r="AE203" s="83">
        <f t="shared" si="193"/>
        <v>0.53940975082464138</v>
      </c>
      <c r="AF203" s="83">
        <f t="shared" si="194"/>
        <v>0.34317683765533774</v>
      </c>
      <c r="AG203" s="90">
        <f t="shared" si="215"/>
        <v>61.790332234101236</v>
      </c>
      <c r="AH203" s="90">
        <f t="shared" si="216"/>
        <v>61.790332234101236</v>
      </c>
      <c r="AI203" s="10">
        <f t="shared" si="217"/>
        <v>19516.326530612245</v>
      </c>
      <c r="AJ203" s="10">
        <f t="shared" si="218"/>
        <v>31091.836734693876</v>
      </c>
      <c r="AK203" s="60">
        <f t="shared" si="219"/>
        <v>12534.883273534533</v>
      </c>
      <c r="AL203" s="85">
        <f t="shared" si="220"/>
        <v>12409.534440799187</v>
      </c>
      <c r="AM203" s="85">
        <f t="shared" si="144"/>
        <v>12534.883273534533</v>
      </c>
      <c r="AN203" s="83">
        <f t="shared" si="195"/>
        <v>0.2184422748003311</v>
      </c>
      <c r="AO203" s="83">
        <f t="shared" si="196"/>
        <v>0.13967154219470743</v>
      </c>
      <c r="AP203" s="90">
        <f t="shared" si="221"/>
        <v>44.903160390090477</v>
      </c>
      <c r="AQ203" s="90">
        <f t="shared" si="222"/>
        <v>44.903160390090477</v>
      </c>
      <c r="AR203" s="10">
        <f t="shared" si="223"/>
        <v>11247.482993197278</v>
      </c>
      <c r="AS203" s="10">
        <f t="shared" si="224"/>
        <v>17918.421768707482</v>
      </c>
      <c r="AT203" s="60">
        <f t="shared" si="225"/>
        <v>6978.6516795963043</v>
      </c>
      <c r="AU203" s="85">
        <f t="shared" si="226"/>
        <v>6908.8651628003408</v>
      </c>
      <c r="AV203" s="85">
        <f t="shared" si="145"/>
        <v>6978.6516795963043</v>
      </c>
      <c r="AW203" s="10"/>
      <c r="AX203" s="60">
        <f t="shared" si="156"/>
        <v>3165.25</v>
      </c>
      <c r="AZ203" s="99">
        <f t="shared" ca="1" si="227"/>
        <v>61.790332234101236</v>
      </c>
      <c r="BA203" s="99">
        <f t="shared" ca="1" si="228"/>
        <v>61.790332234101236</v>
      </c>
      <c r="BB203" s="100">
        <f t="shared" ca="1" si="229"/>
        <v>12409.534440799187</v>
      </c>
      <c r="BC203" s="100">
        <f t="shared" ca="1" si="230"/>
        <v>12534.883273534533</v>
      </c>
    </row>
    <row r="204" spans="1:55" ht="11.4" x14ac:dyDescent="0.25">
      <c r="A204" s="1"/>
      <c r="B204" s="1">
        <v>148</v>
      </c>
      <c r="C204" s="66"/>
      <c r="D204" s="83">
        <f t="shared" si="187"/>
        <v>0</v>
      </c>
      <c r="E204" s="83">
        <f t="shared" si="188"/>
        <v>0</v>
      </c>
      <c r="F204" s="90">
        <f t="shared" si="197"/>
        <v>1.4763843774769594</v>
      </c>
      <c r="G204" s="90">
        <f t="shared" si="198"/>
        <v>1.4763843774769594</v>
      </c>
      <c r="H204" s="10">
        <f t="shared" si="199"/>
        <v>716.27027027027032</v>
      </c>
      <c r="I204" s="10">
        <f t="shared" si="200"/>
        <v>1141.081081081081</v>
      </c>
      <c r="J204" s="60">
        <f t="shared" si="201"/>
        <v>7.0856376334917304</v>
      </c>
      <c r="K204" s="85">
        <f t="shared" si="202"/>
        <v>7.0147812571568133</v>
      </c>
      <c r="L204" s="85">
        <f t="shared" si="141"/>
        <v>7.0856376334917304</v>
      </c>
      <c r="M204" s="83">
        <f t="shared" si="189"/>
        <v>0</v>
      </c>
      <c r="N204" s="83">
        <f t="shared" si="190"/>
        <v>0</v>
      </c>
      <c r="O204" s="90">
        <f t="shared" si="203"/>
        <v>11.553732340736365</v>
      </c>
      <c r="P204" s="90">
        <f t="shared" si="204"/>
        <v>11.553732340736365</v>
      </c>
      <c r="Q204" s="10">
        <f t="shared" si="205"/>
        <v>4865.5405405405409</v>
      </c>
      <c r="R204" s="10">
        <f t="shared" si="206"/>
        <v>7751.52027027027</v>
      </c>
      <c r="S204" s="60">
        <f t="shared" si="207"/>
        <v>2283.9844620837584</v>
      </c>
      <c r="T204" s="85">
        <f t="shared" si="208"/>
        <v>2261.1446174629209</v>
      </c>
      <c r="U204" s="85">
        <f t="shared" si="142"/>
        <v>2283.9844620837584</v>
      </c>
      <c r="V204" s="83">
        <f t="shared" si="191"/>
        <v>5.626100387673371E-2</v>
      </c>
      <c r="W204" s="83">
        <f t="shared" si="192"/>
        <v>3.6855174375665073E-2</v>
      </c>
      <c r="X204" s="90">
        <f t="shared" si="209"/>
        <v>36.814046594035091</v>
      </c>
      <c r="Y204" s="90">
        <f t="shared" si="210"/>
        <v>36.814046594035091</v>
      </c>
      <c r="Z204" s="10">
        <f t="shared" si="211"/>
        <v>10281.25</v>
      </c>
      <c r="AA204" s="10">
        <f t="shared" si="212"/>
        <v>16379.29054054054</v>
      </c>
      <c r="AB204" s="60">
        <f t="shared" si="213"/>
        <v>4205.4935171658144</v>
      </c>
      <c r="AC204" s="85">
        <f t="shared" si="214"/>
        <v>4163.4385819941563</v>
      </c>
      <c r="AD204" s="85">
        <f t="shared" si="143"/>
        <v>4205.4935171658144</v>
      </c>
      <c r="AE204" s="83">
        <f t="shared" si="193"/>
        <v>0.52858645086043909</v>
      </c>
      <c r="AF204" s="83">
        <f t="shared" si="194"/>
        <v>0.33632704246834688</v>
      </c>
      <c r="AG204" s="90">
        <f t="shared" si="215"/>
        <v>61.372829989276227</v>
      </c>
      <c r="AH204" s="90">
        <f t="shared" si="216"/>
        <v>61.372829989276227</v>
      </c>
      <c r="AI204" s="10">
        <f t="shared" si="217"/>
        <v>19384.45945945946</v>
      </c>
      <c r="AJ204" s="10">
        <f t="shared" si="218"/>
        <v>30881.756756756757</v>
      </c>
      <c r="AK204" s="60">
        <f t="shared" si="219"/>
        <v>12381.865789081272</v>
      </c>
      <c r="AL204" s="85">
        <f t="shared" si="220"/>
        <v>12258.047131190458</v>
      </c>
      <c r="AM204" s="85">
        <f t="shared" si="144"/>
        <v>12381.865789081272</v>
      </c>
      <c r="AN204" s="83">
        <f t="shared" si="195"/>
        <v>0.21153713144762668</v>
      </c>
      <c r="AO204" s="83">
        <f t="shared" si="196"/>
        <v>0.13530600375784124</v>
      </c>
      <c r="AP204" s="90">
        <f t="shared" si="221"/>
        <v>44.599760657725</v>
      </c>
      <c r="AQ204" s="90">
        <f t="shared" si="222"/>
        <v>44.599760657725</v>
      </c>
      <c r="AR204" s="10">
        <f t="shared" si="223"/>
        <v>11171.486486486487</v>
      </c>
      <c r="AS204" s="10">
        <f t="shared" si="224"/>
        <v>17797.35135135135</v>
      </c>
      <c r="AT204" s="60">
        <f t="shared" si="225"/>
        <v>6893.4609600989825</v>
      </c>
      <c r="AU204" s="85">
        <f t="shared" si="226"/>
        <v>6824.526350497993</v>
      </c>
      <c r="AV204" s="85">
        <f t="shared" si="145"/>
        <v>6893.4609600989825</v>
      </c>
      <c r="AW204" s="10"/>
      <c r="AX204" s="60">
        <f t="shared" si="156"/>
        <v>3199.25</v>
      </c>
      <c r="AZ204" s="99">
        <f t="shared" ca="1" si="227"/>
        <v>61.372829989276227</v>
      </c>
      <c r="BA204" s="99">
        <f t="shared" ca="1" si="228"/>
        <v>61.372829989276227</v>
      </c>
      <c r="BB204" s="100">
        <f t="shared" ca="1" si="229"/>
        <v>12258.047131190458</v>
      </c>
      <c r="BC204" s="100">
        <f t="shared" ca="1" si="230"/>
        <v>12381.865789081272</v>
      </c>
    </row>
    <row r="205" spans="1:55" ht="11.4" x14ac:dyDescent="0.25">
      <c r="A205" s="1"/>
      <c r="B205" s="1">
        <v>149</v>
      </c>
      <c r="C205" s="66"/>
      <c r="D205" s="83">
        <f t="shared" si="187"/>
        <v>0</v>
      </c>
      <c r="E205" s="83">
        <f t="shared" si="188"/>
        <v>0</v>
      </c>
      <c r="F205" s="90">
        <f t="shared" si="197"/>
        <v>1.4664757574938927</v>
      </c>
      <c r="G205" s="90">
        <f t="shared" si="198"/>
        <v>1.4664757574938927</v>
      </c>
      <c r="H205" s="10">
        <f t="shared" si="199"/>
        <v>711.46308724832215</v>
      </c>
      <c r="I205" s="10">
        <f t="shared" si="200"/>
        <v>1133.4228187919464</v>
      </c>
      <c r="J205" s="60">
        <f t="shared" si="201"/>
        <v>6.9673488482468082</v>
      </c>
      <c r="K205" s="85">
        <f t="shared" si="202"/>
        <v>6.8976753597643397</v>
      </c>
      <c r="L205" s="85">
        <f t="shared" si="141"/>
        <v>6.9673488482468082</v>
      </c>
      <c r="M205" s="83">
        <f t="shared" si="189"/>
        <v>0</v>
      </c>
      <c r="N205" s="83">
        <f t="shared" si="190"/>
        <v>0</v>
      </c>
      <c r="O205" s="90">
        <f t="shared" si="203"/>
        <v>11.476190512946188</v>
      </c>
      <c r="P205" s="90">
        <f t="shared" si="204"/>
        <v>11.476190512946188</v>
      </c>
      <c r="Q205" s="10">
        <f t="shared" si="205"/>
        <v>4832.8859060402683</v>
      </c>
      <c r="R205" s="10">
        <f t="shared" si="206"/>
        <v>7699.4966442953018</v>
      </c>
      <c r="S205" s="60">
        <f t="shared" si="207"/>
        <v>2259.8122124227584</v>
      </c>
      <c r="T205" s="85">
        <f t="shared" si="208"/>
        <v>2237.2140902985307</v>
      </c>
      <c r="U205" s="85">
        <f t="shared" si="142"/>
        <v>2259.8122124227584</v>
      </c>
      <c r="V205" s="83">
        <f t="shared" si="191"/>
        <v>5.1012508478273107E-2</v>
      </c>
      <c r="W205" s="83">
        <f t="shared" si="192"/>
        <v>3.3540104734673851E-2</v>
      </c>
      <c r="X205" s="90">
        <f t="shared" si="209"/>
        <v>36.566972455820093</v>
      </c>
      <c r="Y205" s="90">
        <f t="shared" si="210"/>
        <v>36.566972455820093</v>
      </c>
      <c r="Z205" s="10">
        <f t="shared" si="211"/>
        <v>10212.24832214765</v>
      </c>
      <c r="AA205" s="10">
        <f t="shared" si="212"/>
        <v>16269.362416107382</v>
      </c>
      <c r="AB205" s="60">
        <f t="shared" si="213"/>
        <v>4149.2333678663126</v>
      </c>
      <c r="AC205" s="85">
        <f t="shared" si="214"/>
        <v>4107.7410341876493</v>
      </c>
      <c r="AD205" s="85">
        <f t="shared" si="143"/>
        <v>4149.2333678663126</v>
      </c>
      <c r="AE205" s="83">
        <f t="shared" si="193"/>
        <v>0.51791490878458735</v>
      </c>
      <c r="AF205" s="83">
        <f t="shared" si="194"/>
        <v>0.32957355990761267</v>
      </c>
      <c r="AG205" s="90">
        <f t="shared" si="215"/>
        <v>60.960931801428735</v>
      </c>
      <c r="AH205" s="90">
        <f t="shared" si="216"/>
        <v>60.960931801428735</v>
      </c>
      <c r="AI205" s="10">
        <f t="shared" si="217"/>
        <v>19254.362416107382</v>
      </c>
      <c r="AJ205" s="10">
        <f t="shared" si="218"/>
        <v>30674.496644295301</v>
      </c>
      <c r="AK205" s="60">
        <f t="shared" si="219"/>
        <v>12231.727893483137</v>
      </c>
      <c r="AL205" s="85">
        <f t="shared" si="220"/>
        <v>12109.410614548306</v>
      </c>
      <c r="AM205" s="85">
        <f t="shared" si="144"/>
        <v>12231.727893483137</v>
      </c>
      <c r="AN205" s="83">
        <f t="shared" si="195"/>
        <v>0.20471001140221201</v>
      </c>
      <c r="AO205" s="83">
        <f t="shared" si="196"/>
        <v>0.13099002748550187</v>
      </c>
      <c r="AP205" s="90">
        <f t="shared" si="221"/>
        <v>44.300433404988588</v>
      </c>
      <c r="AQ205" s="90">
        <f t="shared" si="222"/>
        <v>44.300433404988588</v>
      </c>
      <c r="AR205" s="10">
        <f t="shared" si="223"/>
        <v>11096.510067114094</v>
      </c>
      <c r="AS205" s="10">
        <f t="shared" si="224"/>
        <v>17677.906040268455</v>
      </c>
      <c r="AT205" s="60">
        <f t="shared" si="225"/>
        <v>6809.8734184822879</v>
      </c>
      <c r="AU205" s="85">
        <f t="shared" si="226"/>
        <v>6741.7746842974648</v>
      </c>
      <c r="AV205" s="85">
        <f t="shared" si="145"/>
        <v>6809.8734184822879</v>
      </c>
      <c r="AW205" s="10"/>
      <c r="AX205" s="60">
        <f t="shared" si="156"/>
        <v>3233.5</v>
      </c>
      <c r="AZ205" s="99">
        <f t="shared" ca="1" si="227"/>
        <v>60.960931801428735</v>
      </c>
      <c r="BA205" s="99">
        <f t="shared" ca="1" si="228"/>
        <v>60.960931801428735</v>
      </c>
      <c r="BB205" s="100">
        <f t="shared" ca="1" si="229"/>
        <v>12109.410614548306</v>
      </c>
      <c r="BC205" s="100">
        <f t="shared" ca="1" si="230"/>
        <v>12231.727893483137</v>
      </c>
    </row>
    <row r="206" spans="1:55" ht="11.4" x14ac:dyDescent="0.25">
      <c r="A206" s="1"/>
      <c r="B206" s="1">
        <v>150</v>
      </c>
      <c r="C206" s="66"/>
      <c r="D206" s="83">
        <f t="shared" si="187"/>
        <v>0</v>
      </c>
      <c r="E206" s="83">
        <f t="shared" si="188"/>
        <v>0</v>
      </c>
      <c r="F206" s="90">
        <f t="shared" si="197"/>
        <v>1.4566992524439333</v>
      </c>
      <c r="G206" s="90">
        <f t="shared" si="198"/>
        <v>1.4566992524439333</v>
      </c>
      <c r="H206" s="10">
        <f t="shared" si="199"/>
        <v>706.72</v>
      </c>
      <c r="I206" s="10">
        <f t="shared" si="200"/>
        <v>1125.8666666666666</v>
      </c>
      <c r="J206" s="60">
        <f t="shared" si="201"/>
        <v>6.8518063341831441</v>
      </c>
      <c r="K206" s="85">
        <f t="shared" si="202"/>
        <v>6.7832882708413127</v>
      </c>
      <c r="L206" s="85">
        <f t="shared" si="141"/>
        <v>6.8518063341831441</v>
      </c>
      <c r="M206" s="83">
        <f t="shared" si="189"/>
        <v>0</v>
      </c>
      <c r="N206" s="83">
        <f t="shared" si="190"/>
        <v>0</v>
      </c>
      <c r="O206" s="90">
        <f t="shared" si="203"/>
        <v>11.399682576193213</v>
      </c>
      <c r="P206" s="90">
        <f t="shared" si="204"/>
        <v>11.399682576193213</v>
      </c>
      <c r="Q206" s="10">
        <f t="shared" si="205"/>
        <v>4800.666666666667</v>
      </c>
      <c r="R206" s="10">
        <f t="shared" si="206"/>
        <v>7648.166666666667</v>
      </c>
      <c r="S206" s="60">
        <f t="shared" si="207"/>
        <v>2236.0549199926413</v>
      </c>
      <c r="T206" s="85">
        <f t="shared" si="208"/>
        <v>2213.6943707927148</v>
      </c>
      <c r="U206" s="85">
        <f t="shared" si="142"/>
        <v>2236.0549199926413</v>
      </c>
      <c r="V206" s="83">
        <f t="shared" si="191"/>
        <v>4.5814208246887977E-2</v>
      </c>
      <c r="W206" s="83">
        <f t="shared" si="192"/>
        <v>3.0256953184216024E-2</v>
      </c>
      <c r="X206" s="90">
        <f t="shared" si="209"/>
        <v>36.32319263944796</v>
      </c>
      <c r="Y206" s="90">
        <f t="shared" si="210"/>
        <v>36.32319263944796</v>
      </c>
      <c r="Z206" s="10">
        <f t="shared" si="211"/>
        <v>10144.166666666666</v>
      </c>
      <c r="AA206" s="10">
        <f t="shared" si="212"/>
        <v>16160.9</v>
      </c>
      <c r="AB206" s="60">
        <f t="shared" si="213"/>
        <v>4094.0946666666669</v>
      </c>
      <c r="AC206" s="85">
        <f t="shared" si="214"/>
        <v>4053.1537200000002</v>
      </c>
      <c r="AD206" s="85">
        <f t="shared" si="143"/>
        <v>4094.0946666666669</v>
      </c>
      <c r="AE206" s="83">
        <f t="shared" si="193"/>
        <v>0.50739090905176898</v>
      </c>
      <c r="AF206" s="83">
        <f t="shared" si="194"/>
        <v>0.32291371716090528</v>
      </c>
      <c r="AG206" s="90">
        <f t="shared" si="215"/>
        <v>60.554525589419207</v>
      </c>
      <c r="AH206" s="90">
        <f t="shared" si="216"/>
        <v>60.554525589419207</v>
      </c>
      <c r="AI206" s="10">
        <f t="shared" si="217"/>
        <v>19126</v>
      </c>
      <c r="AJ206" s="10">
        <f t="shared" si="218"/>
        <v>30470</v>
      </c>
      <c r="AK206" s="60">
        <f t="shared" si="219"/>
        <v>12084.396611913</v>
      </c>
      <c r="AL206" s="85">
        <f t="shared" si="220"/>
        <v>11963.55264579387</v>
      </c>
      <c r="AM206" s="85">
        <f t="shared" si="144"/>
        <v>12084.396611913</v>
      </c>
      <c r="AN206" s="83">
        <f t="shared" si="195"/>
        <v>0.19795856770785594</v>
      </c>
      <c r="AO206" s="83">
        <f t="shared" si="196"/>
        <v>0.12672212532030977</v>
      </c>
      <c r="AP206" s="90">
        <f t="shared" si="221"/>
        <v>44.005097182288665</v>
      </c>
      <c r="AQ206" s="90">
        <f t="shared" si="222"/>
        <v>44.005097182288665</v>
      </c>
      <c r="AR206" s="10">
        <f t="shared" si="223"/>
        <v>11022.533333333333</v>
      </c>
      <c r="AS206" s="10">
        <f t="shared" si="224"/>
        <v>17560.053333333333</v>
      </c>
      <c r="AT206" s="60">
        <f t="shared" si="225"/>
        <v>6727.848426852941</v>
      </c>
      <c r="AU206" s="85">
        <f t="shared" si="226"/>
        <v>6660.5699425844114</v>
      </c>
      <c r="AV206" s="85">
        <f t="shared" si="145"/>
        <v>6727.848426852941</v>
      </c>
      <c r="AW206" s="10"/>
      <c r="AX206" s="60">
        <f t="shared" si="156"/>
        <v>3268</v>
      </c>
      <c r="AZ206" s="99">
        <f t="shared" ca="1" si="227"/>
        <v>60.554525589419207</v>
      </c>
      <c r="BA206" s="99">
        <f t="shared" ca="1" si="228"/>
        <v>60.554525589419207</v>
      </c>
      <c r="BB206" s="100">
        <f t="shared" ca="1" si="229"/>
        <v>11963.55264579387</v>
      </c>
      <c r="BC206" s="100">
        <f t="shared" ca="1" si="230"/>
        <v>12084.396611913</v>
      </c>
    </row>
  </sheetData>
  <phoneticPr fontId="3"/>
  <dataValidations count="1">
    <dataValidation imeMode="off" allowBlank="1" showInputMessage="1" showErrorMessage="1" sqref="AO45 AN37:AO38 AN40 AE40 AF45 AE37:AF38 V40:V41 W45 V37:W38 M40 N45 M37:N38 E45 D37:E38 D40" xr:uid="{00000000-0002-0000-0100-000000000000}"/>
  </dataValidations>
  <printOptions horizontalCentered="1" verticalCentered="1"/>
  <pageMargins left="0.31496062992125984" right="0.31496062992125984" top="0.31496062992125984" bottom="0.31496062992125984" header="0.31496062992125984" footer="0.31496062992125984"/>
  <pageSetup paperSize="9" fitToWidth="2" orientation="landscape" verticalDpi="0" r:id="rId1"/>
  <colBreaks count="1" manualBreakCount="1">
    <brk id="49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 sizeWithCells="1">
                  <from>
                    <xdr:col>1</xdr:col>
                    <xdr:colOff>91440</xdr:colOff>
                    <xdr:row>1</xdr:row>
                    <xdr:rowOff>30480</xdr:rowOff>
                  </from>
                  <to>
                    <xdr:col>2</xdr:col>
                    <xdr:colOff>297180</xdr:colOff>
                    <xdr:row>1</xdr:row>
                    <xdr:rowOff>182880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0000"/>
  </sheetPr>
  <dimension ref="A1:F155"/>
  <sheetViews>
    <sheetView workbookViewId="0">
      <pane ySplit="2" topLeftCell="A3" activePane="bottomLeft" state="frozen"/>
      <selection pane="bottomLeft" activeCell="A3" sqref="A3"/>
    </sheetView>
  </sheetViews>
  <sheetFormatPr defaultColWidth="9.125" defaultRowHeight="10.199999999999999" x14ac:dyDescent="0.25"/>
  <cols>
    <col min="1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106</v>
      </c>
    </row>
    <row r="3" spans="1:6" x14ac:dyDescent="0.25">
      <c r="A3" s="1" t="s">
        <v>82</v>
      </c>
      <c r="B3" s="1">
        <v>1</v>
      </c>
      <c r="C3" s="1">
        <v>2</v>
      </c>
      <c r="D3" s="1">
        <v>3</v>
      </c>
      <c r="E3" s="1">
        <v>4</v>
      </c>
      <c r="F3" s="1">
        <v>5</v>
      </c>
    </row>
    <row r="4" spans="1:6" x14ac:dyDescent="0.25">
      <c r="A4" s="1" t="s">
        <v>82</v>
      </c>
      <c r="B4" s="1" t="str">
        <f>"p"&amp;B3&amp;$B2</f>
        <v>p1f</v>
      </c>
      <c r="C4" s="1" t="str">
        <f t="shared" ref="C4:F4" si="0">"p"&amp;C3&amp;$B2</f>
        <v>p2f</v>
      </c>
      <c r="D4" s="1" t="str">
        <f t="shared" si="0"/>
        <v>p3f</v>
      </c>
      <c r="E4" s="1" t="str">
        <f t="shared" si="0"/>
        <v>p4f</v>
      </c>
      <c r="F4" s="1" t="str">
        <f t="shared" si="0"/>
        <v>p5f</v>
      </c>
    </row>
    <row r="5" spans="1:6" x14ac:dyDescent="0.25">
      <c r="A5" s="1">
        <f>加速度入力!B56</f>
        <v>0</v>
      </c>
      <c r="B5" s="1">
        <f>ROUND(INDEX(加速度入力!$B$56:$AV$206,ROWS($A$5:$A5),MATCH(B$4,加速度入力!$B$53:$AV$53,0)),1)</f>
        <v>13251</v>
      </c>
      <c r="C5" s="1">
        <f>ROUND(INDEX(加速度入力!$B$56:$AV$206,ROWS($A$5:$A5),MATCH(C$4,加速度入力!$B$53:$AV$53,0)),1)</f>
        <v>28804</v>
      </c>
      <c r="D5" s="1">
        <f>ROUND(INDEX(加速度入力!$B$56:$AV$206,ROWS($A$5:$A5),MATCH(D$4,加速度入力!$B$53:$AV$53,0)),1)</f>
        <v>43475</v>
      </c>
      <c r="E5" s="1">
        <f>ROUND(INDEX(加速度入力!$B$56:$AV$206,ROWS($A$5:$A5),MATCH(E$4,加速度入力!$B$53:$AV$53,0)),1)</f>
        <v>57378</v>
      </c>
      <c r="F5" s="1">
        <f>ROUND(INDEX(加速度入力!$B$56:$AV$206,ROWS($A$5:$A5),MATCH(F$4,加速度入力!$B$53:$AV$53,0)),1)</f>
        <v>43510</v>
      </c>
    </row>
    <row r="6" spans="1:6" x14ac:dyDescent="0.25">
      <c r="A6" s="1">
        <f>加速度入力!B57</f>
        <v>1</v>
      </c>
      <c r="B6" s="1">
        <f>ROUND(INDEX(加速度入力!$B$56:$AV$206,ROWS($A$5:$A6),MATCH(B$4,加速度入力!$B$53:$AV$53,0)),1)</f>
        <v>13251</v>
      </c>
      <c r="C6" s="1">
        <f>ROUND(INDEX(加速度入力!$B$56:$AV$206,ROWS($A$5:$A6),MATCH(C$4,加速度入力!$B$53:$AV$53,0)),1)</f>
        <v>28804</v>
      </c>
      <c r="D6" s="1">
        <f>ROUND(INDEX(加速度入力!$B$56:$AV$206,ROWS($A$5:$A6),MATCH(D$4,加速度入力!$B$53:$AV$53,0)),1)</f>
        <v>43475</v>
      </c>
      <c r="E6" s="1">
        <f>ROUND(INDEX(加速度入力!$B$56:$AV$206,ROWS($A$5:$A6),MATCH(E$4,加速度入力!$B$53:$AV$53,0)),1)</f>
        <v>57378</v>
      </c>
      <c r="F6" s="1">
        <f>ROUND(INDEX(加速度入力!$B$56:$AV$206,ROWS($A$5:$A6),MATCH(F$4,加速度入力!$B$53:$AV$53,0)),1)</f>
        <v>43510</v>
      </c>
    </row>
    <row r="7" spans="1:6" x14ac:dyDescent="0.25">
      <c r="A7" s="1">
        <f>加速度入力!B58</f>
        <v>2</v>
      </c>
      <c r="B7" s="1">
        <f>ROUND(INDEX(加速度入力!$B$56:$AV$206,ROWS($A$5:$A7),MATCH(B$4,加速度入力!$B$53:$AV$53,0)),1)</f>
        <v>13251</v>
      </c>
      <c r="C7" s="1">
        <f>ROUND(INDEX(加速度入力!$B$56:$AV$206,ROWS($A$5:$A7),MATCH(C$4,加速度入力!$B$53:$AV$53,0)),1)</f>
        <v>28804</v>
      </c>
      <c r="D7" s="1">
        <f>ROUND(INDEX(加速度入力!$B$56:$AV$206,ROWS($A$5:$A7),MATCH(D$4,加速度入力!$B$53:$AV$53,0)),1)</f>
        <v>43475</v>
      </c>
      <c r="E7" s="1">
        <f>ROUND(INDEX(加速度入力!$B$56:$AV$206,ROWS($A$5:$A7),MATCH(E$4,加速度入力!$B$53:$AV$53,0)),1)</f>
        <v>57378</v>
      </c>
      <c r="F7" s="1">
        <f>ROUND(INDEX(加速度入力!$B$56:$AV$206,ROWS($A$5:$A7),MATCH(F$4,加速度入力!$B$53:$AV$53,0)),1)</f>
        <v>43510</v>
      </c>
    </row>
    <row r="8" spans="1:6" x14ac:dyDescent="0.25">
      <c r="A8" s="1">
        <f>加速度入力!B59</f>
        <v>3</v>
      </c>
      <c r="B8" s="1">
        <f>ROUND(INDEX(加速度入力!$B$56:$AV$206,ROWS($A$5:$A8),MATCH(B$4,加速度入力!$B$53:$AV$53,0)),1)</f>
        <v>13251</v>
      </c>
      <c r="C8" s="1">
        <f>ROUND(INDEX(加速度入力!$B$56:$AV$206,ROWS($A$5:$A8),MATCH(C$4,加速度入力!$B$53:$AV$53,0)),1)</f>
        <v>28804</v>
      </c>
      <c r="D8" s="1">
        <f>ROUND(INDEX(加速度入力!$B$56:$AV$206,ROWS($A$5:$A8),MATCH(D$4,加速度入力!$B$53:$AV$53,0)),1)</f>
        <v>43475</v>
      </c>
      <c r="E8" s="1">
        <f>ROUND(INDEX(加速度入力!$B$56:$AV$206,ROWS($A$5:$A8),MATCH(E$4,加速度入力!$B$53:$AV$53,0)),1)</f>
        <v>57378</v>
      </c>
      <c r="F8" s="1">
        <f>ROUND(INDEX(加速度入力!$B$56:$AV$206,ROWS($A$5:$A8),MATCH(F$4,加速度入力!$B$53:$AV$53,0)),1)</f>
        <v>43510</v>
      </c>
    </row>
    <row r="9" spans="1:6" x14ac:dyDescent="0.25">
      <c r="A9" s="1">
        <f>加速度入力!B60</f>
        <v>4</v>
      </c>
      <c r="B9" s="1">
        <f>ROUND(INDEX(加速度入力!$B$56:$AV$206,ROWS($A$5:$A9),MATCH(B$4,加速度入力!$B$53:$AV$53,0)),1)</f>
        <v>13251</v>
      </c>
      <c r="C9" s="1">
        <f>ROUND(INDEX(加速度入力!$B$56:$AV$206,ROWS($A$5:$A9),MATCH(C$4,加速度入力!$B$53:$AV$53,0)),1)</f>
        <v>28804</v>
      </c>
      <c r="D9" s="1">
        <f>ROUND(INDEX(加速度入力!$B$56:$AV$206,ROWS($A$5:$A9),MATCH(D$4,加速度入力!$B$53:$AV$53,0)),1)</f>
        <v>43475</v>
      </c>
      <c r="E9" s="1">
        <f>ROUND(INDEX(加速度入力!$B$56:$AV$206,ROWS($A$5:$A9),MATCH(E$4,加速度入力!$B$53:$AV$53,0)),1)</f>
        <v>57378</v>
      </c>
      <c r="F9" s="1">
        <f>ROUND(INDEX(加速度入力!$B$56:$AV$206,ROWS($A$5:$A9),MATCH(F$4,加速度入力!$B$53:$AV$53,0)),1)</f>
        <v>43510</v>
      </c>
    </row>
    <row r="10" spans="1:6" x14ac:dyDescent="0.25">
      <c r="A10" s="1">
        <f>加速度入力!B61</f>
        <v>5</v>
      </c>
      <c r="B10" s="1">
        <f>ROUND(INDEX(加速度入力!$B$56:$AV$206,ROWS($A$5:$A10),MATCH(B$4,加速度入力!$B$53:$AV$53,0)),1)</f>
        <v>13251</v>
      </c>
      <c r="C10" s="1">
        <f>ROUND(INDEX(加速度入力!$B$56:$AV$206,ROWS($A$5:$A10),MATCH(C$4,加速度入力!$B$53:$AV$53,0)),1)</f>
        <v>28804</v>
      </c>
      <c r="D10" s="1">
        <f>ROUND(INDEX(加速度入力!$B$56:$AV$206,ROWS($A$5:$A10),MATCH(D$4,加速度入力!$B$53:$AV$53,0)),1)</f>
        <v>43475</v>
      </c>
      <c r="E10" s="1">
        <f>ROUND(INDEX(加速度入力!$B$56:$AV$206,ROWS($A$5:$A10),MATCH(E$4,加速度入力!$B$53:$AV$53,0)),1)</f>
        <v>57378</v>
      </c>
      <c r="F10" s="1">
        <f>ROUND(INDEX(加速度入力!$B$56:$AV$206,ROWS($A$5:$A10),MATCH(F$4,加速度入力!$B$53:$AV$53,0)),1)</f>
        <v>43510</v>
      </c>
    </row>
    <row r="11" spans="1:6" x14ac:dyDescent="0.25">
      <c r="A11" s="1">
        <f>加速度入力!B62</f>
        <v>6</v>
      </c>
      <c r="B11" s="1">
        <f>ROUND(INDEX(加速度入力!$B$56:$AV$206,ROWS($A$5:$A11),MATCH(B$4,加速度入力!$B$53:$AV$53,0)),1)</f>
        <v>13251</v>
      </c>
      <c r="C11" s="1">
        <f>ROUND(INDEX(加速度入力!$B$56:$AV$206,ROWS($A$5:$A11),MATCH(C$4,加速度入力!$B$53:$AV$53,0)),1)</f>
        <v>28804</v>
      </c>
      <c r="D11" s="1">
        <f>ROUND(INDEX(加速度入力!$B$56:$AV$206,ROWS($A$5:$A11),MATCH(D$4,加速度入力!$B$53:$AV$53,0)),1)</f>
        <v>43475</v>
      </c>
      <c r="E11" s="1">
        <f>ROUND(INDEX(加速度入力!$B$56:$AV$206,ROWS($A$5:$A11),MATCH(E$4,加速度入力!$B$53:$AV$53,0)),1)</f>
        <v>57378</v>
      </c>
      <c r="F11" s="1">
        <f>ROUND(INDEX(加速度入力!$B$56:$AV$206,ROWS($A$5:$A11),MATCH(F$4,加速度入力!$B$53:$AV$53,0)),1)</f>
        <v>43510</v>
      </c>
    </row>
    <row r="12" spans="1:6" x14ac:dyDescent="0.25">
      <c r="A12" s="1">
        <f>加速度入力!B63</f>
        <v>7</v>
      </c>
      <c r="B12" s="1">
        <f>ROUND(INDEX(加速度入力!$B$56:$AV$206,ROWS($A$5:$A12),MATCH(B$4,加速度入力!$B$53:$AV$53,0)),1)</f>
        <v>13251</v>
      </c>
      <c r="C12" s="1">
        <f>ROUND(INDEX(加速度入力!$B$56:$AV$206,ROWS($A$5:$A12),MATCH(C$4,加速度入力!$B$53:$AV$53,0)),1)</f>
        <v>28804</v>
      </c>
      <c r="D12" s="1">
        <f>ROUND(INDEX(加速度入力!$B$56:$AV$206,ROWS($A$5:$A12),MATCH(D$4,加速度入力!$B$53:$AV$53,0)),1)</f>
        <v>43475</v>
      </c>
      <c r="E12" s="1">
        <f>ROUND(INDEX(加速度入力!$B$56:$AV$206,ROWS($A$5:$A12),MATCH(E$4,加速度入力!$B$53:$AV$53,0)),1)</f>
        <v>57378</v>
      </c>
      <c r="F12" s="1">
        <f>ROUND(INDEX(加速度入力!$B$56:$AV$206,ROWS($A$5:$A12),MATCH(F$4,加速度入力!$B$53:$AV$53,0)),1)</f>
        <v>43510</v>
      </c>
    </row>
    <row r="13" spans="1:6" x14ac:dyDescent="0.25">
      <c r="A13" s="1">
        <f>加速度入力!B64</f>
        <v>8</v>
      </c>
      <c r="B13" s="1">
        <f>ROUND(INDEX(加速度入力!$B$56:$AV$206,ROWS($A$5:$A13),MATCH(B$4,加速度入力!$B$53:$AV$53,0)),1)</f>
        <v>10326.299999999999</v>
      </c>
      <c r="C13" s="1">
        <f>ROUND(INDEX(加速度入力!$B$56:$AV$206,ROWS($A$5:$A13),MATCH(C$4,加速度入力!$B$53:$AV$53,0)),1)</f>
        <v>28804</v>
      </c>
      <c r="D13" s="1">
        <f>ROUND(INDEX(加速度入力!$B$56:$AV$206,ROWS($A$5:$A13),MATCH(D$4,加速度入力!$B$53:$AV$53,0)),1)</f>
        <v>43475</v>
      </c>
      <c r="E13" s="1">
        <f>ROUND(INDEX(加速度入力!$B$56:$AV$206,ROWS($A$5:$A13),MATCH(E$4,加速度入力!$B$53:$AV$53,0)),1)</f>
        <v>57378</v>
      </c>
      <c r="F13" s="1">
        <f>ROUND(INDEX(加速度入力!$B$56:$AV$206,ROWS($A$5:$A13),MATCH(F$4,加速度入力!$B$53:$AV$53,0)),1)</f>
        <v>43510</v>
      </c>
    </row>
    <row r="14" spans="1:6" x14ac:dyDescent="0.25">
      <c r="A14" s="1">
        <f>加速度入力!B65</f>
        <v>9</v>
      </c>
      <c r="B14" s="1">
        <f>ROUND(INDEX(加速度入力!$B$56:$AV$206,ROWS($A$5:$A14),MATCH(B$4,加速度入力!$B$53:$AV$53,0)),1)</f>
        <v>7692.4</v>
      </c>
      <c r="C14" s="1">
        <f>ROUND(INDEX(加速度入力!$B$56:$AV$206,ROWS($A$5:$A14),MATCH(C$4,加速度入力!$B$53:$AV$53,0)),1)</f>
        <v>28804</v>
      </c>
      <c r="D14" s="1">
        <f>ROUND(INDEX(加速度入力!$B$56:$AV$206,ROWS($A$5:$A14),MATCH(D$4,加速度入力!$B$53:$AV$53,0)),1)</f>
        <v>43475</v>
      </c>
      <c r="E14" s="1">
        <f>ROUND(INDEX(加速度入力!$B$56:$AV$206,ROWS($A$5:$A14),MATCH(E$4,加速度入力!$B$53:$AV$53,0)),1)</f>
        <v>57378</v>
      </c>
      <c r="F14" s="1">
        <f>ROUND(INDEX(加速度入力!$B$56:$AV$206,ROWS($A$5:$A14),MATCH(F$4,加速度入力!$B$53:$AV$53,0)),1)</f>
        <v>43510</v>
      </c>
    </row>
    <row r="15" spans="1:6" x14ac:dyDescent="0.25">
      <c r="A15" s="1">
        <f>加速度入力!B66</f>
        <v>10</v>
      </c>
      <c r="B15" s="1">
        <f>ROUND(INDEX(加速度入力!$B$56:$AV$206,ROWS($A$5:$A15),MATCH(B$4,加速度入力!$B$53:$AV$53,0)),1)</f>
        <v>5911.1</v>
      </c>
      <c r="C15" s="1">
        <f>ROUND(INDEX(加速度入力!$B$56:$AV$206,ROWS($A$5:$A15),MATCH(C$4,加速度入力!$B$53:$AV$53,0)),1)</f>
        <v>28804</v>
      </c>
      <c r="D15" s="1">
        <f>ROUND(INDEX(加速度入力!$B$56:$AV$206,ROWS($A$5:$A15),MATCH(D$4,加速度入力!$B$53:$AV$53,0)),1)</f>
        <v>43475</v>
      </c>
      <c r="E15" s="1">
        <f>ROUND(INDEX(加速度入力!$B$56:$AV$206,ROWS($A$5:$A15),MATCH(E$4,加速度入力!$B$53:$AV$53,0)),1)</f>
        <v>57378</v>
      </c>
      <c r="F15" s="1">
        <f>ROUND(INDEX(加速度入力!$B$56:$AV$206,ROWS($A$5:$A15),MATCH(F$4,加速度入力!$B$53:$AV$53,0)),1)</f>
        <v>43510</v>
      </c>
    </row>
    <row r="16" spans="1:6" x14ac:dyDescent="0.25">
      <c r="A16" s="1">
        <f>加速度入力!B67</f>
        <v>11</v>
      </c>
      <c r="B16" s="1">
        <f>ROUND(INDEX(加速度入力!$B$56:$AV$206,ROWS($A$5:$A16),MATCH(B$4,加速度入力!$B$53:$AV$53,0)),1)</f>
        <v>4657.8999999999996</v>
      </c>
      <c r="C16" s="1">
        <f>ROUND(INDEX(加速度入力!$B$56:$AV$206,ROWS($A$5:$A16),MATCH(C$4,加速度入力!$B$53:$AV$53,0)),1)</f>
        <v>28804</v>
      </c>
      <c r="D16" s="1">
        <f>ROUND(INDEX(加速度入力!$B$56:$AV$206,ROWS($A$5:$A16),MATCH(D$4,加速度入力!$B$53:$AV$53,0)),1)</f>
        <v>43475</v>
      </c>
      <c r="E16" s="1">
        <f>ROUND(INDEX(加速度入力!$B$56:$AV$206,ROWS($A$5:$A16),MATCH(E$4,加速度入力!$B$53:$AV$53,0)),1)</f>
        <v>57378</v>
      </c>
      <c r="F16" s="1">
        <f>ROUND(INDEX(加速度入力!$B$56:$AV$206,ROWS($A$5:$A16),MATCH(F$4,加速度入力!$B$53:$AV$53,0)),1)</f>
        <v>43510</v>
      </c>
    </row>
    <row r="17" spans="1:6" x14ac:dyDescent="0.25">
      <c r="A17" s="1">
        <f>加速度入力!B68</f>
        <v>12</v>
      </c>
      <c r="B17" s="1">
        <f>ROUND(INDEX(加速度入力!$B$56:$AV$206,ROWS($A$5:$A17),MATCH(B$4,加速度入力!$B$53:$AV$53,0)),1)</f>
        <v>3747.3</v>
      </c>
      <c r="C17" s="1">
        <f>ROUND(INDEX(加速度入力!$B$56:$AV$206,ROWS($A$5:$A17),MATCH(C$4,加速度入力!$B$53:$AV$53,0)),1)</f>
        <v>28804</v>
      </c>
      <c r="D17" s="1">
        <f>ROUND(INDEX(加速度入力!$B$56:$AV$206,ROWS($A$5:$A17),MATCH(D$4,加速度入力!$B$53:$AV$53,0)),1)</f>
        <v>43475</v>
      </c>
      <c r="E17" s="1">
        <f>ROUND(INDEX(加速度入力!$B$56:$AV$206,ROWS($A$5:$A17),MATCH(E$4,加速度入力!$B$53:$AV$53,0)),1)</f>
        <v>57378</v>
      </c>
      <c r="F17" s="1">
        <f>ROUND(INDEX(加速度入力!$B$56:$AV$206,ROWS($A$5:$A17),MATCH(F$4,加速度入力!$B$53:$AV$53,0)),1)</f>
        <v>43510</v>
      </c>
    </row>
    <row r="18" spans="1:6" x14ac:dyDescent="0.25">
      <c r="A18" s="1">
        <f>加速度入力!B69</f>
        <v>13</v>
      </c>
      <c r="B18" s="1">
        <f>ROUND(INDEX(加速度入力!$B$56:$AV$206,ROWS($A$5:$A18),MATCH(B$4,加速度入力!$B$53:$AV$53,0)),1)</f>
        <v>3067.7</v>
      </c>
      <c r="C18" s="1">
        <f>ROUND(INDEX(加速度入力!$B$56:$AV$206,ROWS($A$5:$A18),MATCH(C$4,加速度入力!$B$53:$AV$53,0)),1)</f>
        <v>28804</v>
      </c>
      <c r="D18" s="1">
        <f>ROUND(INDEX(加速度入力!$B$56:$AV$206,ROWS($A$5:$A18),MATCH(D$4,加速度入力!$B$53:$AV$53,0)),1)</f>
        <v>43475</v>
      </c>
      <c r="E18" s="1">
        <f>ROUND(INDEX(加速度入力!$B$56:$AV$206,ROWS($A$5:$A18),MATCH(E$4,加速度入力!$B$53:$AV$53,0)),1)</f>
        <v>57378</v>
      </c>
      <c r="F18" s="1">
        <f>ROUND(INDEX(加速度入力!$B$56:$AV$206,ROWS($A$5:$A18),MATCH(F$4,加速度入力!$B$53:$AV$53,0)),1)</f>
        <v>43510</v>
      </c>
    </row>
    <row r="19" spans="1:6" x14ac:dyDescent="0.25">
      <c r="A19" s="1">
        <f>加速度入力!B70</f>
        <v>14</v>
      </c>
      <c r="B19" s="1">
        <f>ROUND(INDEX(加速度入力!$B$56:$AV$206,ROWS($A$5:$A19),MATCH(B$4,加速度入力!$B$53:$AV$53,0)),1)</f>
        <v>2548.9</v>
      </c>
      <c r="C19" s="1">
        <f>ROUND(INDEX(加速度入力!$B$56:$AV$206,ROWS($A$5:$A19),MATCH(C$4,加速度入力!$B$53:$AV$53,0)),1)</f>
        <v>28804</v>
      </c>
      <c r="D19" s="1">
        <f>ROUND(INDEX(加速度入力!$B$56:$AV$206,ROWS($A$5:$A19),MATCH(D$4,加速度入力!$B$53:$AV$53,0)),1)</f>
        <v>43475</v>
      </c>
      <c r="E19" s="1">
        <f>ROUND(INDEX(加速度入力!$B$56:$AV$206,ROWS($A$5:$A19),MATCH(E$4,加速度入力!$B$53:$AV$53,0)),1)</f>
        <v>57378</v>
      </c>
      <c r="F19" s="1">
        <f>ROUND(INDEX(加速度入力!$B$56:$AV$206,ROWS($A$5:$A19),MATCH(F$4,加速度入力!$B$53:$AV$53,0)),1)</f>
        <v>43510</v>
      </c>
    </row>
    <row r="20" spans="1:6" x14ac:dyDescent="0.25">
      <c r="A20" s="1">
        <f>加速度入力!B71</f>
        <v>15</v>
      </c>
      <c r="B20" s="1">
        <f>ROUND(INDEX(加速度入力!$B$56:$AV$206,ROWS($A$5:$A20),MATCH(B$4,加速度入力!$B$53:$AV$53,0)),1)</f>
        <v>2145.1</v>
      </c>
      <c r="C20" s="1">
        <f>ROUND(INDEX(加速度入力!$B$56:$AV$206,ROWS($A$5:$A20),MATCH(C$4,加速度入力!$B$53:$AV$53,0)),1)</f>
        <v>28804</v>
      </c>
      <c r="D20" s="1">
        <f>ROUND(INDEX(加速度入力!$B$56:$AV$206,ROWS($A$5:$A20),MATCH(D$4,加速度入力!$B$53:$AV$53,0)),1)</f>
        <v>43475</v>
      </c>
      <c r="E20" s="1">
        <f>ROUND(INDEX(加速度入力!$B$56:$AV$206,ROWS($A$5:$A20),MATCH(E$4,加速度入力!$B$53:$AV$53,0)),1)</f>
        <v>57378</v>
      </c>
      <c r="F20" s="1">
        <f>ROUND(INDEX(加速度入力!$B$56:$AV$206,ROWS($A$5:$A20),MATCH(F$4,加速度入力!$B$53:$AV$53,0)),1)</f>
        <v>43510</v>
      </c>
    </row>
    <row r="21" spans="1:6" x14ac:dyDescent="0.25">
      <c r="A21" s="1">
        <f>加速度入力!B72</f>
        <v>16</v>
      </c>
      <c r="B21" s="1">
        <f>ROUND(INDEX(加速度入力!$B$56:$AV$206,ROWS($A$5:$A21),MATCH(B$4,加速度入力!$B$53:$AV$53,0)),1)</f>
        <v>1825.4</v>
      </c>
      <c r="C21" s="1">
        <f>ROUND(INDEX(加速度入力!$B$56:$AV$206,ROWS($A$5:$A21),MATCH(C$4,加速度入力!$B$53:$AV$53,0)),1)</f>
        <v>28804</v>
      </c>
      <c r="D21" s="1">
        <f>ROUND(INDEX(加速度入力!$B$56:$AV$206,ROWS($A$5:$A21),MATCH(D$4,加速度入力!$B$53:$AV$53,0)),1)</f>
        <v>43475</v>
      </c>
      <c r="E21" s="1">
        <f>ROUND(INDEX(加速度入力!$B$56:$AV$206,ROWS($A$5:$A21),MATCH(E$4,加速度入力!$B$53:$AV$53,0)),1)</f>
        <v>57378</v>
      </c>
      <c r="F21" s="1">
        <f>ROUND(INDEX(加速度入力!$B$56:$AV$206,ROWS($A$5:$A21),MATCH(F$4,加速度入力!$B$53:$AV$53,0)),1)</f>
        <v>43510</v>
      </c>
    </row>
    <row r="22" spans="1:6" x14ac:dyDescent="0.25">
      <c r="A22" s="1">
        <f>加速度入力!B73</f>
        <v>17</v>
      </c>
      <c r="B22" s="1">
        <f>ROUND(INDEX(加速度入力!$B$56:$AV$206,ROWS($A$5:$A22),MATCH(B$4,加速度入力!$B$53:$AV$53,0)),1)</f>
        <v>1568.7</v>
      </c>
      <c r="C22" s="1">
        <f>ROUND(INDEX(加速度入力!$B$56:$AV$206,ROWS($A$5:$A22),MATCH(C$4,加速度入力!$B$53:$AV$53,0)),1)</f>
        <v>28804</v>
      </c>
      <c r="D22" s="1">
        <f>ROUND(INDEX(加速度入力!$B$56:$AV$206,ROWS($A$5:$A22),MATCH(D$4,加速度入力!$B$53:$AV$53,0)),1)</f>
        <v>43475</v>
      </c>
      <c r="E22" s="1">
        <f>ROUND(INDEX(加速度入力!$B$56:$AV$206,ROWS($A$5:$A22),MATCH(E$4,加速度入力!$B$53:$AV$53,0)),1)</f>
        <v>57378</v>
      </c>
      <c r="F22" s="1">
        <f>ROUND(INDEX(加速度入力!$B$56:$AV$206,ROWS($A$5:$A22),MATCH(F$4,加速度入力!$B$53:$AV$53,0)),1)</f>
        <v>43510</v>
      </c>
    </row>
    <row r="23" spans="1:6" x14ac:dyDescent="0.25">
      <c r="A23" s="1">
        <f>加速度入力!B74</f>
        <v>18</v>
      </c>
      <c r="B23" s="1">
        <f>ROUND(INDEX(加速度入力!$B$56:$AV$206,ROWS($A$5:$A23),MATCH(B$4,加速度入力!$B$53:$AV$53,0)),1)</f>
        <v>1359.8</v>
      </c>
      <c r="C23" s="1">
        <f>ROUND(INDEX(加速度入力!$B$56:$AV$206,ROWS($A$5:$A23),MATCH(C$4,加速度入力!$B$53:$AV$53,0)),1)</f>
        <v>28804</v>
      </c>
      <c r="D23" s="1">
        <f>ROUND(INDEX(加速度入力!$B$56:$AV$206,ROWS($A$5:$A23),MATCH(D$4,加速度入力!$B$53:$AV$53,0)),1)</f>
        <v>43475</v>
      </c>
      <c r="E23" s="1">
        <f>ROUND(INDEX(加速度入力!$B$56:$AV$206,ROWS($A$5:$A23),MATCH(E$4,加速度入力!$B$53:$AV$53,0)),1)</f>
        <v>57378</v>
      </c>
      <c r="F23" s="1">
        <f>ROUND(INDEX(加速度入力!$B$56:$AV$206,ROWS($A$5:$A23),MATCH(F$4,加速度入力!$B$53:$AV$53,0)),1)</f>
        <v>43510</v>
      </c>
    </row>
    <row r="24" spans="1:6" x14ac:dyDescent="0.25">
      <c r="A24" s="1">
        <f>加速度入力!B75</f>
        <v>19</v>
      </c>
      <c r="B24" s="1">
        <f>ROUND(INDEX(加速度入力!$B$56:$AV$206,ROWS($A$5:$A24),MATCH(B$4,加速度入力!$B$53:$AV$53,0)),1)</f>
        <v>1187.9000000000001</v>
      </c>
      <c r="C24" s="1">
        <f>ROUND(INDEX(加速度入力!$B$56:$AV$206,ROWS($A$5:$A24),MATCH(C$4,加速度入力!$B$53:$AV$53,0)),1)</f>
        <v>28804</v>
      </c>
      <c r="D24" s="1">
        <f>ROUND(INDEX(加速度入力!$B$56:$AV$206,ROWS($A$5:$A24),MATCH(D$4,加速度入力!$B$53:$AV$53,0)),1)</f>
        <v>43475</v>
      </c>
      <c r="E24" s="1">
        <f>ROUND(INDEX(加速度入力!$B$56:$AV$206,ROWS($A$5:$A24),MATCH(E$4,加速度入力!$B$53:$AV$53,0)),1)</f>
        <v>57378</v>
      </c>
      <c r="F24" s="1">
        <f>ROUND(INDEX(加速度入力!$B$56:$AV$206,ROWS($A$5:$A24),MATCH(F$4,加速度入力!$B$53:$AV$53,0)),1)</f>
        <v>43510</v>
      </c>
    </row>
    <row r="25" spans="1:6" x14ac:dyDescent="0.25">
      <c r="A25" s="1">
        <f>加速度入力!B76</f>
        <v>20</v>
      </c>
      <c r="B25" s="1">
        <f>ROUND(INDEX(加速度入力!$B$56:$AV$206,ROWS($A$5:$A25),MATCH(B$4,加速度入力!$B$53:$AV$53,0)),1)</f>
        <v>1044.9000000000001</v>
      </c>
      <c r="C25" s="1">
        <f>ROUND(INDEX(加速度入力!$B$56:$AV$206,ROWS($A$5:$A25),MATCH(C$4,加速度入力!$B$53:$AV$53,0)),1)</f>
        <v>28804</v>
      </c>
      <c r="D25" s="1">
        <f>ROUND(INDEX(加速度入力!$B$56:$AV$206,ROWS($A$5:$A25),MATCH(D$4,加速度入力!$B$53:$AV$53,0)),1)</f>
        <v>43475</v>
      </c>
      <c r="E25" s="1">
        <f>ROUND(INDEX(加速度入力!$B$56:$AV$206,ROWS($A$5:$A25),MATCH(E$4,加速度入力!$B$53:$AV$53,0)),1)</f>
        <v>57378</v>
      </c>
      <c r="F25" s="1">
        <f>ROUND(INDEX(加速度入力!$B$56:$AV$206,ROWS($A$5:$A25),MATCH(F$4,加速度入力!$B$53:$AV$53,0)),1)</f>
        <v>43510</v>
      </c>
    </row>
    <row r="26" spans="1:6" x14ac:dyDescent="0.25">
      <c r="A26" s="1">
        <f>加速度入力!B77</f>
        <v>21</v>
      </c>
      <c r="B26" s="1">
        <f>ROUND(INDEX(加速度入力!$B$56:$AV$206,ROWS($A$5:$A26),MATCH(B$4,加速度入力!$B$53:$AV$53,0)),1)</f>
        <v>925</v>
      </c>
      <c r="C26" s="1">
        <f>ROUND(INDEX(加速度入力!$B$56:$AV$206,ROWS($A$5:$A26),MATCH(C$4,加速度入力!$B$53:$AV$53,0)),1)</f>
        <v>28804</v>
      </c>
      <c r="D26" s="1">
        <f>ROUND(INDEX(加速度入力!$B$56:$AV$206,ROWS($A$5:$A26),MATCH(D$4,加速度入力!$B$53:$AV$53,0)),1)</f>
        <v>43475</v>
      </c>
      <c r="E26" s="1">
        <f>ROUND(INDEX(加速度入力!$B$56:$AV$206,ROWS($A$5:$A26),MATCH(E$4,加速度入力!$B$53:$AV$53,0)),1)</f>
        <v>57378</v>
      </c>
      <c r="F26" s="1">
        <f>ROUND(INDEX(加速度入力!$B$56:$AV$206,ROWS($A$5:$A26),MATCH(F$4,加速度入力!$B$53:$AV$53,0)),1)</f>
        <v>43510</v>
      </c>
    </row>
    <row r="27" spans="1:6" x14ac:dyDescent="0.25">
      <c r="A27" s="1">
        <f>加速度入力!B78</f>
        <v>22</v>
      </c>
      <c r="B27" s="1">
        <f>ROUND(INDEX(加速度入力!$B$56:$AV$206,ROWS($A$5:$A27),MATCH(B$4,加速度入力!$B$53:$AV$53,0)),1)</f>
        <v>823.4</v>
      </c>
      <c r="C27" s="1">
        <f>ROUND(INDEX(加速度入力!$B$56:$AV$206,ROWS($A$5:$A27),MATCH(C$4,加速度入力!$B$53:$AV$53,0)),1)</f>
        <v>28804</v>
      </c>
      <c r="D27" s="1">
        <f>ROUND(INDEX(加速度入力!$B$56:$AV$206,ROWS($A$5:$A27),MATCH(D$4,加速度入力!$B$53:$AV$53,0)),1)</f>
        <v>43475</v>
      </c>
      <c r="E27" s="1">
        <f>ROUND(INDEX(加速度入力!$B$56:$AV$206,ROWS($A$5:$A27),MATCH(E$4,加速度入力!$B$53:$AV$53,0)),1)</f>
        <v>57378</v>
      </c>
      <c r="F27" s="1">
        <f>ROUND(INDEX(加速度入力!$B$56:$AV$206,ROWS($A$5:$A27),MATCH(F$4,加速度入力!$B$53:$AV$53,0)),1)</f>
        <v>43510</v>
      </c>
    </row>
    <row r="28" spans="1:6" x14ac:dyDescent="0.25">
      <c r="A28" s="1">
        <f>加速度入力!B79</f>
        <v>23</v>
      </c>
      <c r="B28" s="1">
        <f>ROUND(INDEX(加速度入力!$B$56:$AV$206,ROWS($A$5:$A28),MATCH(B$4,加速度入力!$B$53:$AV$53,0)),1)</f>
        <v>736.8</v>
      </c>
      <c r="C28" s="1">
        <f>ROUND(INDEX(加速度入力!$B$56:$AV$206,ROWS($A$5:$A28),MATCH(C$4,加速度入力!$B$53:$AV$53,0)),1)</f>
        <v>28804</v>
      </c>
      <c r="D28" s="1">
        <f>ROUND(INDEX(加速度入力!$B$56:$AV$206,ROWS($A$5:$A28),MATCH(D$4,加速度入力!$B$53:$AV$53,0)),1)</f>
        <v>43475</v>
      </c>
      <c r="E28" s="1">
        <f>ROUND(INDEX(加速度入力!$B$56:$AV$206,ROWS($A$5:$A28),MATCH(E$4,加速度入力!$B$53:$AV$53,0)),1)</f>
        <v>57378</v>
      </c>
      <c r="F28" s="1">
        <f>ROUND(INDEX(加速度入力!$B$56:$AV$206,ROWS($A$5:$A28),MATCH(F$4,加速度入力!$B$53:$AV$53,0)),1)</f>
        <v>43510</v>
      </c>
    </row>
    <row r="29" spans="1:6" x14ac:dyDescent="0.25">
      <c r="A29" s="1">
        <f>加速度入力!B80</f>
        <v>24</v>
      </c>
      <c r="B29" s="1">
        <f>ROUND(INDEX(加速度入力!$B$56:$AV$206,ROWS($A$5:$A29),MATCH(B$4,加速度入力!$B$53:$AV$53,0)),1)</f>
        <v>662.4</v>
      </c>
      <c r="C29" s="1">
        <f>ROUND(INDEX(加速度入力!$B$56:$AV$206,ROWS($A$5:$A29),MATCH(C$4,加速度入力!$B$53:$AV$53,0)),1)</f>
        <v>28804</v>
      </c>
      <c r="D29" s="1">
        <f>ROUND(INDEX(加速度入力!$B$56:$AV$206,ROWS($A$5:$A29),MATCH(D$4,加速度入力!$B$53:$AV$53,0)),1)</f>
        <v>43475</v>
      </c>
      <c r="E29" s="1">
        <f>ROUND(INDEX(加速度入力!$B$56:$AV$206,ROWS($A$5:$A29),MATCH(E$4,加速度入力!$B$53:$AV$53,0)),1)</f>
        <v>57378</v>
      </c>
      <c r="F29" s="1">
        <f>ROUND(INDEX(加速度入力!$B$56:$AV$206,ROWS($A$5:$A29),MATCH(F$4,加速度入力!$B$53:$AV$53,0)),1)</f>
        <v>43510</v>
      </c>
    </row>
    <row r="30" spans="1:6" x14ac:dyDescent="0.25">
      <c r="A30" s="1">
        <f>加速度入力!B81</f>
        <v>25</v>
      </c>
      <c r="B30" s="1">
        <f>ROUND(INDEX(加速度入力!$B$56:$AV$206,ROWS($A$5:$A30),MATCH(B$4,加速度入力!$B$53:$AV$53,0)),1)</f>
        <v>598.20000000000005</v>
      </c>
      <c r="C30" s="1">
        <f>ROUND(INDEX(加速度入力!$B$56:$AV$206,ROWS($A$5:$A30),MATCH(C$4,加速度入力!$B$53:$AV$53,0)),1)</f>
        <v>28804</v>
      </c>
      <c r="D30" s="1">
        <f>ROUND(INDEX(加速度入力!$B$56:$AV$206,ROWS($A$5:$A30),MATCH(D$4,加速度入力!$B$53:$AV$53,0)),1)</f>
        <v>43475</v>
      </c>
      <c r="E30" s="1">
        <f>ROUND(INDEX(加速度入力!$B$56:$AV$206,ROWS($A$5:$A30),MATCH(E$4,加速度入力!$B$53:$AV$53,0)),1)</f>
        <v>57378</v>
      </c>
      <c r="F30" s="1">
        <f>ROUND(INDEX(加速度入力!$B$56:$AV$206,ROWS($A$5:$A30),MATCH(F$4,加速度入力!$B$53:$AV$53,0)),1)</f>
        <v>43510</v>
      </c>
    </row>
    <row r="31" spans="1:6" x14ac:dyDescent="0.25">
      <c r="A31" s="1">
        <f>加速度入力!B82</f>
        <v>26</v>
      </c>
      <c r="B31" s="1">
        <f>ROUND(INDEX(加速度入力!$B$56:$AV$206,ROWS($A$5:$A31),MATCH(B$4,加速度入力!$B$53:$AV$53,0)),1)</f>
        <v>542.29999999999995</v>
      </c>
      <c r="C31" s="1">
        <f>ROUND(INDEX(加速度入力!$B$56:$AV$206,ROWS($A$5:$A31),MATCH(C$4,加速度入力!$B$53:$AV$53,0)),1)</f>
        <v>28804</v>
      </c>
      <c r="D31" s="1">
        <f>ROUND(INDEX(加速度入力!$B$56:$AV$206,ROWS($A$5:$A31),MATCH(D$4,加速度入力!$B$53:$AV$53,0)),1)</f>
        <v>43475</v>
      </c>
      <c r="E31" s="1">
        <f>ROUND(INDEX(加速度入力!$B$56:$AV$206,ROWS($A$5:$A31),MATCH(E$4,加速度入力!$B$53:$AV$53,0)),1)</f>
        <v>57378</v>
      </c>
      <c r="F31" s="1">
        <f>ROUND(INDEX(加速度入力!$B$56:$AV$206,ROWS($A$5:$A31),MATCH(F$4,加速度入力!$B$53:$AV$53,0)),1)</f>
        <v>43510</v>
      </c>
    </row>
    <row r="32" spans="1:6" x14ac:dyDescent="0.25">
      <c r="A32" s="1">
        <f>加速度入力!B83</f>
        <v>27</v>
      </c>
      <c r="B32" s="1">
        <f>ROUND(INDEX(加速度入力!$B$56:$AV$206,ROWS($A$5:$A32),MATCH(B$4,加速度入力!$B$53:$AV$53,0)),1)</f>
        <v>493.5</v>
      </c>
      <c r="C32" s="1">
        <f>ROUND(INDEX(加速度入力!$B$56:$AV$206,ROWS($A$5:$A32),MATCH(C$4,加速度入力!$B$53:$AV$53,0)),1)</f>
        <v>28804</v>
      </c>
      <c r="D32" s="1">
        <f>ROUND(INDEX(加速度入力!$B$56:$AV$206,ROWS($A$5:$A32),MATCH(D$4,加速度入力!$B$53:$AV$53,0)),1)</f>
        <v>43475</v>
      </c>
      <c r="E32" s="1">
        <f>ROUND(INDEX(加速度入力!$B$56:$AV$206,ROWS($A$5:$A32),MATCH(E$4,加速度入力!$B$53:$AV$53,0)),1)</f>
        <v>57378</v>
      </c>
      <c r="F32" s="1">
        <f>ROUND(INDEX(加速度入力!$B$56:$AV$206,ROWS($A$5:$A32),MATCH(F$4,加速度入力!$B$53:$AV$53,0)),1)</f>
        <v>43510</v>
      </c>
    </row>
    <row r="33" spans="1:6" x14ac:dyDescent="0.25">
      <c r="A33" s="1">
        <f>加速度入力!B84</f>
        <v>28</v>
      </c>
      <c r="B33" s="1">
        <f>ROUND(INDEX(加速度入力!$B$56:$AV$206,ROWS($A$5:$A33),MATCH(B$4,加速度入力!$B$53:$AV$53,0)),1)</f>
        <v>450.6</v>
      </c>
      <c r="C33" s="1">
        <f>ROUND(INDEX(加速度入力!$B$56:$AV$206,ROWS($A$5:$A33),MATCH(C$4,加速度入力!$B$53:$AV$53,0)),1)</f>
        <v>28804</v>
      </c>
      <c r="D33" s="1">
        <f>ROUND(INDEX(加速度入力!$B$56:$AV$206,ROWS($A$5:$A33),MATCH(D$4,加速度入力!$B$53:$AV$53,0)),1)</f>
        <v>43475</v>
      </c>
      <c r="E33" s="1">
        <f>ROUND(INDEX(加速度入力!$B$56:$AV$206,ROWS($A$5:$A33),MATCH(E$4,加速度入力!$B$53:$AV$53,0)),1)</f>
        <v>57378</v>
      </c>
      <c r="F33" s="1">
        <f>ROUND(INDEX(加速度入力!$B$56:$AV$206,ROWS($A$5:$A33),MATCH(F$4,加速度入力!$B$53:$AV$53,0)),1)</f>
        <v>43510</v>
      </c>
    </row>
    <row r="34" spans="1:6" x14ac:dyDescent="0.25">
      <c r="A34" s="1">
        <f>加速度入力!B85</f>
        <v>29</v>
      </c>
      <c r="B34" s="1">
        <f>ROUND(INDEX(加速度入力!$B$56:$AV$206,ROWS($A$5:$A34),MATCH(B$4,加速度入力!$B$53:$AV$53,0)),1)</f>
        <v>412.7</v>
      </c>
      <c r="C34" s="1">
        <f>ROUND(INDEX(加速度入力!$B$56:$AV$206,ROWS($A$5:$A34),MATCH(C$4,加速度入力!$B$53:$AV$53,0)),1)</f>
        <v>28804</v>
      </c>
      <c r="D34" s="1">
        <f>ROUND(INDEX(加速度入力!$B$56:$AV$206,ROWS($A$5:$A34),MATCH(D$4,加速度入力!$B$53:$AV$53,0)),1)</f>
        <v>43475</v>
      </c>
      <c r="E34" s="1">
        <f>ROUND(INDEX(加速度入力!$B$56:$AV$206,ROWS($A$5:$A34),MATCH(E$4,加速度入力!$B$53:$AV$53,0)),1)</f>
        <v>57378</v>
      </c>
      <c r="F34" s="1">
        <f>ROUND(INDEX(加速度入力!$B$56:$AV$206,ROWS($A$5:$A34),MATCH(F$4,加速度入力!$B$53:$AV$53,0)),1)</f>
        <v>43510</v>
      </c>
    </row>
    <row r="35" spans="1:6" x14ac:dyDescent="0.25">
      <c r="A35" s="1">
        <f>加速度入力!B86</f>
        <v>30</v>
      </c>
      <c r="B35" s="1">
        <f>ROUND(INDEX(加速度入力!$B$56:$AV$206,ROWS($A$5:$A35),MATCH(B$4,加速度入力!$B$53:$AV$53,0)),1)</f>
        <v>379.2</v>
      </c>
      <c r="C35" s="1">
        <f>ROUND(INDEX(加速度入力!$B$56:$AV$206,ROWS($A$5:$A35),MATCH(C$4,加速度入力!$B$53:$AV$53,0)),1)</f>
        <v>28150.799999999999</v>
      </c>
      <c r="D35" s="1">
        <f>ROUND(INDEX(加速度入力!$B$56:$AV$206,ROWS($A$5:$A35),MATCH(D$4,加速度入力!$B$53:$AV$53,0)),1)</f>
        <v>43475</v>
      </c>
      <c r="E35" s="1">
        <f>ROUND(INDEX(加速度入力!$B$56:$AV$206,ROWS($A$5:$A35),MATCH(E$4,加速度入力!$B$53:$AV$53,0)),1)</f>
        <v>57378</v>
      </c>
      <c r="F35" s="1">
        <f>ROUND(INDEX(加速度入力!$B$56:$AV$206,ROWS($A$5:$A35),MATCH(F$4,加速度入力!$B$53:$AV$53,0)),1)</f>
        <v>43510</v>
      </c>
    </row>
    <row r="36" spans="1:6" x14ac:dyDescent="0.25">
      <c r="A36" s="1">
        <f>加速度入力!B87</f>
        <v>31</v>
      </c>
      <c r="B36" s="1">
        <f>ROUND(INDEX(加速度入力!$B$56:$AV$206,ROWS($A$5:$A36),MATCH(B$4,加速度入力!$B$53:$AV$53,0)),1)</f>
        <v>349.4</v>
      </c>
      <c r="C36" s="1">
        <f>ROUND(INDEX(加速度入力!$B$56:$AV$206,ROWS($A$5:$A36),MATCH(C$4,加速度入力!$B$53:$AV$53,0)),1)</f>
        <v>26729.5</v>
      </c>
      <c r="D36" s="1">
        <f>ROUND(INDEX(加速度入力!$B$56:$AV$206,ROWS($A$5:$A36),MATCH(D$4,加速度入力!$B$53:$AV$53,0)),1)</f>
        <v>43475</v>
      </c>
      <c r="E36" s="1">
        <f>ROUND(INDEX(加速度入力!$B$56:$AV$206,ROWS($A$5:$A36),MATCH(E$4,加速度入力!$B$53:$AV$53,0)),1)</f>
        <v>57378</v>
      </c>
      <c r="F36" s="1">
        <f>ROUND(INDEX(加速度入力!$B$56:$AV$206,ROWS($A$5:$A36),MATCH(F$4,加速度入力!$B$53:$AV$53,0)),1)</f>
        <v>43510</v>
      </c>
    </row>
    <row r="37" spans="1:6" x14ac:dyDescent="0.25">
      <c r="A37" s="1">
        <f>加速度入力!B88</f>
        <v>32</v>
      </c>
      <c r="B37" s="1">
        <f>ROUND(INDEX(加速度入力!$B$56:$AV$206,ROWS($A$5:$A37),MATCH(B$4,加速度入力!$B$53:$AV$53,0)),1)</f>
        <v>322.7</v>
      </c>
      <c r="C37" s="1">
        <f>ROUND(INDEX(加速度入力!$B$56:$AV$206,ROWS($A$5:$A37),MATCH(C$4,加速度入力!$B$53:$AV$53,0)),1)</f>
        <v>25421.7</v>
      </c>
      <c r="D37" s="1">
        <f>ROUND(INDEX(加速度入力!$B$56:$AV$206,ROWS($A$5:$A37),MATCH(D$4,加速度入力!$B$53:$AV$53,0)),1)</f>
        <v>43475</v>
      </c>
      <c r="E37" s="1">
        <f>ROUND(INDEX(加速度入力!$B$56:$AV$206,ROWS($A$5:$A37),MATCH(E$4,加速度入力!$B$53:$AV$53,0)),1)</f>
        <v>57378</v>
      </c>
      <c r="F37" s="1">
        <f>ROUND(INDEX(加速度入力!$B$56:$AV$206,ROWS($A$5:$A37),MATCH(F$4,加速度入力!$B$53:$AV$53,0)),1)</f>
        <v>43510</v>
      </c>
    </row>
    <row r="38" spans="1:6" x14ac:dyDescent="0.25">
      <c r="A38" s="1">
        <f>加速度入力!B89</f>
        <v>33</v>
      </c>
      <c r="B38" s="1">
        <f>ROUND(INDEX(加速度入力!$B$56:$AV$206,ROWS($A$5:$A38),MATCH(B$4,加速度入力!$B$53:$AV$53,0)),1)</f>
        <v>298.8</v>
      </c>
      <c r="C38" s="1">
        <f>ROUND(INDEX(加速度入力!$B$56:$AV$206,ROWS($A$5:$A38),MATCH(C$4,加速度入力!$B$53:$AV$53,0)),1)</f>
        <v>24215.3</v>
      </c>
      <c r="D38" s="1">
        <f>ROUND(INDEX(加速度入力!$B$56:$AV$206,ROWS($A$5:$A38),MATCH(D$4,加速度入力!$B$53:$AV$53,0)),1)</f>
        <v>43475</v>
      </c>
      <c r="E38" s="1">
        <f>ROUND(INDEX(加速度入力!$B$56:$AV$206,ROWS($A$5:$A38),MATCH(E$4,加速度入力!$B$53:$AV$53,0)),1)</f>
        <v>57378</v>
      </c>
      <c r="F38" s="1">
        <f>ROUND(INDEX(加速度入力!$B$56:$AV$206,ROWS($A$5:$A38),MATCH(F$4,加速度入力!$B$53:$AV$53,0)),1)</f>
        <v>43510</v>
      </c>
    </row>
    <row r="39" spans="1:6" x14ac:dyDescent="0.25">
      <c r="A39" s="1">
        <f>加速度入力!B90</f>
        <v>34</v>
      </c>
      <c r="B39" s="1">
        <f>ROUND(INDEX(加速度入力!$B$56:$AV$206,ROWS($A$5:$A39),MATCH(B$4,加速度入力!$B$53:$AV$53,0)),1)</f>
        <v>277.3</v>
      </c>
      <c r="C39" s="1">
        <f>ROUND(INDEX(加速度入力!$B$56:$AV$206,ROWS($A$5:$A39),MATCH(C$4,加速度入力!$B$53:$AV$53,0)),1)</f>
        <v>23099.599999999999</v>
      </c>
      <c r="D39" s="1">
        <f>ROUND(INDEX(加速度入力!$B$56:$AV$206,ROWS($A$5:$A39),MATCH(D$4,加速度入力!$B$53:$AV$53,0)),1)</f>
        <v>43475</v>
      </c>
      <c r="E39" s="1">
        <f>ROUND(INDEX(加速度入力!$B$56:$AV$206,ROWS($A$5:$A39),MATCH(E$4,加速度入力!$B$53:$AV$53,0)),1)</f>
        <v>57378</v>
      </c>
      <c r="F39" s="1">
        <f>ROUND(INDEX(加速度入力!$B$56:$AV$206,ROWS($A$5:$A39),MATCH(F$4,加速度入力!$B$53:$AV$53,0)),1)</f>
        <v>43510</v>
      </c>
    </row>
    <row r="40" spans="1:6" x14ac:dyDescent="0.25">
      <c r="A40" s="1">
        <f>加速度入力!B91</f>
        <v>35</v>
      </c>
      <c r="B40" s="1">
        <f>ROUND(INDEX(加速度入力!$B$56:$AV$206,ROWS($A$5:$A40),MATCH(B$4,加速度入力!$B$53:$AV$53,0)),1)</f>
        <v>257.89999999999998</v>
      </c>
      <c r="C40" s="1">
        <f>ROUND(INDEX(加速度入力!$B$56:$AV$206,ROWS($A$5:$A40),MATCH(C$4,加速度入力!$B$53:$AV$53,0)),1)</f>
        <v>22065.5</v>
      </c>
      <c r="D40" s="1">
        <f>ROUND(INDEX(加速度入力!$B$56:$AV$206,ROWS($A$5:$A40),MATCH(D$4,加速度入力!$B$53:$AV$53,0)),1)</f>
        <v>43475</v>
      </c>
      <c r="E40" s="1">
        <f>ROUND(INDEX(加速度入力!$B$56:$AV$206,ROWS($A$5:$A40),MATCH(E$4,加速度入力!$B$53:$AV$53,0)),1)</f>
        <v>57378</v>
      </c>
      <c r="F40" s="1">
        <f>ROUND(INDEX(加速度入力!$B$56:$AV$206,ROWS($A$5:$A40),MATCH(F$4,加速度入力!$B$53:$AV$53,0)),1)</f>
        <v>43510</v>
      </c>
    </row>
    <row r="41" spans="1:6" x14ac:dyDescent="0.25">
      <c r="A41" s="1">
        <f>加速度入力!B92</f>
        <v>36</v>
      </c>
      <c r="B41" s="1">
        <f>ROUND(INDEX(加速度入力!$B$56:$AV$206,ROWS($A$5:$A41),MATCH(B$4,加速度入力!$B$53:$AV$53,0)),1)</f>
        <v>240.4</v>
      </c>
      <c r="C41" s="1">
        <f>ROUND(INDEX(加速度入力!$B$56:$AV$206,ROWS($A$5:$A41),MATCH(C$4,加速度入力!$B$53:$AV$53,0)),1)</f>
        <v>21104.9</v>
      </c>
      <c r="D41" s="1">
        <f>ROUND(INDEX(加速度入力!$B$56:$AV$206,ROWS($A$5:$A41),MATCH(D$4,加速度入力!$B$53:$AV$53,0)),1)</f>
        <v>42267.4</v>
      </c>
      <c r="E41" s="1">
        <f>ROUND(INDEX(加速度入力!$B$56:$AV$206,ROWS($A$5:$A41),MATCH(E$4,加速度入力!$B$53:$AV$53,0)),1)</f>
        <v>57378</v>
      </c>
      <c r="F41" s="1">
        <f>ROUND(INDEX(加速度入力!$B$56:$AV$206,ROWS($A$5:$A41),MATCH(F$4,加速度入力!$B$53:$AV$53,0)),1)</f>
        <v>43510</v>
      </c>
    </row>
    <row r="42" spans="1:6" x14ac:dyDescent="0.25">
      <c r="A42" s="1">
        <f>加速度入力!B93</f>
        <v>37</v>
      </c>
      <c r="B42" s="1">
        <f>ROUND(INDEX(加速度入力!$B$56:$AV$206,ROWS($A$5:$A42),MATCH(B$4,加速度入力!$B$53:$AV$53,0)),1)</f>
        <v>224.5</v>
      </c>
      <c r="C42" s="1">
        <f>ROUND(INDEX(加速度入力!$B$56:$AV$206,ROWS($A$5:$A42),MATCH(C$4,加速度入力!$B$53:$AV$53,0)),1)</f>
        <v>20210.8</v>
      </c>
      <c r="D42" s="1">
        <f>ROUND(INDEX(加速度入力!$B$56:$AV$206,ROWS($A$5:$A42),MATCH(D$4,加速度入力!$B$53:$AV$53,0)),1)</f>
        <v>41125</v>
      </c>
      <c r="E42" s="1">
        <f>ROUND(INDEX(加速度入力!$B$56:$AV$206,ROWS($A$5:$A42),MATCH(E$4,加速度入力!$B$53:$AV$53,0)),1)</f>
        <v>57378</v>
      </c>
      <c r="F42" s="1">
        <f>ROUND(INDEX(加速度入力!$B$56:$AV$206,ROWS($A$5:$A42),MATCH(F$4,加速度入力!$B$53:$AV$53,0)),1)</f>
        <v>43510</v>
      </c>
    </row>
    <row r="43" spans="1:6" x14ac:dyDescent="0.25">
      <c r="A43" s="1">
        <f>加速度入力!B94</f>
        <v>38</v>
      </c>
      <c r="B43" s="1">
        <f>ROUND(INDEX(加速度入力!$B$56:$AV$206,ROWS($A$5:$A43),MATCH(B$4,加速度入力!$B$53:$AV$53,0)),1)</f>
        <v>210</v>
      </c>
      <c r="C43" s="1">
        <f>ROUND(INDEX(加速度入力!$B$56:$AV$206,ROWS($A$5:$A43),MATCH(C$4,加速度入力!$B$53:$AV$53,0)),1)</f>
        <v>19376.900000000001</v>
      </c>
      <c r="D43" s="1">
        <f>ROUND(INDEX(加速度入力!$B$56:$AV$206,ROWS($A$5:$A43),MATCH(D$4,加速度入力!$B$53:$AV$53,0)),1)</f>
        <v>40042.800000000003</v>
      </c>
      <c r="E43" s="1">
        <f>ROUND(INDEX(加速度入力!$B$56:$AV$206,ROWS($A$5:$A43),MATCH(E$4,加速度入力!$B$53:$AV$53,0)),1)</f>
        <v>57378</v>
      </c>
      <c r="F43" s="1">
        <f>ROUND(INDEX(加速度入力!$B$56:$AV$206,ROWS($A$5:$A43),MATCH(F$4,加速度入力!$B$53:$AV$53,0)),1)</f>
        <v>43510</v>
      </c>
    </row>
    <row r="44" spans="1:6" x14ac:dyDescent="0.25">
      <c r="A44" s="1">
        <f>加速度入力!B95</f>
        <v>39</v>
      </c>
      <c r="B44" s="1">
        <f>ROUND(INDEX(加速度入力!$B$56:$AV$206,ROWS($A$5:$A44),MATCH(B$4,加速度入力!$B$53:$AV$53,0)),1)</f>
        <v>196.8</v>
      </c>
      <c r="C44" s="1">
        <f>ROUND(INDEX(加速度入力!$B$56:$AV$206,ROWS($A$5:$A44),MATCH(C$4,加速度入力!$B$53:$AV$53,0)),1)</f>
        <v>18597.7</v>
      </c>
      <c r="D44" s="1">
        <f>ROUND(INDEX(加速度入力!$B$56:$AV$206,ROWS($A$5:$A44),MATCH(D$4,加速度入力!$B$53:$AV$53,0)),1)</f>
        <v>39016</v>
      </c>
      <c r="E44" s="1">
        <f>ROUND(INDEX(加速度入力!$B$56:$AV$206,ROWS($A$5:$A44),MATCH(E$4,加速度入力!$B$53:$AV$53,0)),1)</f>
        <v>57378</v>
      </c>
      <c r="F44" s="1">
        <f>ROUND(INDEX(加速度入力!$B$56:$AV$206,ROWS($A$5:$A44),MATCH(F$4,加速度入力!$B$53:$AV$53,0)),1)</f>
        <v>42394.400000000001</v>
      </c>
    </row>
    <row r="45" spans="1:6" x14ac:dyDescent="0.25">
      <c r="A45" s="1">
        <f>加速度入力!B96</f>
        <v>40</v>
      </c>
      <c r="B45" s="1">
        <f>ROUND(INDEX(加速度入力!$B$56:$AV$206,ROWS($A$5:$A45),MATCH(B$4,加速度入力!$B$53:$AV$53,0)),1)</f>
        <v>184.7</v>
      </c>
      <c r="C45" s="1">
        <f>ROUND(INDEX(加速度入力!$B$56:$AV$206,ROWS($A$5:$A45),MATCH(C$4,加速度入力!$B$53:$AV$53,0)),1)</f>
        <v>17868.5</v>
      </c>
      <c r="D45" s="1">
        <f>ROUND(INDEX(加速度入力!$B$56:$AV$206,ROWS($A$5:$A45),MATCH(D$4,加速度入力!$B$53:$AV$53,0)),1)</f>
        <v>38040.6</v>
      </c>
      <c r="E45" s="1">
        <f>ROUND(INDEX(加速度入力!$B$56:$AV$206,ROWS($A$5:$A45),MATCH(E$4,加速度入力!$B$53:$AV$53,0)),1)</f>
        <v>57378</v>
      </c>
      <c r="F45" s="1">
        <f>ROUND(INDEX(加速度入力!$B$56:$AV$206,ROWS($A$5:$A45),MATCH(F$4,加速度入力!$B$53:$AV$53,0)),1)</f>
        <v>41334.5</v>
      </c>
    </row>
    <row r="46" spans="1:6" x14ac:dyDescent="0.25">
      <c r="A46" s="1">
        <f>加速度入力!B97</f>
        <v>41</v>
      </c>
      <c r="B46" s="1">
        <f>ROUND(INDEX(加速度入力!$B$56:$AV$206,ROWS($A$5:$A46),MATCH(B$4,加速度入力!$B$53:$AV$53,0)),1)</f>
        <v>173.7</v>
      </c>
      <c r="C46" s="1">
        <f>ROUND(INDEX(加速度入力!$B$56:$AV$206,ROWS($A$5:$A46),MATCH(C$4,加速度入力!$B$53:$AV$53,0)),1)</f>
        <v>17184.8</v>
      </c>
      <c r="D46" s="1">
        <f>ROUND(INDEX(加速度入力!$B$56:$AV$206,ROWS($A$5:$A46),MATCH(D$4,加速度入力!$B$53:$AV$53,0)),1)</f>
        <v>37112.800000000003</v>
      </c>
      <c r="E46" s="1">
        <f>ROUND(INDEX(加速度入力!$B$56:$AV$206,ROWS($A$5:$A46),MATCH(E$4,加速度入力!$B$53:$AV$53,0)),1)</f>
        <v>57378</v>
      </c>
      <c r="F46" s="1">
        <f>ROUND(INDEX(加速度入力!$B$56:$AV$206,ROWS($A$5:$A46),MATCH(F$4,加速度入力!$B$53:$AV$53,0)),1)</f>
        <v>40326.300000000003</v>
      </c>
    </row>
    <row r="47" spans="1:6" x14ac:dyDescent="0.25">
      <c r="A47" s="1">
        <f>加速度入力!B98</f>
        <v>42</v>
      </c>
      <c r="B47" s="1">
        <f>ROUND(INDEX(加速度入力!$B$56:$AV$206,ROWS($A$5:$A47),MATCH(B$4,加速度入力!$B$53:$AV$53,0)),1)</f>
        <v>163.5</v>
      </c>
      <c r="C47" s="1">
        <f>ROUND(INDEX(加速度入力!$B$56:$AV$206,ROWS($A$5:$A47),MATCH(C$4,加速度入力!$B$53:$AV$53,0)),1)</f>
        <v>16542.8</v>
      </c>
      <c r="D47" s="1">
        <f>ROUND(INDEX(加速度入力!$B$56:$AV$206,ROWS($A$5:$A47),MATCH(D$4,加速度入力!$B$53:$AV$53,0)),1)</f>
        <v>36229.199999999997</v>
      </c>
      <c r="E47" s="1">
        <f>ROUND(INDEX(加速度入力!$B$56:$AV$206,ROWS($A$5:$A47),MATCH(E$4,加速度入力!$B$53:$AV$53,0)),1)</f>
        <v>57378</v>
      </c>
      <c r="F47" s="1">
        <f>ROUND(INDEX(加速度入力!$B$56:$AV$206,ROWS($A$5:$A47),MATCH(F$4,加速度入力!$B$53:$AV$53,0)),1)</f>
        <v>39366.199999999997</v>
      </c>
    </row>
    <row r="48" spans="1:6" x14ac:dyDescent="0.25">
      <c r="A48" s="1">
        <f>加速度入力!B99</f>
        <v>43</v>
      </c>
      <c r="B48" s="1">
        <f>ROUND(INDEX(加速度入力!$B$56:$AV$206,ROWS($A$5:$A48),MATCH(B$4,加速度入力!$B$53:$AV$53,0)),1)</f>
        <v>154.19999999999999</v>
      </c>
      <c r="C48" s="1">
        <f>ROUND(INDEX(加速度入力!$B$56:$AV$206,ROWS($A$5:$A48),MATCH(C$4,加速度入力!$B$53:$AV$53,0)),1)</f>
        <v>15939</v>
      </c>
      <c r="D48" s="1">
        <f>ROUND(INDEX(加速度入力!$B$56:$AV$206,ROWS($A$5:$A48),MATCH(D$4,加速度入力!$B$53:$AV$53,0)),1)</f>
        <v>35386.6</v>
      </c>
      <c r="E48" s="1">
        <f>ROUND(INDEX(加速度入力!$B$56:$AV$206,ROWS($A$5:$A48),MATCH(E$4,加速度入力!$B$53:$AV$53,0)),1)</f>
        <v>57378</v>
      </c>
      <c r="F48" s="1">
        <f>ROUND(INDEX(加速度入力!$B$56:$AV$206,ROWS($A$5:$A48),MATCH(F$4,加速度入力!$B$53:$AV$53,0)),1)</f>
        <v>38450.699999999997</v>
      </c>
    </row>
    <row r="49" spans="1:6" x14ac:dyDescent="0.25">
      <c r="A49" s="1">
        <f>加速度入力!B100</f>
        <v>44</v>
      </c>
      <c r="B49" s="1">
        <f>ROUND(INDEX(加速度入力!$B$56:$AV$206,ROWS($A$5:$A49),MATCH(B$4,加速度入力!$B$53:$AV$53,0)),1)</f>
        <v>145.6</v>
      </c>
      <c r="C49" s="1">
        <f>ROUND(INDEX(加速度入力!$B$56:$AV$206,ROWS($A$5:$A49),MATCH(C$4,加速度入力!$B$53:$AV$53,0)),1)</f>
        <v>15370.5</v>
      </c>
      <c r="D49" s="1">
        <f>ROUND(INDEX(加速度入力!$B$56:$AV$206,ROWS($A$5:$A49),MATCH(D$4,加速度入力!$B$53:$AV$53,0)),1)</f>
        <v>34582.400000000001</v>
      </c>
      <c r="E49" s="1">
        <f>ROUND(INDEX(加速度入力!$B$56:$AV$206,ROWS($A$5:$A49),MATCH(E$4,加速度入力!$B$53:$AV$53,0)),1)</f>
        <v>57378</v>
      </c>
      <c r="F49" s="1">
        <f>ROUND(INDEX(加速度入力!$B$56:$AV$206,ROWS($A$5:$A49),MATCH(F$4,加速度入力!$B$53:$AV$53,0)),1)</f>
        <v>37576.800000000003</v>
      </c>
    </row>
    <row r="50" spans="1:6" x14ac:dyDescent="0.25">
      <c r="A50" s="1">
        <f>加速度入力!B101</f>
        <v>45</v>
      </c>
      <c r="B50" s="1">
        <f>ROUND(INDEX(加速度入力!$B$56:$AV$206,ROWS($A$5:$A50),MATCH(B$4,加速度入力!$B$53:$AV$53,0)),1)</f>
        <v>137.6</v>
      </c>
      <c r="C50" s="1">
        <f>ROUND(INDEX(加速度入力!$B$56:$AV$206,ROWS($A$5:$A50),MATCH(C$4,加速度入力!$B$53:$AV$53,0)),1)</f>
        <v>14834.3</v>
      </c>
      <c r="D50" s="1">
        <f>ROUND(INDEX(加速度入力!$B$56:$AV$206,ROWS($A$5:$A50),MATCH(D$4,加速度入力!$B$53:$AV$53,0)),1)</f>
        <v>33813.9</v>
      </c>
      <c r="E50" s="1">
        <f>ROUND(INDEX(加速度入力!$B$56:$AV$206,ROWS($A$5:$A50),MATCH(E$4,加速度入力!$B$53:$AV$53,0)),1)</f>
        <v>57378</v>
      </c>
      <c r="F50" s="1">
        <f>ROUND(INDEX(加速度入力!$B$56:$AV$206,ROWS($A$5:$A50),MATCH(F$4,加速度入力!$B$53:$AV$53,0)),1)</f>
        <v>36741.800000000003</v>
      </c>
    </row>
    <row r="51" spans="1:6" x14ac:dyDescent="0.25">
      <c r="A51" s="1">
        <f>加速度入力!B102</f>
        <v>46</v>
      </c>
      <c r="B51" s="1">
        <f>ROUND(INDEX(加速度入力!$B$56:$AV$206,ROWS($A$5:$A51),MATCH(B$4,加速度入力!$B$53:$AV$53,0)),1)</f>
        <v>130.19999999999999</v>
      </c>
      <c r="C51" s="1">
        <f>ROUND(INDEX(加速度入力!$B$56:$AV$206,ROWS($A$5:$A51),MATCH(C$4,加速度入力!$B$53:$AV$53,0)),1)</f>
        <v>14328</v>
      </c>
      <c r="D51" s="1">
        <f>ROUND(INDEX(加速度入力!$B$56:$AV$206,ROWS($A$5:$A51),MATCH(D$4,加速度入力!$B$53:$AV$53,0)),1)</f>
        <v>33078.800000000003</v>
      </c>
      <c r="E51" s="1">
        <f>ROUND(INDEX(加速度入力!$B$56:$AV$206,ROWS($A$5:$A51),MATCH(E$4,加速度入力!$B$53:$AV$53,0)),1)</f>
        <v>57378</v>
      </c>
      <c r="F51" s="1">
        <f>ROUND(INDEX(加速度入力!$B$56:$AV$206,ROWS($A$5:$A51),MATCH(F$4,加速度入力!$B$53:$AV$53,0)),1)</f>
        <v>35943</v>
      </c>
    </row>
    <row r="52" spans="1:6" x14ac:dyDescent="0.25">
      <c r="A52" s="1">
        <f>加速度入力!B103</f>
        <v>47</v>
      </c>
      <c r="B52" s="1">
        <f>ROUND(INDEX(加速度入力!$B$56:$AV$206,ROWS($A$5:$A52),MATCH(B$4,加速度入力!$B$53:$AV$53,0)),1)</f>
        <v>123.4</v>
      </c>
      <c r="C52" s="1">
        <f>ROUND(INDEX(加速度入力!$B$56:$AV$206,ROWS($A$5:$A52),MATCH(C$4,加速度入力!$B$53:$AV$53,0)),1)</f>
        <v>13849.3</v>
      </c>
      <c r="D52" s="1">
        <f>ROUND(INDEX(加速度入力!$B$56:$AV$206,ROWS($A$5:$A52),MATCH(D$4,加速度入力!$B$53:$AV$53,0)),1)</f>
        <v>32375</v>
      </c>
      <c r="E52" s="1">
        <f>ROUND(INDEX(加速度入力!$B$56:$AV$206,ROWS($A$5:$A52),MATCH(E$4,加速度入力!$B$53:$AV$53,0)),1)</f>
        <v>57378</v>
      </c>
      <c r="F52" s="1">
        <f>ROUND(INDEX(加速度入力!$B$56:$AV$206,ROWS($A$5:$A52),MATCH(F$4,加速度入力!$B$53:$AV$53,0)),1)</f>
        <v>35321.1</v>
      </c>
    </row>
    <row r="53" spans="1:6" x14ac:dyDescent="0.25">
      <c r="A53" s="1">
        <f>加速度入力!B104</f>
        <v>48</v>
      </c>
      <c r="B53" s="1">
        <f>ROUND(INDEX(加速度入力!$B$56:$AV$206,ROWS($A$5:$A53),MATCH(B$4,加速度入力!$B$53:$AV$53,0)),1)</f>
        <v>117.1</v>
      </c>
      <c r="C53" s="1">
        <f>ROUND(INDEX(加速度入力!$B$56:$AV$206,ROWS($A$5:$A53),MATCH(C$4,加速度入力!$B$53:$AV$53,0)),1)</f>
        <v>13396.2</v>
      </c>
      <c r="D53" s="1">
        <f>ROUND(INDEX(加速度入力!$B$56:$AV$206,ROWS($A$5:$A53),MATCH(D$4,加速度入力!$B$53:$AV$53,0)),1)</f>
        <v>31700.5</v>
      </c>
      <c r="E53" s="1">
        <f>ROUND(INDEX(加速度入力!$B$56:$AV$206,ROWS($A$5:$A53),MATCH(E$4,加速度入力!$B$53:$AV$53,0)),1)</f>
        <v>57378</v>
      </c>
      <c r="F53" s="1">
        <f>ROUND(INDEX(加速度入力!$B$56:$AV$206,ROWS($A$5:$A53),MATCH(F$4,加速度入力!$B$53:$AV$53,0)),1)</f>
        <v>34722.6</v>
      </c>
    </row>
    <row r="54" spans="1:6" x14ac:dyDescent="0.25">
      <c r="A54" s="1">
        <f>加速度入力!B105</f>
        <v>49</v>
      </c>
      <c r="B54" s="1">
        <f>ROUND(INDEX(加速度入力!$B$56:$AV$206,ROWS($A$5:$A54),MATCH(B$4,加速度入力!$B$53:$AV$53,0)),1)</f>
        <v>111.2</v>
      </c>
      <c r="C54" s="1">
        <f>ROUND(INDEX(加速度入力!$B$56:$AV$206,ROWS($A$5:$A54),MATCH(C$4,加速度入力!$B$53:$AV$53,0)),1)</f>
        <v>12966.8</v>
      </c>
      <c r="D54" s="1">
        <f>ROUND(INDEX(加速度入力!$B$56:$AV$206,ROWS($A$5:$A54),MATCH(D$4,加速度入力!$B$53:$AV$53,0)),1)</f>
        <v>31053.599999999999</v>
      </c>
      <c r="E54" s="1">
        <f>ROUND(INDEX(加速度入力!$B$56:$AV$206,ROWS($A$5:$A54),MATCH(E$4,加速度入力!$B$53:$AV$53,0)),1)</f>
        <v>57378</v>
      </c>
      <c r="F54" s="1">
        <f>ROUND(INDEX(加速度入力!$B$56:$AV$206,ROWS($A$5:$A54),MATCH(F$4,加速度入力!$B$53:$AV$53,0)),1)</f>
        <v>34146.400000000001</v>
      </c>
    </row>
    <row r="55" spans="1:6" x14ac:dyDescent="0.25">
      <c r="A55" s="1">
        <f>加速度入力!B106</f>
        <v>50</v>
      </c>
      <c r="B55" s="1">
        <f>ROUND(INDEX(加速度入力!$B$56:$AV$206,ROWS($A$5:$A55),MATCH(B$4,加速度入力!$B$53:$AV$53,0)),1)</f>
        <v>105.7</v>
      </c>
      <c r="C55" s="1">
        <f>ROUND(INDEX(加速度入力!$B$56:$AV$206,ROWS($A$5:$A55),MATCH(C$4,加速度入力!$B$53:$AV$53,0)),1)</f>
        <v>12559.4</v>
      </c>
      <c r="D55" s="1">
        <f>ROUND(INDEX(加速度入力!$B$56:$AV$206,ROWS($A$5:$A55),MATCH(D$4,加速度入力!$B$53:$AV$53,0)),1)</f>
        <v>30432.5</v>
      </c>
      <c r="E55" s="1">
        <f>ROUND(INDEX(加速度入力!$B$56:$AV$206,ROWS($A$5:$A55),MATCH(E$4,加速度入力!$B$53:$AV$53,0)),1)</f>
        <v>57378</v>
      </c>
      <c r="F55" s="1">
        <f>ROUND(INDEX(加速度入力!$B$56:$AV$206,ROWS($A$5:$A55),MATCH(F$4,加速度入力!$B$53:$AV$53,0)),1)</f>
        <v>33591</v>
      </c>
    </row>
    <row r="56" spans="1:6" x14ac:dyDescent="0.25">
      <c r="A56" s="1">
        <f>加速度入力!B107</f>
        <v>51</v>
      </c>
      <c r="B56" s="1">
        <f>ROUND(INDEX(加速度入力!$B$56:$AV$206,ROWS($A$5:$A56),MATCH(B$4,加速度入力!$B$53:$AV$53,0)),1)</f>
        <v>100.6</v>
      </c>
      <c r="C56" s="1">
        <f>ROUND(INDEX(加速度入力!$B$56:$AV$206,ROWS($A$5:$A56),MATCH(C$4,加速度入力!$B$53:$AV$53,0)),1)</f>
        <v>12172.5</v>
      </c>
      <c r="D56" s="1">
        <f>ROUND(INDEX(加速度入力!$B$56:$AV$206,ROWS($A$5:$A56),MATCH(D$4,加速度入力!$B$53:$AV$53,0)),1)</f>
        <v>29835.8</v>
      </c>
      <c r="E56" s="1">
        <f>ROUND(INDEX(加速度入力!$B$56:$AV$206,ROWS($A$5:$A56),MATCH(E$4,加速度入力!$B$53:$AV$53,0)),1)</f>
        <v>56898.9</v>
      </c>
      <c r="F56" s="1">
        <f>ROUND(INDEX(加速度入力!$B$56:$AV$206,ROWS($A$5:$A56),MATCH(F$4,加速度入力!$B$53:$AV$53,0)),1)</f>
        <v>33055.4</v>
      </c>
    </row>
    <row r="57" spans="1:6" x14ac:dyDescent="0.25">
      <c r="A57" s="1">
        <f>加速度入力!B108</f>
        <v>52</v>
      </c>
      <c r="B57" s="1">
        <f>ROUND(INDEX(加速度入力!$B$56:$AV$206,ROWS($A$5:$A57),MATCH(B$4,加速度入力!$B$53:$AV$53,0)),1)</f>
        <v>95.9</v>
      </c>
      <c r="C57" s="1">
        <f>ROUND(INDEX(加速度入力!$B$56:$AV$206,ROWS($A$5:$A57),MATCH(C$4,加速度入力!$B$53:$AV$53,0)),1)</f>
        <v>11804.7</v>
      </c>
      <c r="D57" s="1">
        <f>ROUND(INDEX(加速度入力!$B$56:$AV$206,ROWS($A$5:$A57),MATCH(D$4,加速度入力!$B$53:$AV$53,0)),1)</f>
        <v>29262</v>
      </c>
      <c r="E57" s="1">
        <f>ROUND(INDEX(加速度入力!$B$56:$AV$206,ROWS($A$5:$A57),MATCH(E$4,加速度入力!$B$53:$AV$53,0)),1)</f>
        <v>56009.2</v>
      </c>
      <c r="F57" s="1">
        <f>ROUND(INDEX(加速度入力!$B$56:$AV$206,ROWS($A$5:$A57),MATCH(F$4,加速度入力!$B$53:$AV$53,0)),1)</f>
        <v>32538.5</v>
      </c>
    </row>
    <row r="58" spans="1:6" x14ac:dyDescent="0.25">
      <c r="A58" s="1">
        <f>加速度入力!B109</f>
        <v>53</v>
      </c>
      <c r="B58" s="1">
        <f>ROUND(INDEX(加速度入力!$B$56:$AV$206,ROWS($A$5:$A58),MATCH(B$4,加速度入力!$B$53:$AV$53,0)),1)</f>
        <v>91.4</v>
      </c>
      <c r="C58" s="1">
        <f>ROUND(INDEX(加速度入力!$B$56:$AV$206,ROWS($A$5:$A58),MATCH(C$4,加速度入力!$B$53:$AV$53,0)),1)</f>
        <v>11454.8</v>
      </c>
      <c r="D58" s="1">
        <f>ROUND(INDEX(加速度入力!$B$56:$AV$206,ROWS($A$5:$A58),MATCH(D$4,加速度入力!$B$53:$AV$53,0)),1)</f>
        <v>28709.9</v>
      </c>
      <c r="E58" s="1">
        <f>ROUND(INDEX(加速度入力!$B$56:$AV$206,ROWS($A$5:$A58),MATCH(E$4,加速度入力!$B$53:$AV$53,0)),1)</f>
        <v>55149.9</v>
      </c>
      <c r="F58" s="1">
        <f>ROUND(INDEX(加速度入力!$B$56:$AV$206,ROWS($A$5:$A58),MATCH(F$4,加速度入力!$B$53:$AV$53,0)),1)</f>
        <v>32039.3</v>
      </c>
    </row>
    <row r="59" spans="1:6" x14ac:dyDescent="0.25">
      <c r="A59" s="1">
        <f>加速度入力!B110</f>
        <v>54</v>
      </c>
      <c r="B59" s="1">
        <f>ROUND(INDEX(加速度入力!$B$56:$AV$206,ROWS($A$5:$A59),MATCH(B$4,加速度入力!$B$53:$AV$53,0)),1)</f>
        <v>87.2</v>
      </c>
      <c r="C59" s="1">
        <f>ROUND(INDEX(加速度入力!$B$56:$AV$206,ROWS($A$5:$A59),MATCH(C$4,加速度入力!$B$53:$AV$53,0)),1)</f>
        <v>11121.4</v>
      </c>
      <c r="D59" s="1">
        <f>ROUND(INDEX(加速度入力!$B$56:$AV$206,ROWS($A$5:$A59),MATCH(D$4,加速度入力!$B$53:$AV$53,0)),1)</f>
        <v>28178.2</v>
      </c>
      <c r="E59" s="1">
        <f>ROUND(INDEX(加速度入力!$B$56:$AV$206,ROWS($A$5:$A59),MATCH(E$4,加速度入力!$B$53:$AV$53,0)),1)</f>
        <v>54319.5</v>
      </c>
      <c r="F59" s="1">
        <f>ROUND(INDEX(加速度入力!$B$56:$AV$206,ROWS($A$5:$A59),MATCH(F$4,加速度入力!$B$53:$AV$53,0)),1)</f>
        <v>31556.9</v>
      </c>
    </row>
    <row r="60" spans="1:6" x14ac:dyDescent="0.25">
      <c r="A60" s="1">
        <f>加速度入力!B111</f>
        <v>55</v>
      </c>
      <c r="B60" s="1">
        <f>ROUND(INDEX(加速度入力!$B$56:$AV$206,ROWS($A$5:$A60),MATCH(B$4,加速度入力!$B$53:$AV$53,0)),1)</f>
        <v>83.3</v>
      </c>
      <c r="C60" s="1">
        <f>ROUND(INDEX(加速度入力!$B$56:$AV$206,ROWS($A$5:$A60),MATCH(C$4,加速度入力!$B$53:$AV$53,0)),1)</f>
        <v>10803.6</v>
      </c>
      <c r="D60" s="1">
        <f>ROUND(INDEX(加速度入力!$B$56:$AV$206,ROWS($A$5:$A60),MATCH(D$4,加速度入力!$B$53:$AV$53,0)),1)</f>
        <v>27665.9</v>
      </c>
      <c r="E60" s="1">
        <f>ROUND(INDEX(加速度入力!$B$56:$AV$206,ROWS($A$5:$A60),MATCH(E$4,加速度入力!$B$53:$AV$53,0)),1)</f>
        <v>53516.5</v>
      </c>
      <c r="F60" s="1">
        <f>ROUND(INDEX(加速度入力!$B$56:$AV$206,ROWS($A$5:$A60),MATCH(F$4,加速度入力!$B$53:$AV$53,0)),1)</f>
        <v>31090.400000000001</v>
      </c>
    </row>
    <row r="61" spans="1:6" x14ac:dyDescent="0.25">
      <c r="A61" s="1">
        <f>加速度入力!B112</f>
        <v>56</v>
      </c>
      <c r="B61" s="1">
        <f>ROUND(INDEX(加速度入力!$B$56:$AV$206,ROWS($A$5:$A61),MATCH(B$4,加速度入力!$B$53:$AV$53,0)),1)</f>
        <v>79.7</v>
      </c>
      <c r="C61" s="1">
        <f>ROUND(INDEX(加速度入力!$B$56:$AV$206,ROWS($A$5:$A61),MATCH(C$4,加速度入力!$B$53:$AV$53,0)),1)</f>
        <v>10500.4</v>
      </c>
      <c r="D61" s="1">
        <f>ROUND(INDEX(加速度入力!$B$56:$AV$206,ROWS($A$5:$A61),MATCH(D$4,加速度入力!$B$53:$AV$53,0)),1)</f>
        <v>27171.9</v>
      </c>
      <c r="E61" s="1">
        <f>ROUND(INDEX(加速度入力!$B$56:$AV$206,ROWS($A$5:$A61),MATCH(E$4,加速度入力!$B$53:$AV$53,0)),1)</f>
        <v>52739.6</v>
      </c>
      <c r="F61" s="1">
        <f>ROUND(INDEX(加速度入力!$B$56:$AV$206,ROWS($A$5:$A61),MATCH(F$4,加速度入力!$B$53:$AV$53,0)),1)</f>
        <v>30639</v>
      </c>
    </row>
    <row r="62" spans="1:6" x14ac:dyDescent="0.25">
      <c r="A62" s="1">
        <f>加速度入力!B113</f>
        <v>57</v>
      </c>
      <c r="B62" s="1">
        <f>ROUND(INDEX(加速度入力!$B$56:$AV$206,ROWS($A$5:$A62),MATCH(B$4,加速度入力!$B$53:$AV$53,0)),1)</f>
        <v>76.2</v>
      </c>
      <c r="C62" s="1">
        <f>ROUND(INDEX(加速度入力!$B$56:$AV$206,ROWS($A$5:$A62),MATCH(C$4,加速度入力!$B$53:$AV$53,0)),1)</f>
        <v>10210.799999999999</v>
      </c>
      <c r="D62" s="1">
        <f>ROUND(INDEX(加速度入力!$B$56:$AV$206,ROWS($A$5:$A62),MATCH(D$4,加速度入力!$B$53:$AV$53,0)),1)</f>
        <v>26695.200000000001</v>
      </c>
      <c r="E62" s="1">
        <f>ROUND(INDEX(加速度入力!$B$56:$AV$206,ROWS($A$5:$A62),MATCH(E$4,加速度入力!$B$53:$AV$53,0)),1)</f>
        <v>51987.3</v>
      </c>
      <c r="F62" s="1">
        <f>ROUND(INDEX(加速度入力!$B$56:$AV$206,ROWS($A$5:$A62),MATCH(F$4,加速度入力!$B$53:$AV$53,0)),1)</f>
        <v>30202</v>
      </c>
    </row>
    <row r="63" spans="1:6" x14ac:dyDescent="0.25">
      <c r="A63" s="1">
        <f>加速度入力!B114</f>
        <v>58</v>
      </c>
      <c r="B63" s="1">
        <f>ROUND(INDEX(加速度入力!$B$56:$AV$206,ROWS($A$5:$A63),MATCH(B$4,加速度入力!$B$53:$AV$53,0)),1)</f>
        <v>73</v>
      </c>
      <c r="C63" s="1">
        <f>ROUND(INDEX(加速度入力!$B$56:$AV$206,ROWS($A$5:$A63),MATCH(C$4,加速度入力!$B$53:$AV$53,0)),1)</f>
        <v>9934</v>
      </c>
      <c r="D63" s="1">
        <f>ROUND(INDEX(加速度入力!$B$56:$AV$206,ROWS($A$5:$A63),MATCH(D$4,加速度入力!$B$53:$AV$53,0)),1)</f>
        <v>26234.9</v>
      </c>
      <c r="E63" s="1">
        <f>ROUND(INDEX(加速度入力!$B$56:$AV$206,ROWS($A$5:$A63),MATCH(E$4,加速度入力!$B$53:$AV$53,0)),1)</f>
        <v>51258.6</v>
      </c>
      <c r="F63" s="1">
        <f>ROUND(INDEX(加速度入力!$B$56:$AV$206,ROWS($A$5:$A63),MATCH(F$4,加速度入力!$B$53:$AV$53,0)),1)</f>
        <v>29778.7</v>
      </c>
    </row>
    <row r="64" spans="1:6" x14ac:dyDescent="0.25">
      <c r="A64" s="1">
        <f>加速度入力!B115</f>
        <v>59</v>
      </c>
      <c r="B64" s="1">
        <f>ROUND(INDEX(加速度入力!$B$56:$AV$206,ROWS($A$5:$A64),MATCH(B$4,加速度入力!$B$53:$AV$53,0)),1)</f>
        <v>69.900000000000006</v>
      </c>
      <c r="C64" s="1">
        <f>ROUND(INDEX(加速度入力!$B$56:$AV$206,ROWS($A$5:$A64),MATCH(C$4,加速度入力!$B$53:$AV$53,0)),1)</f>
        <v>9669.2999999999993</v>
      </c>
      <c r="D64" s="1">
        <f>ROUND(INDEX(加速度入力!$B$56:$AV$206,ROWS($A$5:$A64),MATCH(D$4,加速度入力!$B$53:$AV$53,0)),1)</f>
        <v>25790.3</v>
      </c>
      <c r="E64" s="1">
        <f>ROUND(INDEX(加速度入力!$B$56:$AV$206,ROWS($A$5:$A64),MATCH(E$4,加速度入力!$B$53:$AV$53,0)),1)</f>
        <v>50552.3</v>
      </c>
      <c r="F64" s="1">
        <f>ROUND(INDEX(加速度入力!$B$56:$AV$206,ROWS($A$5:$A64),MATCH(F$4,加速度入力!$B$53:$AV$53,0)),1)</f>
        <v>29368.400000000001</v>
      </c>
    </row>
    <row r="65" spans="1:6" x14ac:dyDescent="0.25">
      <c r="A65" s="1">
        <f>加速度入力!B116</f>
        <v>60</v>
      </c>
      <c r="B65" s="1">
        <f>ROUND(INDEX(加速度入力!$B$56:$AV$206,ROWS($A$5:$A65),MATCH(B$4,加速度入力!$B$53:$AV$53,0)),1)</f>
        <v>67</v>
      </c>
      <c r="C65" s="1">
        <f>ROUND(INDEX(加速度入力!$B$56:$AV$206,ROWS($A$5:$A65),MATCH(C$4,加速度入力!$B$53:$AV$53,0)),1)</f>
        <v>9415.9</v>
      </c>
      <c r="D65" s="1">
        <f>ROUND(INDEX(加速度入力!$B$56:$AV$206,ROWS($A$5:$A65),MATCH(D$4,加速度入力!$B$53:$AV$53,0)),1)</f>
        <v>25332.2</v>
      </c>
      <c r="E65" s="1">
        <f>ROUND(INDEX(加速度入力!$B$56:$AV$206,ROWS($A$5:$A65),MATCH(E$4,加速度入力!$B$53:$AV$53,0)),1)</f>
        <v>49867.4</v>
      </c>
      <c r="F65" s="1">
        <f>ROUND(INDEX(加速度入力!$B$56:$AV$206,ROWS($A$5:$A65),MATCH(F$4,加速度入力!$B$53:$AV$53,0)),1)</f>
        <v>28970.400000000001</v>
      </c>
    </row>
    <row r="66" spans="1:6" x14ac:dyDescent="0.25">
      <c r="A66" s="1">
        <f>加速度入力!B117</f>
        <v>61</v>
      </c>
      <c r="B66" s="1">
        <f>ROUND(INDEX(加速度入力!$B$56:$AV$206,ROWS($A$5:$A66),MATCH(B$4,加速度入力!$B$53:$AV$53,0)),1)</f>
        <v>64.3</v>
      </c>
      <c r="C66" s="1">
        <f>ROUND(INDEX(加速度入力!$B$56:$AV$206,ROWS($A$5:$A66),MATCH(C$4,加速度入力!$B$53:$AV$53,0)),1)</f>
        <v>9173.2000000000007</v>
      </c>
      <c r="D66" s="1">
        <f>ROUND(INDEX(加速度入力!$B$56:$AV$206,ROWS($A$5:$A66),MATCH(D$4,加速度入力!$B$53:$AV$53,0)),1)</f>
        <v>24508.5</v>
      </c>
      <c r="E66" s="1">
        <f>ROUND(INDEX(加速度入力!$B$56:$AV$206,ROWS($A$5:$A66),MATCH(E$4,加速度入力!$B$53:$AV$53,0)),1)</f>
        <v>49202.8</v>
      </c>
      <c r="F66" s="1">
        <f>ROUND(INDEX(加速度入力!$B$56:$AV$206,ROWS($A$5:$A66),MATCH(F$4,加速度入力!$B$53:$AV$53,0)),1)</f>
        <v>28584.400000000001</v>
      </c>
    </row>
    <row r="67" spans="1:6" x14ac:dyDescent="0.25">
      <c r="A67" s="1">
        <f>加速度入力!B118</f>
        <v>62</v>
      </c>
      <c r="B67" s="1">
        <f>ROUND(INDEX(加速度入力!$B$56:$AV$206,ROWS($A$5:$A67),MATCH(B$4,加速度入力!$B$53:$AV$53,0)),1)</f>
        <v>61.8</v>
      </c>
      <c r="C67" s="1">
        <f>ROUND(INDEX(加速度入力!$B$56:$AV$206,ROWS($A$5:$A67),MATCH(C$4,加速度入力!$B$53:$AV$53,0)),1)</f>
        <v>8940.5</v>
      </c>
      <c r="D67" s="1">
        <f>ROUND(INDEX(加速度入力!$B$56:$AV$206,ROWS($A$5:$A67),MATCH(D$4,加速度入力!$B$53:$AV$53,0)),1)</f>
        <v>23724.2</v>
      </c>
      <c r="E67" s="1">
        <f>ROUND(INDEX(加速度入力!$B$56:$AV$206,ROWS($A$5:$A67),MATCH(E$4,加速度入力!$B$53:$AV$53,0)),1)</f>
        <v>48557.7</v>
      </c>
      <c r="F67" s="1">
        <f>ROUND(INDEX(加速度入力!$B$56:$AV$206,ROWS($A$5:$A67),MATCH(F$4,加速度入力!$B$53:$AV$53,0)),1)</f>
        <v>28209.599999999999</v>
      </c>
    </row>
    <row r="68" spans="1:6" x14ac:dyDescent="0.25">
      <c r="A68" s="1">
        <f>加速度入力!B119</f>
        <v>63</v>
      </c>
      <c r="B68" s="1">
        <f>ROUND(INDEX(加速度入力!$B$56:$AV$206,ROWS($A$5:$A68),MATCH(B$4,加速度入力!$B$53:$AV$53,0)),1)</f>
        <v>59.3</v>
      </c>
      <c r="C68" s="1">
        <f>ROUND(INDEX(加速度入力!$B$56:$AV$206,ROWS($A$5:$A68),MATCH(C$4,加速度入力!$B$53:$AV$53,0)),1)</f>
        <v>8717.2999999999993</v>
      </c>
      <c r="D68" s="1">
        <f>ROUND(INDEX(加速度入力!$B$56:$AV$206,ROWS($A$5:$A68),MATCH(D$4,加速度入力!$B$53:$AV$53,0)),1)</f>
        <v>22977.1</v>
      </c>
      <c r="E68" s="1">
        <f>ROUND(INDEX(加速度入力!$B$56:$AV$206,ROWS($A$5:$A68),MATCH(E$4,加速度入力!$B$53:$AV$53,0)),1)</f>
        <v>47931.199999999997</v>
      </c>
      <c r="F68" s="1">
        <f>ROUND(INDEX(加速度入力!$B$56:$AV$206,ROWS($A$5:$A68),MATCH(F$4,加速度入力!$B$53:$AV$53,0)),1)</f>
        <v>27845.599999999999</v>
      </c>
    </row>
    <row r="69" spans="1:6" x14ac:dyDescent="0.25">
      <c r="A69" s="1">
        <f>加速度入力!B120</f>
        <v>64</v>
      </c>
      <c r="B69" s="1">
        <f>ROUND(INDEX(加速度入力!$B$56:$AV$206,ROWS($A$5:$A69),MATCH(B$4,加速度入力!$B$53:$AV$53,0)),1)</f>
        <v>57</v>
      </c>
      <c r="C69" s="1">
        <f>ROUND(INDEX(加速度入力!$B$56:$AV$206,ROWS($A$5:$A69),MATCH(C$4,加速度入力!$B$53:$AV$53,0)),1)</f>
        <v>8503.1</v>
      </c>
      <c r="D69" s="1">
        <f>ROUND(INDEX(加速度入力!$B$56:$AV$206,ROWS($A$5:$A69),MATCH(D$4,加速度入力!$B$53:$AV$53,0)),1)</f>
        <v>22264.6</v>
      </c>
      <c r="E69" s="1">
        <f>ROUND(INDEX(加速度入力!$B$56:$AV$206,ROWS($A$5:$A69),MATCH(E$4,加速度入力!$B$53:$AV$53,0)),1)</f>
        <v>47322.400000000001</v>
      </c>
      <c r="F69" s="1">
        <f>ROUND(INDEX(加速度入力!$B$56:$AV$206,ROWS($A$5:$A69),MATCH(F$4,加速度入力!$B$53:$AV$53,0)),1)</f>
        <v>27492</v>
      </c>
    </row>
    <row r="70" spans="1:6" x14ac:dyDescent="0.25">
      <c r="A70" s="1">
        <f>加速度入力!B121</f>
        <v>65</v>
      </c>
      <c r="B70" s="1">
        <f>ROUND(INDEX(加速度入力!$B$56:$AV$206,ROWS($A$5:$A70),MATCH(B$4,加速度入力!$B$53:$AV$53,0)),1)</f>
        <v>54.9</v>
      </c>
      <c r="C70" s="1">
        <f>ROUND(INDEX(加速度入力!$B$56:$AV$206,ROWS($A$5:$A70),MATCH(C$4,加速度入力!$B$53:$AV$53,0)),1)</f>
        <v>8297.2999999999993</v>
      </c>
      <c r="D70" s="1">
        <f>ROUND(INDEX(加速度入力!$B$56:$AV$206,ROWS($A$5:$A70),MATCH(D$4,加速度入力!$B$53:$AV$53,0)),1)</f>
        <v>21584.799999999999</v>
      </c>
      <c r="E70" s="1">
        <f>ROUND(INDEX(加速度入力!$B$56:$AV$206,ROWS($A$5:$A70),MATCH(E$4,加速度入力!$B$53:$AV$53,0)),1)</f>
        <v>46730.7</v>
      </c>
      <c r="F70" s="1">
        <f>ROUND(INDEX(加速度入力!$B$56:$AV$206,ROWS($A$5:$A70),MATCH(F$4,加速度入力!$B$53:$AV$53,0)),1)</f>
        <v>27148.2</v>
      </c>
    </row>
    <row r="71" spans="1:6" x14ac:dyDescent="0.25">
      <c r="A71" s="1">
        <f>加速度入力!B122</f>
        <v>66</v>
      </c>
      <c r="B71" s="1">
        <f>ROUND(INDEX(加速度入力!$B$56:$AV$206,ROWS($A$5:$A71),MATCH(B$4,加速度入力!$B$53:$AV$53,0)),1)</f>
        <v>52.8</v>
      </c>
      <c r="C71" s="1">
        <f>ROUND(INDEX(加速度入力!$B$56:$AV$206,ROWS($A$5:$A71),MATCH(C$4,加速度入力!$B$53:$AV$53,0)),1)</f>
        <v>8099.6</v>
      </c>
      <c r="D71" s="1">
        <f>ROUND(INDEX(加速度入力!$B$56:$AV$206,ROWS($A$5:$A71),MATCH(D$4,加速度入力!$B$53:$AV$53,0)),1)</f>
        <v>20935.7</v>
      </c>
      <c r="E71" s="1">
        <f>ROUND(INDEX(加速度入力!$B$56:$AV$206,ROWS($A$5:$A71),MATCH(E$4,加速度入力!$B$53:$AV$53,0)),1)</f>
        <v>46155.1</v>
      </c>
      <c r="F71" s="1">
        <f>ROUND(INDEX(加速度入力!$B$56:$AV$206,ROWS($A$5:$A71),MATCH(F$4,加速度入力!$B$53:$AV$53,0)),1)</f>
        <v>26813.8</v>
      </c>
    </row>
    <row r="72" spans="1:6" x14ac:dyDescent="0.25">
      <c r="A72" s="1">
        <f>加速度入力!B123</f>
        <v>67</v>
      </c>
      <c r="B72" s="1">
        <f>ROUND(INDEX(加速度入力!$B$56:$AV$206,ROWS($A$5:$A72),MATCH(B$4,加速度入力!$B$53:$AV$53,0)),1)</f>
        <v>50.9</v>
      </c>
      <c r="C72" s="1">
        <f>ROUND(INDEX(加速度入力!$B$56:$AV$206,ROWS($A$5:$A72),MATCH(C$4,加速度入力!$B$53:$AV$53,0)),1)</f>
        <v>7909.4</v>
      </c>
      <c r="D72" s="1">
        <f>ROUND(INDEX(加速度入力!$B$56:$AV$206,ROWS($A$5:$A72),MATCH(D$4,加速度入力!$B$53:$AV$53,0)),1)</f>
        <v>20315.400000000001</v>
      </c>
      <c r="E72" s="1">
        <f>ROUND(INDEX(加速度入力!$B$56:$AV$206,ROWS($A$5:$A72),MATCH(E$4,加速度入力!$B$53:$AV$53,0)),1)</f>
        <v>45595.199999999997</v>
      </c>
      <c r="F72" s="1">
        <f>ROUND(INDEX(加速度入力!$B$56:$AV$206,ROWS($A$5:$A72),MATCH(F$4,加速度入力!$B$53:$AV$53,0)),1)</f>
        <v>26488.5</v>
      </c>
    </row>
    <row r="73" spans="1:6" x14ac:dyDescent="0.25">
      <c r="A73" s="1">
        <f>加速度入力!B124</f>
        <v>68</v>
      </c>
      <c r="B73" s="1">
        <f>ROUND(INDEX(加速度入力!$B$56:$AV$206,ROWS($A$5:$A73),MATCH(B$4,加速度入力!$B$53:$AV$53,0)),1)</f>
        <v>49</v>
      </c>
      <c r="C73" s="1">
        <f>ROUND(INDEX(加速度入力!$B$56:$AV$206,ROWS($A$5:$A73),MATCH(C$4,加速度入力!$B$53:$AV$53,0)),1)</f>
        <v>7726.4</v>
      </c>
      <c r="D73" s="1">
        <f>ROUND(INDEX(加速度入力!$B$56:$AV$206,ROWS($A$5:$A73),MATCH(D$4,加速度入力!$B$53:$AV$53,0)),1)</f>
        <v>19722.3</v>
      </c>
      <c r="E73" s="1">
        <f>ROUND(INDEX(加速度入力!$B$56:$AV$206,ROWS($A$5:$A73),MATCH(E$4,加速度入力!$B$53:$AV$53,0)),1)</f>
        <v>45050.2</v>
      </c>
      <c r="F73" s="1">
        <f>ROUND(INDEX(加速度入力!$B$56:$AV$206,ROWS($A$5:$A73),MATCH(F$4,加速度入力!$B$53:$AV$53,0)),1)</f>
        <v>26171.9</v>
      </c>
    </row>
    <row r="74" spans="1:6" x14ac:dyDescent="0.25">
      <c r="A74" s="1">
        <f>加速度入力!B125</f>
        <v>69</v>
      </c>
      <c r="B74" s="1">
        <f>ROUND(INDEX(加速度入力!$B$56:$AV$206,ROWS($A$5:$A74),MATCH(B$4,加速度入力!$B$53:$AV$53,0)),1)</f>
        <v>47.3</v>
      </c>
      <c r="C74" s="1">
        <f>ROUND(INDEX(加速度入力!$B$56:$AV$206,ROWS($A$5:$A74),MATCH(C$4,加速度入力!$B$53:$AV$53,0)),1)</f>
        <v>7550.2</v>
      </c>
      <c r="D74" s="1">
        <f>ROUND(INDEX(加速度入力!$B$56:$AV$206,ROWS($A$5:$A74),MATCH(D$4,加速度入力!$B$53:$AV$53,0)),1)</f>
        <v>19154.8</v>
      </c>
      <c r="E74" s="1">
        <f>ROUND(INDEX(加速度入力!$B$56:$AV$206,ROWS($A$5:$A74),MATCH(E$4,加速度入力!$B$53:$AV$53,0)),1)</f>
        <v>44519.6</v>
      </c>
      <c r="F74" s="1">
        <f>ROUND(INDEX(加速度入力!$B$56:$AV$206,ROWS($A$5:$A74),MATCH(F$4,加速度入力!$B$53:$AV$53,0)),1)</f>
        <v>25863.599999999999</v>
      </c>
    </row>
    <row r="75" spans="1:6" x14ac:dyDescent="0.25">
      <c r="A75" s="1">
        <f>加速度入力!B126</f>
        <v>70</v>
      </c>
      <c r="B75" s="1">
        <f>ROUND(INDEX(加速度入力!$B$56:$AV$206,ROWS($A$5:$A75),MATCH(B$4,加速度入力!$B$53:$AV$53,0)),1)</f>
        <v>45.6</v>
      </c>
      <c r="C75" s="1">
        <f>ROUND(INDEX(加速度入力!$B$56:$AV$206,ROWS($A$5:$A75),MATCH(C$4,加速度入力!$B$53:$AV$53,0)),1)</f>
        <v>7380.5</v>
      </c>
      <c r="D75" s="1">
        <f>ROUND(INDEX(加速度入力!$B$56:$AV$206,ROWS($A$5:$A75),MATCH(D$4,加速度入力!$B$53:$AV$53,0)),1)</f>
        <v>18611.400000000001</v>
      </c>
      <c r="E75" s="1">
        <f>ROUND(INDEX(加速度入力!$B$56:$AV$206,ROWS($A$5:$A75),MATCH(E$4,加速度入力!$B$53:$AV$53,0)),1)</f>
        <v>44002.7</v>
      </c>
      <c r="F75" s="1">
        <f>ROUND(INDEX(加速度入力!$B$56:$AV$206,ROWS($A$5:$A75),MATCH(F$4,加速度入力!$B$53:$AV$53,0)),1)</f>
        <v>25563.3</v>
      </c>
    </row>
    <row r="76" spans="1:6" x14ac:dyDescent="0.25">
      <c r="A76" s="1">
        <f>加速度入力!B127</f>
        <v>71</v>
      </c>
      <c r="B76" s="1">
        <f>ROUND(INDEX(加速度入力!$B$56:$AV$206,ROWS($A$5:$A76),MATCH(B$4,加速度入力!$B$53:$AV$53,0)),1)</f>
        <v>44</v>
      </c>
      <c r="C76" s="1">
        <f>ROUND(INDEX(加速度入力!$B$56:$AV$206,ROWS($A$5:$A76),MATCH(C$4,加速度入力!$B$53:$AV$53,0)),1)</f>
        <v>7216.9</v>
      </c>
      <c r="D76" s="1">
        <f>ROUND(INDEX(加速度入力!$B$56:$AV$206,ROWS($A$5:$A76),MATCH(D$4,加速度入力!$B$53:$AV$53,0)),1)</f>
        <v>18090.8</v>
      </c>
      <c r="E76" s="1">
        <f>ROUND(INDEX(加速度入力!$B$56:$AV$206,ROWS($A$5:$A76),MATCH(E$4,加速度入力!$B$53:$AV$53,0)),1)</f>
        <v>43499</v>
      </c>
      <c r="F76" s="1">
        <f>ROUND(INDEX(加速度入力!$B$56:$AV$206,ROWS($A$5:$A76),MATCH(F$4,加速度入力!$B$53:$AV$53,0)),1)</f>
        <v>25270.7</v>
      </c>
    </row>
    <row r="77" spans="1:6" x14ac:dyDescent="0.25">
      <c r="A77" s="1">
        <f>加速度入力!B128</f>
        <v>72</v>
      </c>
      <c r="B77" s="1">
        <f>ROUND(INDEX(加速度入力!$B$56:$AV$206,ROWS($A$5:$A77),MATCH(B$4,加速度入力!$B$53:$AV$53,0)),1)</f>
        <v>42.5</v>
      </c>
      <c r="C77" s="1">
        <f>ROUND(INDEX(加速度入力!$B$56:$AV$206,ROWS($A$5:$A77),MATCH(C$4,加速度入力!$B$53:$AV$53,0)),1)</f>
        <v>7059.2</v>
      </c>
      <c r="D77" s="1">
        <f>ROUND(INDEX(加速度入力!$B$56:$AV$206,ROWS($A$5:$A77),MATCH(D$4,加速度入力!$B$53:$AV$53,0)),1)</f>
        <v>17591.8</v>
      </c>
      <c r="E77" s="1">
        <f>ROUND(INDEX(加速度入力!$B$56:$AV$206,ROWS($A$5:$A77),MATCH(E$4,加速度入力!$B$53:$AV$53,0)),1)</f>
        <v>43008</v>
      </c>
      <c r="F77" s="1">
        <f>ROUND(INDEX(加速度入力!$B$56:$AV$206,ROWS($A$5:$A77),MATCH(F$4,加速度入力!$B$53:$AV$53,0)),1)</f>
        <v>24985.5</v>
      </c>
    </row>
    <row r="78" spans="1:6" x14ac:dyDescent="0.25">
      <c r="A78" s="1">
        <f>加速度入力!B129</f>
        <v>73</v>
      </c>
      <c r="B78" s="1">
        <f>ROUND(INDEX(加速度入力!$B$56:$AV$206,ROWS($A$5:$A78),MATCH(B$4,加速度入力!$B$53:$AV$53,0)),1)</f>
        <v>41.1</v>
      </c>
      <c r="C78" s="1">
        <f>ROUND(INDEX(加速度入力!$B$56:$AV$206,ROWS($A$5:$A78),MATCH(C$4,加速度入力!$B$53:$AV$53,0)),1)</f>
        <v>6907</v>
      </c>
      <c r="D78" s="1">
        <f>ROUND(INDEX(加速度入力!$B$56:$AV$206,ROWS($A$5:$A78),MATCH(D$4,加速度入力!$B$53:$AV$53,0)),1)</f>
        <v>17113.099999999999</v>
      </c>
      <c r="E78" s="1">
        <f>ROUND(INDEX(加速度入力!$B$56:$AV$206,ROWS($A$5:$A78),MATCH(E$4,加速度入力!$B$53:$AV$53,0)),1)</f>
        <v>42529.2</v>
      </c>
      <c r="F78" s="1">
        <f>ROUND(INDEX(加速度入力!$B$56:$AV$206,ROWS($A$5:$A78),MATCH(F$4,加速度入力!$B$53:$AV$53,0)),1)</f>
        <v>24555</v>
      </c>
    </row>
    <row r="79" spans="1:6" x14ac:dyDescent="0.25">
      <c r="A79" s="1">
        <f>加速度入力!B130</f>
        <v>74</v>
      </c>
      <c r="B79" s="1">
        <f>ROUND(INDEX(加速度入力!$B$56:$AV$206,ROWS($A$5:$A79),MATCH(B$4,加速度入力!$B$53:$AV$53,0)),1)</f>
        <v>39.700000000000003</v>
      </c>
      <c r="C79" s="1">
        <f>ROUND(INDEX(加速度入力!$B$56:$AV$206,ROWS($A$5:$A79),MATCH(C$4,加速度入力!$B$53:$AV$53,0)),1)</f>
        <v>6760.1</v>
      </c>
      <c r="D79" s="1">
        <f>ROUND(INDEX(加速度入力!$B$56:$AV$206,ROWS($A$5:$A79),MATCH(D$4,加速度入力!$B$53:$AV$53,0)),1)</f>
        <v>16653.8</v>
      </c>
      <c r="E79" s="1">
        <f>ROUND(INDEX(加速度入力!$B$56:$AV$206,ROWS($A$5:$A79),MATCH(E$4,加速度入力!$B$53:$AV$53,0)),1)</f>
        <v>42062.1</v>
      </c>
      <c r="F79" s="1">
        <f>ROUND(INDEX(加速度入力!$B$56:$AV$206,ROWS($A$5:$A79),MATCH(F$4,加速度入力!$B$53:$AV$53,0)),1)</f>
        <v>23957.1</v>
      </c>
    </row>
    <row r="80" spans="1:6" x14ac:dyDescent="0.25">
      <c r="A80" s="1">
        <f>加速度入力!B131</f>
        <v>75</v>
      </c>
      <c r="B80" s="1">
        <f>ROUND(INDEX(加速度入力!$B$56:$AV$206,ROWS($A$5:$A80),MATCH(B$4,加速度入力!$B$53:$AV$53,0)),1)</f>
        <v>38.4</v>
      </c>
      <c r="C80" s="1">
        <f>ROUND(INDEX(加速度入力!$B$56:$AV$206,ROWS($A$5:$A80),MATCH(C$4,加速度入力!$B$53:$AV$53,0)),1)</f>
        <v>6618.3</v>
      </c>
      <c r="D80" s="1">
        <f>ROUND(INDEX(加速度入力!$B$56:$AV$206,ROWS($A$5:$A80),MATCH(D$4,加速度入力!$B$53:$AV$53,0)),1)</f>
        <v>16212.6</v>
      </c>
      <c r="E80" s="1">
        <f>ROUND(INDEX(加速度入力!$B$56:$AV$206,ROWS($A$5:$A80),MATCH(E$4,加速度入力!$B$53:$AV$53,0)),1)</f>
        <v>41606.300000000003</v>
      </c>
      <c r="F80" s="1">
        <f>ROUND(INDEX(加速度入力!$B$56:$AV$206,ROWS($A$5:$A80),MATCH(F$4,加速度入力!$B$53:$AV$53,0)),1)</f>
        <v>23381.599999999999</v>
      </c>
    </row>
    <row r="81" spans="1:6" x14ac:dyDescent="0.25">
      <c r="A81" s="1">
        <f>加速度入力!B132</f>
        <v>76</v>
      </c>
      <c r="B81" s="1">
        <f>ROUND(INDEX(加速度入力!$B$56:$AV$206,ROWS($A$5:$A81),MATCH(B$4,加速度入力!$B$53:$AV$53,0)),1)</f>
        <v>37.1</v>
      </c>
      <c r="C81" s="1">
        <f>ROUND(INDEX(加速度入力!$B$56:$AV$206,ROWS($A$5:$A81),MATCH(C$4,加速度入力!$B$53:$AV$53,0)),1)</f>
        <v>6481.2</v>
      </c>
      <c r="D81" s="1">
        <f>ROUND(INDEX(加速度入力!$B$56:$AV$206,ROWS($A$5:$A81),MATCH(D$4,加速度入力!$B$53:$AV$53,0)),1)</f>
        <v>15788.8</v>
      </c>
      <c r="E81" s="1">
        <f>ROUND(INDEX(加速度入力!$B$56:$AV$206,ROWS($A$5:$A81),MATCH(E$4,加速度入力!$B$53:$AV$53,0)),1)</f>
        <v>41001.699999999997</v>
      </c>
      <c r="F81" s="1">
        <f>ROUND(INDEX(加速度入力!$B$56:$AV$206,ROWS($A$5:$A81),MATCH(F$4,加速度入力!$B$53:$AV$53,0)),1)</f>
        <v>22827.200000000001</v>
      </c>
    </row>
    <row r="82" spans="1:6" x14ac:dyDescent="0.25">
      <c r="A82" s="1">
        <f>加速度入力!B133</f>
        <v>77</v>
      </c>
      <c r="B82" s="1">
        <f>ROUND(INDEX(加速度入力!$B$56:$AV$206,ROWS($A$5:$A82),MATCH(B$4,加速度入力!$B$53:$AV$53,0)),1)</f>
        <v>35.9</v>
      </c>
      <c r="C82" s="1">
        <f>ROUND(INDEX(加速度入力!$B$56:$AV$206,ROWS($A$5:$A82),MATCH(C$4,加速度入力!$B$53:$AV$53,0)),1)</f>
        <v>6348.7</v>
      </c>
      <c r="D82" s="1">
        <f>ROUND(INDEX(加速度入力!$B$56:$AV$206,ROWS($A$5:$A82),MATCH(D$4,加速度入力!$B$53:$AV$53,0)),1)</f>
        <v>15381.3</v>
      </c>
      <c r="E82" s="1">
        <f>ROUND(INDEX(加速度入力!$B$56:$AV$206,ROWS($A$5:$A82),MATCH(E$4,加速度入力!$B$53:$AV$53,0)),1)</f>
        <v>40042.1</v>
      </c>
      <c r="F82" s="1">
        <f>ROUND(INDEX(加速度入力!$B$56:$AV$206,ROWS($A$5:$A82),MATCH(F$4,加速度入力!$B$53:$AV$53,0)),1)</f>
        <v>22293</v>
      </c>
    </row>
    <row r="83" spans="1:6" x14ac:dyDescent="0.25">
      <c r="A83" s="1">
        <f>加速度入力!B134</f>
        <v>78</v>
      </c>
      <c r="B83" s="1">
        <f>ROUND(INDEX(加速度入力!$B$56:$AV$206,ROWS($A$5:$A83),MATCH(B$4,加速度入力!$B$53:$AV$53,0)),1)</f>
        <v>34.799999999999997</v>
      </c>
      <c r="C83" s="1">
        <f>ROUND(INDEX(加速度入力!$B$56:$AV$206,ROWS($A$5:$A83),MATCH(C$4,加速度入力!$B$53:$AV$53,0)),1)</f>
        <v>6220.6</v>
      </c>
      <c r="D83" s="1">
        <f>ROUND(INDEX(加速度入力!$B$56:$AV$206,ROWS($A$5:$A83),MATCH(D$4,加速度入力!$B$53:$AV$53,0)),1)</f>
        <v>14989.5</v>
      </c>
      <c r="E83" s="1">
        <f>ROUND(INDEX(加速度入力!$B$56:$AV$206,ROWS($A$5:$A83),MATCH(E$4,加速度入力!$B$53:$AV$53,0)),1)</f>
        <v>39116.9</v>
      </c>
      <c r="F83" s="1">
        <f>ROUND(INDEX(加速度入力!$B$56:$AV$206,ROWS($A$5:$A83),MATCH(F$4,加速度入力!$B$53:$AV$53,0)),1)</f>
        <v>21777.9</v>
      </c>
    </row>
    <row r="84" spans="1:6" x14ac:dyDescent="0.25">
      <c r="A84" s="1">
        <f>加速度入力!B135</f>
        <v>79</v>
      </c>
      <c r="B84" s="1">
        <f>ROUND(INDEX(加速度入力!$B$56:$AV$206,ROWS($A$5:$A84),MATCH(B$4,加速度入力!$B$53:$AV$53,0)),1)</f>
        <v>33.700000000000003</v>
      </c>
      <c r="C84" s="1">
        <f>ROUND(INDEX(加速度入力!$B$56:$AV$206,ROWS($A$5:$A84),MATCH(C$4,加速度入力!$B$53:$AV$53,0)),1)</f>
        <v>6096.6</v>
      </c>
      <c r="D84" s="1">
        <f>ROUND(INDEX(加速度入力!$B$56:$AV$206,ROWS($A$5:$A84),MATCH(D$4,加速度入力!$B$53:$AV$53,0)),1)</f>
        <v>14612.4</v>
      </c>
      <c r="E84" s="1">
        <f>ROUND(INDEX(加速度入力!$B$56:$AV$206,ROWS($A$5:$A84),MATCH(E$4,加速度入力!$B$53:$AV$53,0)),1)</f>
        <v>38224.400000000001</v>
      </c>
      <c r="F84" s="1">
        <f>ROUND(INDEX(加速度入力!$B$56:$AV$206,ROWS($A$5:$A84),MATCH(F$4,加速度入力!$B$53:$AV$53,0)),1)</f>
        <v>21281</v>
      </c>
    </row>
    <row r="85" spans="1:6" x14ac:dyDescent="0.25">
      <c r="A85" s="1">
        <f>加速度入力!B136</f>
        <v>80</v>
      </c>
      <c r="B85" s="1">
        <f>ROUND(INDEX(加速度入力!$B$56:$AV$206,ROWS($A$5:$A85),MATCH(B$4,加速度入力!$B$53:$AV$53,0)),1)</f>
        <v>32.700000000000003</v>
      </c>
      <c r="C85" s="1">
        <f>ROUND(INDEX(加速度入力!$B$56:$AV$206,ROWS($A$5:$A85),MATCH(C$4,加速度入力!$B$53:$AV$53,0)),1)</f>
        <v>5976.7</v>
      </c>
      <c r="D85" s="1">
        <f>ROUND(INDEX(加速度入力!$B$56:$AV$206,ROWS($A$5:$A85),MATCH(D$4,加速度入力!$B$53:$AV$53,0)),1)</f>
        <v>14249.4</v>
      </c>
      <c r="E85" s="1">
        <f>ROUND(INDEX(加速度入力!$B$56:$AV$206,ROWS($A$5:$A85),MATCH(E$4,加速度入力!$B$53:$AV$53,0)),1)</f>
        <v>37363.199999999997</v>
      </c>
      <c r="F85" s="1">
        <f>ROUND(INDEX(加速度入力!$B$56:$AV$206,ROWS($A$5:$A85),MATCH(F$4,加速度入力!$B$53:$AV$53,0)),1)</f>
        <v>20801.5</v>
      </c>
    </row>
    <row r="86" spans="1:6" x14ac:dyDescent="0.25">
      <c r="A86" s="1">
        <f>加速度入力!B137</f>
        <v>81</v>
      </c>
      <c r="B86" s="1">
        <f>ROUND(INDEX(加速度入力!$B$56:$AV$206,ROWS($A$5:$A86),MATCH(B$4,加速度入力!$B$53:$AV$53,0)),1)</f>
        <v>31.7</v>
      </c>
      <c r="C86" s="1">
        <f>ROUND(INDEX(加速度入力!$B$56:$AV$206,ROWS($A$5:$A86),MATCH(C$4,加速度入力!$B$53:$AV$53,0)),1)</f>
        <v>5860.5</v>
      </c>
      <c r="D86" s="1">
        <f>ROUND(INDEX(加速度入力!$B$56:$AV$206,ROWS($A$5:$A86),MATCH(D$4,加速度入力!$B$53:$AV$53,0)),1)</f>
        <v>13899.7</v>
      </c>
      <c r="E86" s="1">
        <f>ROUND(INDEX(加速度入力!$B$56:$AV$206,ROWS($A$5:$A86),MATCH(E$4,加速度入力!$B$53:$AV$53,0)),1)</f>
        <v>36531.699999999997</v>
      </c>
      <c r="F86" s="1">
        <f>ROUND(INDEX(加速度入力!$B$56:$AV$206,ROWS($A$5:$A86),MATCH(F$4,加速度入力!$B$53:$AV$53,0)),1)</f>
        <v>20338.599999999999</v>
      </c>
    </row>
    <row r="87" spans="1:6" x14ac:dyDescent="0.25">
      <c r="A87" s="1">
        <f>加速度入力!B138</f>
        <v>82</v>
      </c>
      <c r="B87" s="1">
        <f>ROUND(INDEX(加速度入力!$B$56:$AV$206,ROWS($A$5:$A87),MATCH(B$4,加速度入力!$B$53:$AV$53,0)),1)</f>
        <v>30.7</v>
      </c>
      <c r="C87" s="1">
        <f>ROUND(INDEX(加速度入力!$B$56:$AV$206,ROWS($A$5:$A87),MATCH(C$4,加速度入力!$B$53:$AV$53,0)),1)</f>
        <v>5748</v>
      </c>
      <c r="D87" s="1">
        <f>ROUND(INDEX(加速度入力!$B$56:$AV$206,ROWS($A$5:$A87),MATCH(D$4,加速度入力!$B$53:$AV$53,0)),1)</f>
        <v>13562.8</v>
      </c>
      <c r="E87" s="1">
        <f>ROUND(INDEX(加速度入力!$B$56:$AV$206,ROWS($A$5:$A87),MATCH(E$4,加速度入力!$B$53:$AV$53,0)),1)</f>
        <v>35728.6</v>
      </c>
      <c r="F87" s="1">
        <f>ROUND(INDEX(加速度入力!$B$56:$AV$206,ROWS($A$5:$A87),MATCH(F$4,加速度入力!$B$53:$AV$53,0)),1)</f>
        <v>19891.5</v>
      </c>
    </row>
    <row r="88" spans="1:6" x14ac:dyDescent="0.25">
      <c r="A88" s="1">
        <f>加速度入力!B139</f>
        <v>83</v>
      </c>
      <c r="B88" s="1">
        <f>ROUND(INDEX(加速度入力!$B$56:$AV$206,ROWS($A$5:$A88),MATCH(B$4,加速度入力!$B$53:$AV$53,0)),1)</f>
        <v>29.8</v>
      </c>
      <c r="C88" s="1">
        <f>ROUND(INDEX(加速度入力!$B$56:$AV$206,ROWS($A$5:$A88),MATCH(C$4,加速度入力!$B$53:$AV$53,0)),1)</f>
        <v>5639</v>
      </c>
      <c r="D88" s="1">
        <f>ROUND(INDEX(加速度入力!$B$56:$AV$206,ROWS($A$5:$A88),MATCH(D$4,加速度入力!$B$53:$AV$53,0)),1)</f>
        <v>13237.9</v>
      </c>
      <c r="E88" s="1">
        <f>ROUND(INDEX(加速度入力!$B$56:$AV$206,ROWS($A$5:$A88),MATCH(E$4,加速度入力!$B$53:$AV$53,0)),1)</f>
        <v>34952.6</v>
      </c>
      <c r="F88" s="1">
        <f>ROUND(INDEX(加速度入力!$B$56:$AV$206,ROWS($A$5:$A88),MATCH(F$4,加速度入力!$B$53:$AV$53,0)),1)</f>
        <v>19459.5</v>
      </c>
    </row>
    <row r="89" spans="1:6" x14ac:dyDescent="0.25">
      <c r="A89" s="1">
        <f>加速度入力!B140</f>
        <v>84</v>
      </c>
      <c r="B89" s="1">
        <f>ROUND(INDEX(加速度入力!$B$56:$AV$206,ROWS($A$5:$A89),MATCH(B$4,加速度入力!$B$53:$AV$53,0)),1)</f>
        <v>28.9</v>
      </c>
      <c r="C89" s="1">
        <f>ROUND(INDEX(加速度入力!$B$56:$AV$206,ROWS($A$5:$A89),MATCH(C$4,加速度入力!$B$53:$AV$53,0)),1)</f>
        <v>5533.3</v>
      </c>
      <c r="D89" s="1">
        <f>ROUND(INDEX(加速度入力!$B$56:$AV$206,ROWS($A$5:$A89),MATCH(D$4,加速度入力!$B$53:$AV$53,0)),1)</f>
        <v>12924.6</v>
      </c>
      <c r="E89" s="1">
        <f>ROUND(INDEX(加速度入力!$B$56:$AV$206,ROWS($A$5:$A89),MATCH(E$4,加速度入力!$B$53:$AV$53,0)),1)</f>
        <v>34202.400000000001</v>
      </c>
      <c r="F89" s="1">
        <f>ROUND(INDEX(加速度入力!$B$56:$AV$206,ROWS($A$5:$A89),MATCH(F$4,加速度入力!$B$53:$AV$53,0)),1)</f>
        <v>19041.8</v>
      </c>
    </row>
    <row r="90" spans="1:6" x14ac:dyDescent="0.25">
      <c r="A90" s="1">
        <f>加速度入力!B141</f>
        <v>85</v>
      </c>
      <c r="B90" s="1">
        <f>ROUND(INDEX(加速度入力!$B$56:$AV$206,ROWS($A$5:$A90),MATCH(B$4,加速度入力!$B$53:$AV$53,0)),1)</f>
        <v>28.1</v>
      </c>
      <c r="C90" s="1">
        <f>ROUND(INDEX(加速度入力!$B$56:$AV$206,ROWS($A$5:$A90),MATCH(C$4,加速度入力!$B$53:$AV$53,0)),1)</f>
        <v>5430.8</v>
      </c>
      <c r="D90" s="1">
        <f>ROUND(INDEX(加速度入力!$B$56:$AV$206,ROWS($A$5:$A90),MATCH(D$4,加速度入力!$B$53:$AV$53,0)),1)</f>
        <v>12622.3</v>
      </c>
      <c r="E90" s="1">
        <f>ROUND(INDEX(加速度入力!$B$56:$AV$206,ROWS($A$5:$A90),MATCH(E$4,加速度入力!$B$53:$AV$53,0)),1)</f>
        <v>33476.9</v>
      </c>
      <c r="F90" s="1">
        <f>ROUND(INDEX(加速度入力!$B$56:$AV$206,ROWS($A$5:$A90),MATCH(F$4,加速度入力!$B$53:$AV$53,0)),1)</f>
        <v>18637.900000000001</v>
      </c>
    </row>
    <row r="91" spans="1:6" x14ac:dyDescent="0.25">
      <c r="A91" s="1">
        <f>加速度入力!B142</f>
        <v>86</v>
      </c>
      <c r="B91" s="1">
        <f>ROUND(INDEX(加速度入力!$B$56:$AV$206,ROWS($A$5:$A91),MATCH(B$4,加速度入力!$B$53:$AV$53,0)),1)</f>
        <v>27.3</v>
      </c>
      <c r="C91" s="1">
        <f>ROUND(INDEX(加速度入力!$B$56:$AV$206,ROWS($A$5:$A91),MATCH(C$4,加速度入力!$B$53:$AV$53,0)),1)</f>
        <v>5331.3</v>
      </c>
      <c r="D91" s="1">
        <f>ROUND(INDEX(加速度入力!$B$56:$AV$206,ROWS($A$5:$A91),MATCH(D$4,加速度入力!$B$53:$AV$53,0)),1)</f>
        <v>12330.4</v>
      </c>
      <c r="E91" s="1">
        <f>ROUND(INDEX(加速度入力!$B$56:$AV$206,ROWS($A$5:$A91),MATCH(E$4,加速度入力!$B$53:$AV$53,0)),1)</f>
        <v>32775</v>
      </c>
      <c r="F91" s="1">
        <f>ROUND(INDEX(加速度入力!$B$56:$AV$206,ROWS($A$5:$A91),MATCH(F$4,加速度入力!$B$53:$AV$53,0)),1)</f>
        <v>18247.099999999999</v>
      </c>
    </row>
    <row r="92" spans="1:6" x14ac:dyDescent="0.25">
      <c r="A92" s="1">
        <f>加速度入力!B143</f>
        <v>87</v>
      </c>
      <c r="B92" s="1">
        <f>ROUND(INDEX(加速度入力!$B$56:$AV$206,ROWS($A$5:$A92),MATCH(B$4,加速度入力!$B$53:$AV$53,0)),1)</f>
        <v>26.5</v>
      </c>
      <c r="C92" s="1">
        <f>ROUND(INDEX(加速度入力!$B$56:$AV$206,ROWS($A$5:$A92),MATCH(C$4,加速度入力!$B$53:$AV$53,0)),1)</f>
        <v>5234.8</v>
      </c>
      <c r="D92" s="1">
        <f>ROUND(INDEX(加速度入力!$B$56:$AV$206,ROWS($A$5:$A92),MATCH(D$4,加速度入力!$B$53:$AV$53,0)),1)</f>
        <v>12048.6</v>
      </c>
      <c r="E92" s="1">
        <f>ROUND(INDEX(加速度入力!$B$56:$AV$206,ROWS($A$5:$A92),MATCH(E$4,加速度入力!$B$53:$AV$53,0)),1)</f>
        <v>32095.7</v>
      </c>
      <c r="F92" s="1">
        <f>ROUND(INDEX(加速度入力!$B$56:$AV$206,ROWS($A$5:$A92),MATCH(F$4,加速度入力!$B$53:$AV$53,0)),1)</f>
        <v>17868.900000000001</v>
      </c>
    </row>
    <row r="93" spans="1:6" x14ac:dyDescent="0.25">
      <c r="A93" s="1">
        <f>加速度入力!B144</f>
        <v>88</v>
      </c>
      <c r="B93" s="1">
        <f>ROUND(INDEX(加速度入力!$B$56:$AV$206,ROWS($A$5:$A93),MATCH(B$4,加速度入力!$B$53:$AV$53,0)),1)</f>
        <v>25.7</v>
      </c>
      <c r="C93" s="1">
        <f>ROUND(INDEX(加速度入力!$B$56:$AV$206,ROWS($A$5:$A93),MATCH(C$4,加速度入力!$B$53:$AV$53,0)),1)</f>
        <v>5141.1000000000004</v>
      </c>
      <c r="D93" s="1">
        <f>ROUND(INDEX(加速度入力!$B$56:$AV$206,ROWS($A$5:$A93),MATCH(D$4,加速度入力!$B$53:$AV$53,0)),1)</f>
        <v>11776.3</v>
      </c>
      <c r="E93" s="1">
        <f>ROUND(INDEX(加速度入力!$B$56:$AV$206,ROWS($A$5:$A93),MATCH(E$4,加速度入力!$B$53:$AV$53,0)),1)</f>
        <v>31438</v>
      </c>
      <c r="F93" s="1">
        <f>ROUND(INDEX(加速度入力!$B$56:$AV$206,ROWS($A$5:$A93),MATCH(F$4,加速度入力!$B$53:$AV$53,0)),1)</f>
        <v>17502.7</v>
      </c>
    </row>
    <row r="94" spans="1:6" x14ac:dyDescent="0.25">
      <c r="A94" s="1">
        <f>加速度入力!B145</f>
        <v>89</v>
      </c>
      <c r="B94" s="1">
        <f>ROUND(INDEX(加速度入力!$B$56:$AV$206,ROWS($A$5:$A94),MATCH(B$4,加速度入力!$B$53:$AV$53,0)),1)</f>
        <v>25</v>
      </c>
      <c r="C94" s="1">
        <f>ROUND(INDEX(加速度入力!$B$56:$AV$206,ROWS($A$5:$A94),MATCH(C$4,加速度入力!$B$53:$AV$53,0)),1)</f>
        <v>5050.2</v>
      </c>
      <c r="D94" s="1">
        <f>ROUND(INDEX(加速度入力!$B$56:$AV$206,ROWS($A$5:$A94),MATCH(D$4,加速度入力!$B$53:$AV$53,0)),1)</f>
        <v>11513.2</v>
      </c>
      <c r="E94" s="1">
        <f>ROUND(INDEX(加速度入力!$B$56:$AV$206,ROWS($A$5:$A94),MATCH(E$4,加速度入力!$B$53:$AV$53,0)),1)</f>
        <v>30801</v>
      </c>
      <c r="F94" s="1">
        <f>ROUND(INDEX(加速度入力!$B$56:$AV$206,ROWS($A$5:$A94),MATCH(F$4,加速度入力!$B$53:$AV$53,0)),1)</f>
        <v>17148.099999999999</v>
      </c>
    </row>
    <row r="95" spans="1:6" x14ac:dyDescent="0.25">
      <c r="A95" s="1">
        <f>加速度入力!B146</f>
        <v>90</v>
      </c>
      <c r="B95" s="1">
        <f>ROUND(INDEX(加速度入力!$B$56:$AV$206,ROWS($A$5:$A95),MATCH(B$4,加速度入力!$B$53:$AV$53,0)),1)</f>
        <v>24.3</v>
      </c>
      <c r="C95" s="1">
        <f>ROUND(INDEX(加速度入力!$B$56:$AV$206,ROWS($A$5:$A95),MATCH(C$4,加速度入力!$B$53:$AV$53,0)),1)</f>
        <v>4961.8</v>
      </c>
      <c r="D95" s="1">
        <f>ROUND(INDEX(加速度入力!$B$56:$AV$206,ROWS($A$5:$A95),MATCH(D$4,加速度入力!$B$53:$AV$53,0)),1)</f>
        <v>11258.8</v>
      </c>
      <c r="E95" s="1">
        <f>ROUND(INDEX(加速度入力!$B$56:$AV$206,ROWS($A$5:$A95),MATCH(E$4,加速度入力!$B$53:$AV$53,0)),1)</f>
        <v>30183.8</v>
      </c>
      <c r="F95" s="1">
        <f>ROUND(INDEX(加速度入力!$B$56:$AV$206,ROWS($A$5:$A95),MATCH(F$4,加速度入力!$B$53:$AV$53,0)),1)</f>
        <v>16804.5</v>
      </c>
    </row>
    <row r="96" spans="1:6" x14ac:dyDescent="0.25">
      <c r="A96" s="1">
        <f>加速度入力!B147</f>
        <v>91</v>
      </c>
      <c r="B96" s="1">
        <f>ROUND(INDEX(加速度入力!$B$56:$AV$206,ROWS($A$5:$A96),MATCH(B$4,加速度入力!$B$53:$AV$53,0)),1)</f>
        <v>23.7</v>
      </c>
      <c r="C96" s="1">
        <f>ROUND(INDEX(加速度入力!$B$56:$AV$206,ROWS($A$5:$A96),MATCH(C$4,加速度入力!$B$53:$AV$53,0)),1)</f>
        <v>4875.8999999999996</v>
      </c>
      <c r="D96" s="1">
        <f>ROUND(INDEX(加速度入力!$B$56:$AV$206,ROWS($A$5:$A96),MATCH(D$4,加速度入力!$B$53:$AV$53,0)),1)</f>
        <v>11012.7</v>
      </c>
      <c r="E96" s="1">
        <f>ROUND(INDEX(加速度入力!$B$56:$AV$206,ROWS($A$5:$A96),MATCH(E$4,加速度入力!$B$53:$AV$53,0)),1)</f>
        <v>29585.5</v>
      </c>
      <c r="F96" s="1">
        <f>ROUND(INDEX(加速度入力!$B$56:$AV$206,ROWS($A$5:$A96),MATCH(F$4,加速度入力!$B$53:$AV$53,0)),1)</f>
        <v>16471.400000000001</v>
      </c>
    </row>
    <row r="97" spans="1:6" x14ac:dyDescent="0.25">
      <c r="A97" s="1">
        <f>加速度入力!B148</f>
        <v>92</v>
      </c>
      <c r="B97" s="1">
        <f>ROUND(INDEX(加速度入力!$B$56:$AV$206,ROWS($A$5:$A97),MATCH(B$4,加速度入力!$B$53:$AV$53,0)),1)</f>
        <v>23</v>
      </c>
      <c r="C97" s="1">
        <f>ROUND(INDEX(加速度入力!$B$56:$AV$206,ROWS($A$5:$A97),MATCH(C$4,加速度入力!$B$53:$AV$53,0)),1)</f>
        <v>4792.3999999999996</v>
      </c>
      <c r="D97" s="1">
        <f>ROUND(INDEX(加速度入力!$B$56:$AV$206,ROWS($A$5:$A97),MATCH(D$4,加速度入力!$B$53:$AV$53,0)),1)</f>
        <v>10774.6</v>
      </c>
      <c r="E97" s="1">
        <f>ROUND(INDEX(加速度入力!$B$56:$AV$206,ROWS($A$5:$A97),MATCH(E$4,加速度入力!$B$53:$AV$53,0)),1)</f>
        <v>29005.5</v>
      </c>
      <c r="F97" s="1">
        <f>ROUND(INDEX(加速度入力!$B$56:$AV$206,ROWS($A$5:$A97),MATCH(F$4,加速度入力!$B$53:$AV$53,0)),1)</f>
        <v>16148.5</v>
      </c>
    </row>
    <row r="98" spans="1:6" x14ac:dyDescent="0.25">
      <c r="A98" s="1">
        <f>加速度入力!B149</f>
        <v>93</v>
      </c>
      <c r="B98" s="1">
        <f>ROUND(INDEX(加速度入力!$B$56:$AV$206,ROWS($A$5:$A98),MATCH(B$4,加速度入力!$B$53:$AV$53,0)),1)</f>
        <v>22.4</v>
      </c>
      <c r="C98" s="1">
        <f>ROUND(INDEX(加速度入力!$B$56:$AV$206,ROWS($A$5:$A98),MATCH(C$4,加速度入力!$B$53:$AV$53,0)),1)</f>
        <v>4711.3</v>
      </c>
      <c r="D98" s="1">
        <f>ROUND(INDEX(加速度入力!$B$56:$AV$206,ROWS($A$5:$A98),MATCH(D$4,加速度入力!$B$53:$AV$53,0)),1)</f>
        <v>10544.1</v>
      </c>
      <c r="E98" s="1">
        <f>ROUND(INDEX(加速度入力!$B$56:$AV$206,ROWS($A$5:$A98),MATCH(E$4,加速度入力!$B$53:$AV$53,0)),1)</f>
        <v>28443</v>
      </c>
      <c r="F98" s="1">
        <f>ROUND(INDEX(加速度入力!$B$56:$AV$206,ROWS($A$5:$A98),MATCH(F$4,加速度入力!$B$53:$AV$53,0)),1)</f>
        <v>15835.3</v>
      </c>
    </row>
    <row r="99" spans="1:6" x14ac:dyDescent="0.25">
      <c r="A99" s="1">
        <f>加速度入力!B150</f>
        <v>94</v>
      </c>
      <c r="B99" s="1">
        <f>ROUND(INDEX(加速度入力!$B$56:$AV$206,ROWS($A$5:$A99),MATCH(B$4,加速度入力!$B$53:$AV$53,0)),1)</f>
        <v>21.8</v>
      </c>
      <c r="C99" s="1">
        <f>ROUND(INDEX(加速度入力!$B$56:$AV$206,ROWS($A$5:$A99),MATCH(C$4,加速度入力!$B$53:$AV$53,0)),1)</f>
        <v>4632.3</v>
      </c>
      <c r="D99" s="1">
        <f>ROUND(INDEX(加速度入力!$B$56:$AV$206,ROWS($A$5:$A99),MATCH(D$4,加速度入力!$B$53:$AV$53,0)),1)</f>
        <v>10321</v>
      </c>
      <c r="E99" s="1">
        <f>ROUND(INDEX(加速度入力!$B$56:$AV$206,ROWS($A$5:$A99),MATCH(E$4,加速度入力!$B$53:$AV$53,0)),1)</f>
        <v>27897.1</v>
      </c>
      <c r="F99" s="1">
        <f>ROUND(INDEX(加速度入力!$B$56:$AV$206,ROWS($A$5:$A99),MATCH(F$4,加速度入力!$B$53:$AV$53,0)),1)</f>
        <v>15531.4</v>
      </c>
    </row>
    <row r="100" spans="1:6" x14ac:dyDescent="0.25">
      <c r="A100" s="1">
        <f>加速度入力!B151</f>
        <v>95</v>
      </c>
      <c r="B100" s="1">
        <f>ROUND(INDEX(加速度入力!$B$56:$AV$206,ROWS($A$5:$A100),MATCH(B$4,加速度入力!$B$53:$AV$53,0)),1)</f>
        <v>21.3</v>
      </c>
      <c r="C100" s="1">
        <f>ROUND(INDEX(加速度入力!$B$56:$AV$206,ROWS($A$5:$A100),MATCH(C$4,加速度入力!$B$53:$AV$53,0)),1)</f>
        <v>4555.5</v>
      </c>
      <c r="D100" s="1">
        <f>ROUND(INDEX(加速度入力!$B$56:$AV$206,ROWS($A$5:$A100),MATCH(D$4,加速度入力!$B$53:$AV$53,0)),1)</f>
        <v>10104.799999999999</v>
      </c>
      <c r="E100" s="1">
        <f>ROUND(INDEX(加速度入力!$B$56:$AV$206,ROWS($A$5:$A100),MATCH(E$4,加速度入力!$B$53:$AV$53,0)),1)</f>
        <v>27367.4</v>
      </c>
      <c r="F100" s="1">
        <f>ROUND(INDEX(加速度入力!$B$56:$AV$206,ROWS($A$5:$A100),MATCH(F$4,加速度入力!$B$53:$AV$53,0)),1)</f>
        <v>15236.5</v>
      </c>
    </row>
    <row r="101" spans="1:6" x14ac:dyDescent="0.25">
      <c r="A101" s="1">
        <f>加速度入力!B152</f>
        <v>96</v>
      </c>
      <c r="B101" s="1">
        <f>ROUND(INDEX(加速度入力!$B$56:$AV$206,ROWS($A$5:$A101),MATCH(B$4,加速度入力!$B$53:$AV$53,0)),1)</f>
        <v>20.7</v>
      </c>
      <c r="C101" s="1">
        <f>ROUND(INDEX(加速度入力!$B$56:$AV$206,ROWS($A$5:$A101),MATCH(C$4,加速度入力!$B$53:$AV$53,0)),1)</f>
        <v>4480.8</v>
      </c>
      <c r="D101" s="1">
        <f>ROUND(INDEX(加速度入力!$B$56:$AV$206,ROWS($A$5:$A101),MATCH(D$4,加速度入力!$B$53:$AV$53,0)),1)</f>
        <v>9895.4</v>
      </c>
      <c r="E101" s="1">
        <f>ROUND(INDEX(加速度入力!$B$56:$AV$206,ROWS($A$5:$A101),MATCH(E$4,加速度入力!$B$53:$AV$53,0)),1)</f>
        <v>26853.1</v>
      </c>
      <c r="F101" s="1">
        <f>ROUND(INDEX(加速度入力!$B$56:$AV$206,ROWS($A$5:$A101),MATCH(F$4,加速度入力!$B$53:$AV$53,0)),1)</f>
        <v>14950.2</v>
      </c>
    </row>
    <row r="102" spans="1:6" x14ac:dyDescent="0.25">
      <c r="A102" s="1">
        <f>加速度入力!B153</f>
        <v>97</v>
      </c>
      <c r="B102" s="1">
        <f>ROUND(INDEX(加速度入力!$B$56:$AV$206,ROWS($A$5:$A102),MATCH(B$4,加速度入力!$B$53:$AV$53,0)),1)</f>
        <v>20.2</v>
      </c>
      <c r="C102" s="1">
        <f>ROUND(INDEX(加速度入力!$B$56:$AV$206,ROWS($A$5:$A102),MATCH(C$4,加速度入力!$B$53:$AV$53,0)),1)</f>
        <v>4408</v>
      </c>
      <c r="D102" s="1">
        <f>ROUND(INDEX(加速度入力!$B$56:$AV$206,ROWS($A$5:$A102),MATCH(D$4,加速度入力!$B$53:$AV$53,0)),1)</f>
        <v>9692.4</v>
      </c>
      <c r="E102" s="1">
        <f>ROUND(INDEX(加速度入力!$B$56:$AV$206,ROWS($A$5:$A102),MATCH(E$4,加速度入力!$B$53:$AV$53,0)),1)</f>
        <v>26353.7</v>
      </c>
      <c r="F102" s="1">
        <f>ROUND(INDEX(加速度入力!$B$56:$AV$206,ROWS($A$5:$A102),MATCH(F$4,加速度入力!$B$53:$AV$53,0)),1)</f>
        <v>14672.1</v>
      </c>
    </row>
    <row r="103" spans="1:6" x14ac:dyDescent="0.25">
      <c r="A103" s="1">
        <f>加速度入力!B154</f>
        <v>98</v>
      </c>
      <c r="B103" s="1">
        <f>ROUND(INDEX(加速度入力!$B$56:$AV$206,ROWS($A$5:$A103),MATCH(B$4,加速度入力!$B$53:$AV$53,0)),1)</f>
        <v>19.7</v>
      </c>
      <c r="C103" s="1">
        <f>ROUND(INDEX(加速度入力!$B$56:$AV$206,ROWS($A$5:$A103),MATCH(C$4,加速度入力!$B$53:$AV$53,0)),1)</f>
        <v>4337.2</v>
      </c>
      <c r="D103" s="1">
        <f>ROUND(INDEX(加速度入力!$B$56:$AV$206,ROWS($A$5:$A103),MATCH(D$4,加速度入力!$B$53:$AV$53,0)),1)</f>
        <v>9495.6</v>
      </c>
      <c r="E103" s="1">
        <f>ROUND(INDEX(加速度入力!$B$56:$AV$206,ROWS($A$5:$A103),MATCH(E$4,加速度入力!$B$53:$AV$53,0)),1)</f>
        <v>25868.6</v>
      </c>
      <c r="F103" s="1">
        <f>ROUND(INDEX(加速度入力!$B$56:$AV$206,ROWS($A$5:$A103),MATCH(F$4,加速度入力!$B$53:$AV$53,0)),1)</f>
        <v>14402</v>
      </c>
    </row>
    <row r="104" spans="1:6" x14ac:dyDescent="0.25">
      <c r="A104" s="1">
        <f>加速度入力!B155</f>
        <v>99</v>
      </c>
      <c r="B104" s="1">
        <f>ROUND(INDEX(加速度入力!$B$56:$AV$206,ROWS($A$5:$A104),MATCH(B$4,加速度入力!$B$53:$AV$53,0)),1)</f>
        <v>19.2</v>
      </c>
      <c r="C104" s="1">
        <f>ROUND(INDEX(加速度入力!$B$56:$AV$206,ROWS($A$5:$A104),MATCH(C$4,加速度入力!$B$53:$AV$53,0)),1)</f>
        <v>4268.1000000000004</v>
      </c>
      <c r="D104" s="1">
        <f>ROUND(INDEX(加速度入力!$B$56:$AV$206,ROWS($A$5:$A104),MATCH(D$4,加速度入力!$B$53:$AV$53,0)),1)</f>
        <v>9304.7999999999993</v>
      </c>
      <c r="E104" s="1">
        <f>ROUND(INDEX(加速度入力!$B$56:$AV$206,ROWS($A$5:$A104),MATCH(E$4,加速度入力!$B$53:$AV$53,0)),1)</f>
        <v>25397.1</v>
      </c>
      <c r="F104" s="1">
        <f>ROUND(INDEX(加速度入力!$B$56:$AV$206,ROWS($A$5:$A104),MATCH(F$4,加速度入力!$B$53:$AV$53,0)),1)</f>
        <v>14139.5</v>
      </c>
    </row>
    <row r="105" spans="1:6" x14ac:dyDescent="0.25">
      <c r="A105" s="1">
        <f>加速度入力!B156</f>
        <v>100</v>
      </c>
      <c r="B105" s="1">
        <f>ROUND(INDEX(加速度入力!$B$56:$AV$206,ROWS($A$5:$A105),MATCH(B$4,加速度入力!$B$53:$AV$53,0)),1)</f>
        <v>18.7</v>
      </c>
      <c r="C105" s="1">
        <f>ROUND(INDEX(加速度入力!$B$56:$AV$206,ROWS($A$5:$A105),MATCH(C$4,加速度入力!$B$53:$AV$53,0)),1)</f>
        <v>4200.8999999999996</v>
      </c>
      <c r="D105" s="1">
        <f>ROUND(INDEX(加速度入力!$B$56:$AV$206,ROWS($A$5:$A105),MATCH(D$4,加速度入力!$B$53:$AV$53,0)),1)</f>
        <v>9119.6</v>
      </c>
      <c r="E105" s="1">
        <f>ROUND(INDEX(加速度入力!$B$56:$AV$206,ROWS($A$5:$A105),MATCH(E$4,加速度入力!$B$53:$AV$53,0)),1)</f>
        <v>24938.9</v>
      </c>
      <c r="F105" s="1">
        <f>ROUND(INDEX(加速度入力!$B$56:$AV$206,ROWS($A$5:$A105),MATCH(F$4,加速度入力!$B$53:$AV$53,0)),1)</f>
        <v>13884.4</v>
      </c>
    </row>
    <row r="106" spans="1:6" x14ac:dyDescent="0.25">
      <c r="A106" s="1">
        <f>加速度入力!B157</f>
        <v>101</v>
      </c>
      <c r="B106" s="1">
        <f>ROUND(INDEX(加速度入力!$B$56:$AV$206,ROWS($A$5:$A106),MATCH(B$4,加速度入力!$B$53:$AV$53,0)),1)</f>
        <v>18.2</v>
      </c>
      <c r="C106" s="1">
        <f>ROUND(INDEX(加速度入力!$B$56:$AV$206,ROWS($A$5:$A106),MATCH(C$4,加速度入力!$B$53:$AV$53,0)),1)</f>
        <v>4135.3999999999996</v>
      </c>
      <c r="D106" s="1">
        <f>ROUND(INDEX(加速度入力!$B$56:$AV$206,ROWS($A$5:$A106),MATCH(D$4,加速度入力!$B$53:$AV$53,0)),1)</f>
        <v>8939.9</v>
      </c>
      <c r="E106" s="1">
        <f>ROUND(INDEX(加速度入力!$B$56:$AV$206,ROWS($A$5:$A106),MATCH(E$4,加速度入力!$B$53:$AV$53,0)),1)</f>
        <v>24493.3</v>
      </c>
      <c r="F106" s="1">
        <f>ROUND(INDEX(加速度入力!$B$56:$AV$206,ROWS($A$5:$A106),MATCH(F$4,加速度入力!$B$53:$AV$53,0)),1)</f>
        <v>13636.4</v>
      </c>
    </row>
    <row r="107" spans="1:6" x14ac:dyDescent="0.25">
      <c r="A107" s="1">
        <f>加速度入力!B158</f>
        <v>102</v>
      </c>
      <c r="B107" s="1">
        <f>ROUND(INDEX(加速度入力!$B$56:$AV$206,ROWS($A$5:$A107),MATCH(B$4,加速度入力!$B$53:$AV$53,0)),1)</f>
        <v>17.8</v>
      </c>
      <c r="C107" s="1">
        <f>ROUND(INDEX(加速度入力!$B$56:$AV$206,ROWS($A$5:$A107),MATCH(C$4,加速度入力!$B$53:$AV$53,0)),1)</f>
        <v>4071.5</v>
      </c>
      <c r="D107" s="1">
        <f>ROUND(INDEX(加速度入力!$B$56:$AV$206,ROWS($A$5:$A107),MATCH(D$4,加速度入力!$B$53:$AV$53,0)),1)</f>
        <v>8765.5</v>
      </c>
      <c r="E107" s="1">
        <f>ROUND(INDEX(加速度入力!$B$56:$AV$206,ROWS($A$5:$A107),MATCH(E$4,加速度入力!$B$53:$AV$53,0)),1)</f>
        <v>24060</v>
      </c>
      <c r="F107" s="1">
        <f>ROUND(INDEX(加速度入力!$B$56:$AV$206,ROWS($A$5:$A107),MATCH(F$4,加速度入力!$B$53:$AV$53,0)),1)</f>
        <v>13395.1</v>
      </c>
    </row>
    <row r="108" spans="1:6" x14ac:dyDescent="0.25">
      <c r="A108" s="1">
        <f>加速度入力!B159</f>
        <v>103</v>
      </c>
      <c r="B108" s="1">
        <f>ROUND(INDEX(加速度入力!$B$56:$AV$206,ROWS($A$5:$A108),MATCH(B$4,加速度入力!$B$53:$AV$53,0)),1)</f>
        <v>17.399999999999999</v>
      </c>
      <c r="C108" s="1">
        <f>ROUND(INDEX(加速度入力!$B$56:$AV$206,ROWS($A$5:$A108),MATCH(C$4,加速度入力!$B$53:$AV$53,0)),1)</f>
        <v>4009.2</v>
      </c>
      <c r="D108" s="1">
        <f>ROUND(INDEX(加速度入力!$B$56:$AV$206,ROWS($A$5:$A108),MATCH(D$4,加速度入力!$B$53:$AV$53,0)),1)</f>
        <v>8596.1</v>
      </c>
      <c r="E108" s="1">
        <f>ROUND(INDEX(加速度入力!$B$56:$AV$206,ROWS($A$5:$A108),MATCH(E$4,加速度入力!$B$53:$AV$53,0)),1)</f>
        <v>23638.5</v>
      </c>
      <c r="F108" s="1">
        <f>ROUND(INDEX(加速度入力!$B$56:$AV$206,ROWS($A$5:$A108),MATCH(F$4,加速度入力!$B$53:$AV$53,0)),1)</f>
        <v>13160.5</v>
      </c>
    </row>
    <row r="109" spans="1:6" x14ac:dyDescent="0.25">
      <c r="A109" s="1">
        <f>加速度入力!B160</f>
        <v>104</v>
      </c>
      <c r="B109" s="1">
        <f>ROUND(INDEX(加速度入力!$B$56:$AV$206,ROWS($A$5:$A109),MATCH(B$4,加速度入力!$B$53:$AV$53,0)),1)</f>
        <v>16.899999999999999</v>
      </c>
      <c r="C109" s="1">
        <f>ROUND(INDEX(加速度入力!$B$56:$AV$206,ROWS($A$5:$A109),MATCH(C$4,加速度入力!$B$53:$AV$53,0)),1)</f>
        <v>3948.5</v>
      </c>
      <c r="D109" s="1">
        <f>ROUND(INDEX(加速度入力!$B$56:$AV$206,ROWS($A$5:$A109),MATCH(D$4,加速度入力!$B$53:$AV$53,0)),1)</f>
        <v>8431.6</v>
      </c>
      <c r="E109" s="1">
        <f>ROUND(INDEX(加速度入力!$B$56:$AV$206,ROWS($A$5:$A109),MATCH(E$4,加速度入力!$B$53:$AV$53,0)),1)</f>
        <v>23228.3</v>
      </c>
      <c r="F109" s="1">
        <f>ROUND(INDEX(加速度入力!$B$56:$AV$206,ROWS($A$5:$A109),MATCH(F$4,加速度入力!$B$53:$AV$53,0)),1)</f>
        <v>12932.1</v>
      </c>
    </row>
    <row r="110" spans="1:6" x14ac:dyDescent="0.25">
      <c r="A110" s="1">
        <f>加速度入力!B161</f>
        <v>105</v>
      </c>
      <c r="B110" s="1">
        <f>ROUND(INDEX(加速度入力!$B$56:$AV$206,ROWS($A$5:$A110),MATCH(B$4,加速度入力!$B$53:$AV$53,0)),1)</f>
        <v>16.5</v>
      </c>
      <c r="C110" s="1">
        <f>ROUND(INDEX(加速度入力!$B$56:$AV$206,ROWS($A$5:$A110),MATCH(C$4,加速度入力!$B$53:$AV$53,0)),1)</f>
        <v>3889.2</v>
      </c>
      <c r="D110" s="1">
        <f>ROUND(INDEX(加速度入力!$B$56:$AV$206,ROWS($A$5:$A110),MATCH(D$4,加速度入力!$B$53:$AV$53,0)),1)</f>
        <v>8271.7000000000007</v>
      </c>
      <c r="E110" s="1">
        <f>ROUND(INDEX(加速度入力!$B$56:$AV$206,ROWS($A$5:$A110),MATCH(E$4,加速度入力!$B$53:$AV$53,0)),1)</f>
        <v>22829.1</v>
      </c>
      <c r="F110" s="1">
        <f>ROUND(INDEX(加速度入力!$B$56:$AV$206,ROWS($A$5:$A110),MATCH(F$4,加速度入力!$B$53:$AV$53,0)),1)</f>
        <v>12709.8</v>
      </c>
    </row>
    <row r="111" spans="1:6" x14ac:dyDescent="0.25">
      <c r="A111" s="1">
        <f>加速度入力!B162</f>
        <v>106</v>
      </c>
      <c r="B111" s="1">
        <f>ROUND(INDEX(加速度入力!$B$56:$AV$206,ROWS($A$5:$A111),MATCH(B$4,加速度入力!$B$53:$AV$53,0)),1)</f>
        <v>16.2</v>
      </c>
      <c r="C111" s="1">
        <f>ROUND(INDEX(加速度入力!$B$56:$AV$206,ROWS($A$5:$A111),MATCH(C$4,加速度入力!$B$53:$AV$53,0)),1)</f>
        <v>3831.4</v>
      </c>
      <c r="D111" s="1">
        <f>ROUND(INDEX(加速度入力!$B$56:$AV$206,ROWS($A$5:$A111),MATCH(D$4,加速度入力!$B$53:$AV$53,0)),1)</f>
        <v>8116.4</v>
      </c>
      <c r="E111" s="1">
        <f>ROUND(INDEX(加速度入力!$B$56:$AV$206,ROWS($A$5:$A111),MATCH(E$4,加速度入力!$B$53:$AV$53,0)),1)</f>
        <v>22440.400000000001</v>
      </c>
      <c r="F111" s="1">
        <f>ROUND(INDEX(加速度入力!$B$56:$AV$206,ROWS($A$5:$A111),MATCH(F$4,加速度入力!$B$53:$AV$53,0)),1)</f>
        <v>12493.5</v>
      </c>
    </row>
    <row r="112" spans="1:6" x14ac:dyDescent="0.25">
      <c r="A112" s="1">
        <f>加速度入力!B163</f>
        <v>107</v>
      </c>
      <c r="B112" s="1">
        <f>ROUND(INDEX(加速度入力!$B$56:$AV$206,ROWS($A$5:$A112),MATCH(B$4,加速度入力!$B$53:$AV$53,0)),1)</f>
        <v>15.8</v>
      </c>
      <c r="C112" s="1">
        <f>ROUND(INDEX(加速度入力!$B$56:$AV$206,ROWS($A$5:$A112),MATCH(C$4,加速度入力!$B$53:$AV$53,0)),1)</f>
        <v>3775</v>
      </c>
      <c r="D112" s="1">
        <f>ROUND(INDEX(加速度入力!$B$56:$AV$206,ROWS($A$5:$A112),MATCH(D$4,加速度入力!$B$53:$AV$53,0)),1)</f>
        <v>7965.4</v>
      </c>
      <c r="E112" s="1">
        <f>ROUND(INDEX(加速度入力!$B$56:$AV$206,ROWS($A$5:$A112),MATCH(E$4,加速度入力!$B$53:$AV$53,0)),1)</f>
        <v>22061.9</v>
      </c>
      <c r="F112" s="1">
        <f>ROUND(INDEX(加速度入力!$B$56:$AV$206,ROWS($A$5:$A112),MATCH(F$4,加速度入力!$B$53:$AV$53,0)),1)</f>
        <v>12282.7</v>
      </c>
    </row>
    <row r="113" spans="1:6" x14ac:dyDescent="0.25">
      <c r="A113" s="1">
        <f>加速度入力!B164</f>
        <v>108</v>
      </c>
      <c r="B113" s="1">
        <f>ROUND(INDEX(加速度入力!$B$56:$AV$206,ROWS($A$5:$A113),MATCH(B$4,加速度入力!$B$53:$AV$53,0)),1)</f>
        <v>15.4</v>
      </c>
      <c r="C113" s="1">
        <f>ROUND(INDEX(加速度入力!$B$56:$AV$206,ROWS($A$5:$A113),MATCH(C$4,加速度入力!$B$53:$AV$53,0)),1)</f>
        <v>3719.9</v>
      </c>
      <c r="D113" s="1">
        <f>ROUND(INDEX(加速度入力!$B$56:$AV$206,ROWS($A$5:$A113),MATCH(D$4,加速度入力!$B$53:$AV$53,0)),1)</f>
        <v>7818.6</v>
      </c>
      <c r="E113" s="1">
        <f>ROUND(INDEX(加速度入力!$B$56:$AV$206,ROWS($A$5:$A113),MATCH(E$4,加速度入力!$B$53:$AV$53,0)),1)</f>
        <v>21693.200000000001</v>
      </c>
      <c r="F113" s="1">
        <f>ROUND(INDEX(加速度入力!$B$56:$AV$206,ROWS($A$5:$A113),MATCH(F$4,加速度入力!$B$53:$AV$53,0)),1)</f>
        <v>12077.5</v>
      </c>
    </row>
    <row r="114" spans="1:6" x14ac:dyDescent="0.25">
      <c r="A114" s="1">
        <f>加速度入力!B165</f>
        <v>109</v>
      </c>
      <c r="B114" s="1">
        <f>ROUND(INDEX(加速度入力!$B$56:$AV$206,ROWS($A$5:$A114),MATCH(B$4,加速度入力!$B$53:$AV$53,0)),1)</f>
        <v>15.1</v>
      </c>
      <c r="C114" s="1">
        <f>ROUND(INDEX(加速度入力!$B$56:$AV$206,ROWS($A$5:$A114),MATCH(C$4,加速度入力!$B$53:$AV$53,0)),1)</f>
        <v>3666.1</v>
      </c>
      <c r="D114" s="1">
        <f>ROUND(INDEX(加速度入力!$B$56:$AV$206,ROWS($A$5:$A114),MATCH(D$4,加速度入力!$B$53:$AV$53,0)),1)</f>
        <v>7675.8</v>
      </c>
      <c r="E114" s="1">
        <f>ROUND(INDEX(加速度入力!$B$56:$AV$206,ROWS($A$5:$A114),MATCH(E$4,加速度入力!$B$53:$AV$53,0)),1)</f>
        <v>21334</v>
      </c>
      <c r="F114" s="1">
        <f>ROUND(INDEX(加速度入力!$B$56:$AV$206,ROWS($A$5:$A114),MATCH(F$4,加速度入力!$B$53:$AV$53,0)),1)</f>
        <v>11877.5</v>
      </c>
    </row>
    <row r="115" spans="1:6" x14ac:dyDescent="0.25">
      <c r="A115" s="1">
        <f>加速度入力!B166</f>
        <v>110</v>
      </c>
      <c r="B115" s="1">
        <f>ROUND(INDEX(加速度入力!$B$56:$AV$206,ROWS($A$5:$A115),MATCH(B$4,加速度入力!$B$53:$AV$53,0)),1)</f>
        <v>14.7</v>
      </c>
      <c r="C115" s="1">
        <f>ROUND(INDEX(加速度入力!$B$56:$AV$206,ROWS($A$5:$A115),MATCH(C$4,加速度入力!$B$53:$AV$53,0)),1)</f>
        <v>3613.6</v>
      </c>
      <c r="D115" s="1">
        <f>ROUND(INDEX(加速度入力!$B$56:$AV$206,ROWS($A$5:$A115),MATCH(D$4,加速度入力!$B$53:$AV$53,0)),1)</f>
        <v>7536.9</v>
      </c>
      <c r="E115" s="1">
        <f>ROUND(INDEX(加速度入力!$B$56:$AV$206,ROWS($A$5:$A115),MATCH(E$4,加速度入力!$B$53:$AV$53,0)),1)</f>
        <v>20984</v>
      </c>
      <c r="F115" s="1">
        <f>ROUND(INDEX(加速度入力!$B$56:$AV$206,ROWS($A$5:$A115),MATCH(F$4,加速度入力!$B$53:$AV$53,0)),1)</f>
        <v>11682.6</v>
      </c>
    </row>
    <row r="116" spans="1:6" x14ac:dyDescent="0.25">
      <c r="A116" s="1">
        <f>加速度入力!B167</f>
        <v>111</v>
      </c>
      <c r="B116" s="1">
        <f>ROUND(INDEX(加速度入力!$B$56:$AV$206,ROWS($A$5:$A116),MATCH(B$4,加速度入力!$B$53:$AV$53,0)),1)</f>
        <v>14.4</v>
      </c>
      <c r="C116" s="1">
        <f>ROUND(INDEX(加速度入力!$B$56:$AV$206,ROWS($A$5:$A116),MATCH(C$4,加速度入力!$B$53:$AV$53,0)),1)</f>
        <v>3562.3</v>
      </c>
      <c r="D116" s="1">
        <f>ROUND(INDEX(加速度入力!$B$56:$AV$206,ROWS($A$5:$A116),MATCH(D$4,加速度入力!$B$53:$AV$53,0)),1)</f>
        <v>7401.7</v>
      </c>
      <c r="E116" s="1">
        <f>ROUND(INDEX(加速度入力!$B$56:$AV$206,ROWS($A$5:$A116),MATCH(E$4,加速度入力!$B$53:$AV$53,0)),1)</f>
        <v>20642.7</v>
      </c>
      <c r="F116" s="1">
        <f>ROUND(INDEX(加速度入力!$B$56:$AV$206,ROWS($A$5:$A116),MATCH(F$4,加速度入力!$B$53:$AV$53,0)),1)</f>
        <v>11492.6</v>
      </c>
    </row>
    <row r="117" spans="1:6" x14ac:dyDescent="0.25">
      <c r="A117" s="1">
        <f>加速度入力!B168</f>
        <v>112</v>
      </c>
      <c r="B117" s="1">
        <f>ROUND(INDEX(加速度入力!$B$56:$AV$206,ROWS($A$5:$A117),MATCH(B$4,加速度入力!$B$53:$AV$53,0)),1)</f>
        <v>14.1</v>
      </c>
      <c r="C117" s="1">
        <f>ROUND(INDEX(加速度入力!$B$56:$AV$206,ROWS($A$5:$A117),MATCH(C$4,加速度入力!$B$53:$AV$53,0)),1)</f>
        <v>3512.2</v>
      </c>
      <c r="D117" s="1">
        <f>ROUND(INDEX(加速度入力!$B$56:$AV$206,ROWS($A$5:$A117),MATCH(D$4,加速度入力!$B$53:$AV$53,0)),1)</f>
        <v>7270.1</v>
      </c>
      <c r="E117" s="1">
        <f>ROUND(INDEX(加速度入力!$B$56:$AV$206,ROWS($A$5:$A117),MATCH(E$4,加速度入力!$B$53:$AV$53,0)),1)</f>
        <v>20310</v>
      </c>
      <c r="F117" s="1">
        <f>ROUND(INDEX(加速度入力!$B$56:$AV$206,ROWS($A$5:$A117),MATCH(F$4,加速度入力!$B$53:$AV$53,0)),1)</f>
        <v>11307.4</v>
      </c>
    </row>
    <row r="118" spans="1:6" x14ac:dyDescent="0.25">
      <c r="A118" s="1">
        <f>加速度入力!B169</f>
        <v>113</v>
      </c>
      <c r="B118" s="1">
        <f>ROUND(INDEX(加速度入力!$B$56:$AV$206,ROWS($A$5:$A118),MATCH(B$4,加速度入力!$B$53:$AV$53,0)),1)</f>
        <v>13.8</v>
      </c>
      <c r="C118" s="1">
        <f>ROUND(INDEX(加速度入力!$B$56:$AV$206,ROWS($A$5:$A118),MATCH(C$4,加速度入力!$B$53:$AV$53,0)),1)</f>
        <v>3463.2</v>
      </c>
      <c r="D118" s="1">
        <f>ROUND(INDEX(加速度入力!$B$56:$AV$206,ROWS($A$5:$A118),MATCH(D$4,加速度入力!$B$53:$AV$53,0)),1)</f>
        <v>7142</v>
      </c>
      <c r="E118" s="1">
        <f>ROUND(INDEX(加速度入力!$B$56:$AV$206,ROWS($A$5:$A118),MATCH(E$4,加速度入力!$B$53:$AV$53,0)),1)</f>
        <v>19985.599999999999</v>
      </c>
      <c r="F118" s="1">
        <f>ROUND(INDEX(加速度入力!$B$56:$AV$206,ROWS($A$5:$A118),MATCH(F$4,加速度入力!$B$53:$AV$53,0)),1)</f>
        <v>11126.7</v>
      </c>
    </row>
    <row r="119" spans="1:6" x14ac:dyDescent="0.25">
      <c r="A119" s="1">
        <f>加速度入力!B170</f>
        <v>114</v>
      </c>
      <c r="B119" s="1">
        <f>ROUND(INDEX(加速度入力!$B$56:$AV$206,ROWS($A$5:$A119),MATCH(B$4,加速度入力!$B$53:$AV$53,0)),1)</f>
        <v>13.5</v>
      </c>
      <c r="C119" s="1">
        <f>ROUND(INDEX(加速度入力!$B$56:$AV$206,ROWS($A$5:$A119),MATCH(C$4,加速度入力!$B$53:$AV$53,0)),1)</f>
        <v>3415.3</v>
      </c>
      <c r="D119" s="1">
        <f>ROUND(INDEX(加速度入力!$B$56:$AV$206,ROWS($A$5:$A119),MATCH(D$4,加速度入力!$B$53:$AV$53,0)),1)</f>
        <v>7017.2</v>
      </c>
      <c r="E119" s="1">
        <f>ROUND(INDEX(加速度入力!$B$56:$AV$206,ROWS($A$5:$A119),MATCH(E$4,加速度入力!$B$53:$AV$53,0)),1)</f>
        <v>19669.099999999999</v>
      </c>
      <c r="F119" s="1">
        <f>ROUND(INDEX(加速度入力!$B$56:$AV$206,ROWS($A$5:$A119),MATCH(F$4,加速度入力!$B$53:$AV$53,0)),1)</f>
        <v>10950.6</v>
      </c>
    </row>
    <row r="120" spans="1:6" x14ac:dyDescent="0.25">
      <c r="A120" s="1">
        <f>加速度入力!B171</f>
        <v>115</v>
      </c>
      <c r="B120" s="1">
        <f>ROUND(INDEX(加速度入力!$B$56:$AV$206,ROWS($A$5:$A120),MATCH(B$4,加速度入力!$B$53:$AV$53,0)),1)</f>
        <v>13.2</v>
      </c>
      <c r="C120" s="1">
        <f>ROUND(INDEX(加速度入力!$B$56:$AV$206,ROWS($A$5:$A120),MATCH(C$4,加速度入力!$B$53:$AV$53,0)),1)</f>
        <v>3368.5</v>
      </c>
      <c r="D120" s="1">
        <f>ROUND(INDEX(加速度入力!$B$56:$AV$206,ROWS($A$5:$A120),MATCH(D$4,加速度入力!$B$53:$AV$53,0)),1)</f>
        <v>6895.7</v>
      </c>
      <c r="E120" s="1">
        <f>ROUND(INDEX(加速度入力!$B$56:$AV$206,ROWS($A$5:$A120),MATCH(E$4,加速度入力!$B$53:$AV$53,0)),1)</f>
        <v>19360.400000000001</v>
      </c>
      <c r="F120" s="1">
        <f>ROUND(INDEX(加速度入力!$B$56:$AV$206,ROWS($A$5:$A120),MATCH(F$4,加速度入力!$B$53:$AV$53,0)),1)</f>
        <v>10778.7</v>
      </c>
    </row>
    <row r="121" spans="1:6" x14ac:dyDescent="0.25">
      <c r="A121" s="1">
        <f>加速度入力!B172</f>
        <v>116</v>
      </c>
      <c r="B121" s="1">
        <f>ROUND(INDEX(加速度入力!$B$56:$AV$206,ROWS($A$5:$A121),MATCH(B$4,加速度入力!$B$53:$AV$53,0)),1)</f>
        <v>12.9</v>
      </c>
      <c r="C121" s="1">
        <f>ROUND(INDEX(加速度入力!$B$56:$AV$206,ROWS($A$5:$A121),MATCH(C$4,加速度入力!$B$53:$AV$53,0)),1)</f>
        <v>3322.8</v>
      </c>
      <c r="D121" s="1">
        <f>ROUND(INDEX(加速度入力!$B$56:$AV$206,ROWS($A$5:$A121),MATCH(D$4,加速度入力!$B$53:$AV$53,0)),1)</f>
        <v>6777.3</v>
      </c>
      <c r="E121" s="1">
        <f>ROUND(INDEX(加速度入力!$B$56:$AV$206,ROWS($A$5:$A121),MATCH(E$4,加速度入力!$B$53:$AV$53,0)),1)</f>
        <v>19059</v>
      </c>
      <c r="F121" s="1">
        <f>ROUND(INDEX(加速度入力!$B$56:$AV$206,ROWS($A$5:$A121),MATCH(F$4,加速度入力!$B$53:$AV$53,0)),1)</f>
        <v>10610.9</v>
      </c>
    </row>
    <row r="122" spans="1:6" x14ac:dyDescent="0.25">
      <c r="A122" s="1">
        <f>加速度入力!B173</f>
        <v>117</v>
      </c>
      <c r="B122" s="1">
        <f>ROUND(INDEX(加速度入力!$B$56:$AV$206,ROWS($A$5:$A122),MATCH(B$4,加速度入力!$B$53:$AV$53,0)),1)</f>
        <v>12.6</v>
      </c>
      <c r="C122" s="1">
        <f>ROUND(INDEX(加速度入力!$B$56:$AV$206,ROWS($A$5:$A122),MATCH(C$4,加速度入力!$B$53:$AV$53,0)),1)</f>
        <v>3278</v>
      </c>
      <c r="D122" s="1">
        <f>ROUND(INDEX(加速度入力!$B$56:$AV$206,ROWS($A$5:$A122),MATCH(D$4,加速度入力!$B$53:$AV$53,0)),1)</f>
        <v>6662</v>
      </c>
      <c r="E122" s="1">
        <f>ROUND(INDEX(加速度入力!$B$56:$AV$206,ROWS($A$5:$A122),MATCH(E$4,加速度入力!$B$53:$AV$53,0)),1)</f>
        <v>18765</v>
      </c>
      <c r="F122" s="1">
        <f>ROUND(INDEX(加速度入力!$B$56:$AV$206,ROWS($A$5:$A122),MATCH(F$4,加速度入力!$B$53:$AV$53,0)),1)</f>
        <v>10447.200000000001</v>
      </c>
    </row>
    <row r="123" spans="1:6" x14ac:dyDescent="0.25">
      <c r="A123" s="1">
        <f>加速度入力!B174</f>
        <v>118</v>
      </c>
      <c r="B123" s="1">
        <f>ROUND(INDEX(加速度入力!$B$56:$AV$206,ROWS($A$5:$A123),MATCH(B$4,加速度入力!$B$53:$AV$53,0)),1)</f>
        <v>12.4</v>
      </c>
      <c r="C123" s="1">
        <f>ROUND(INDEX(加速度入力!$B$56:$AV$206,ROWS($A$5:$A123),MATCH(C$4,加速度入力!$B$53:$AV$53,0)),1)</f>
        <v>3234.2</v>
      </c>
      <c r="D123" s="1">
        <f>ROUND(INDEX(加速度入力!$B$56:$AV$206,ROWS($A$5:$A123),MATCH(D$4,加速度入力!$B$53:$AV$53,0)),1)</f>
        <v>6549.6</v>
      </c>
      <c r="E123" s="1">
        <f>ROUND(INDEX(加速度入力!$B$56:$AV$206,ROWS($A$5:$A123),MATCH(E$4,加速度入力!$B$53:$AV$53,0)),1)</f>
        <v>18477.8</v>
      </c>
      <c r="F123" s="1">
        <f>ROUND(INDEX(加速度入力!$B$56:$AV$206,ROWS($A$5:$A123),MATCH(F$4,加速度入力!$B$53:$AV$53,0)),1)</f>
        <v>10287.299999999999</v>
      </c>
    </row>
    <row r="124" spans="1:6" x14ac:dyDescent="0.25">
      <c r="A124" s="1">
        <f>加速度入力!B175</f>
        <v>119</v>
      </c>
      <c r="B124" s="1">
        <f>ROUND(INDEX(加速度入力!$B$56:$AV$206,ROWS($A$5:$A124),MATCH(B$4,加速度入力!$B$53:$AV$53,0)),1)</f>
        <v>12.1</v>
      </c>
      <c r="C124" s="1">
        <f>ROUND(INDEX(加速度入力!$B$56:$AV$206,ROWS($A$5:$A124),MATCH(C$4,加速度入力!$B$53:$AV$53,0)),1)</f>
        <v>3191.4</v>
      </c>
      <c r="D124" s="1">
        <f>ROUND(INDEX(加速度入力!$B$56:$AV$206,ROWS($A$5:$A124),MATCH(D$4,加速度入力!$B$53:$AV$53,0)),1)</f>
        <v>6439.9</v>
      </c>
      <c r="E124" s="1">
        <f>ROUND(INDEX(加速度入力!$B$56:$AV$206,ROWS($A$5:$A124),MATCH(E$4,加速度入力!$B$53:$AV$53,0)),1)</f>
        <v>18197.5</v>
      </c>
      <c r="F124" s="1">
        <f>ROUND(INDEX(加速度入力!$B$56:$AV$206,ROWS($A$5:$A124),MATCH(F$4,加速度入力!$B$53:$AV$53,0)),1)</f>
        <v>10131.200000000001</v>
      </c>
    </row>
    <row r="125" spans="1:6" x14ac:dyDescent="0.25">
      <c r="A125" s="1">
        <f>加速度入力!B176</f>
        <v>120</v>
      </c>
      <c r="B125" s="1">
        <f>ROUND(INDEX(加速度入力!$B$56:$AV$206,ROWS($A$5:$A125),MATCH(B$4,加速度入力!$B$53:$AV$53,0)),1)</f>
        <v>11.8</v>
      </c>
      <c r="C125" s="1">
        <f>ROUND(INDEX(加速度入力!$B$56:$AV$206,ROWS($A$5:$A125),MATCH(C$4,加速度入力!$B$53:$AV$53,0)),1)</f>
        <v>3149.5</v>
      </c>
      <c r="D125" s="1">
        <f>ROUND(INDEX(加速度入力!$B$56:$AV$206,ROWS($A$5:$A125),MATCH(D$4,加速度入力!$B$53:$AV$53,0)),1)</f>
        <v>6333.1</v>
      </c>
      <c r="E125" s="1">
        <f>ROUND(INDEX(加速度入力!$B$56:$AV$206,ROWS($A$5:$A125),MATCH(E$4,加速度入力!$B$53:$AV$53,0)),1)</f>
        <v>17923.7</v>
      </c>
      <c r="F125" s="1">
        <f>ROUND(INDEX(加速度入力!$B$56:$AV$206,ROWS($A$5:$A125),MATCH(F$4,加速度入力!$B$53:$AV$53,0)),1)</f>
        <v>9978.7999999999993</v>
      </c>
    </row>
    <row r="126" spans="1:6" x14ac:dyDescent="0.25">
      <c r="A126" s="1">
        <f>加速度入力!B177</f>
        <v>121</v>
      </c>
      <c r="B126" s="1">
        <f>ROUND(INDEX(加速度入力!$B$56:$AV$206,ROWS($A$5:$A126),MATCH(B$4,加速度入力!$B$53:$AV$53,0)),1)</f>
        <v>11.6</v>
      </c>
      <c r="C126" s="1">
        <f>ROUND(INDEX(加速度入力!$B$56:$AV$206,ROWS($A$5:$A126),MATCH(C$4,加速度入力!$B$53:$AV$53,0)),1)</f>
        <v>3108.4</v>
      </c>
      <c r="D126" s="1">
        <f>ROUND(INDEX(加速度入力!$B$56:$AV$206,ROWS($A$5:$A126),MATCH(D$4,加速度入力!$B$53:$AV$53,0)),1)</f>
        <v>6228.8</v>
      </c>
      <c r="E126" s="1">
        <f>ROUND(INDEX(加速度入力!$B$56:$AV$206,ROWS($A$5:$A126),MATCH(E$4,加速度入力!$B$53:$AV$53,0)),1)</f>
        <v>17656.2</v>
      </c>
      <c r="F126" s="1">
        <f>ROUND(INDEX(加速度入力!$B$56:$AV$206,ROWS($A$5:$A126),MATCH(F$4,加速度入力!$B$53:$AV$53,0)),1)</f>
        <v>9829.9</v>
      </c>
    </row>
    <row r="127" spans="1:6" x14ac:dyDescent="0.25">
      <c r="A127" s="1">
        <f>加速度入力!B178</f>
        <v>122</v>
      </c>
      <c r="B127" s="1">
        <f>ROUND(INDEX(加速度入力!$B$56:$AV$206,ROWS($A$5:$A127),MATCH(B$4,加速度入力!$B$53:$AV$53,0)),1)</f>
        <v>11.4</v>
      </c>
      <c r="C127" s="1">
        <f>ROUND(INDEX(加速度入力!$B$56:$AV$206,ROWS($A$5:$A127),MATCH(C$4,加速度入力!$B$53:$AV$53,0)),1)</f>
        <v>3068.3</v>
      </c>
      <c r="D127" s="1">
        <f>ROUND(INDEX(加速度入力!$B$56:$AV$206,ROWS($A$5:$A127),MATCH(D$4,加速度入力!$B$53:$AV$53,0)),1)</f>
        <v>6127.1</v>
      </c>
      <c r="E127" s="1">
        <f>ROUND(INDEX(加速度入力!$B$56:$AV$206,ROWS($A$5:$A127),MATCH(E$4,加速度入力!$B$53:$AV$53,0)),1)</f>
        <v>17394.900000000001</v>
      </c>
      <c r="F127" s="1">
        <f>ROUND(INDEX(加速度入力!$B$56:$AV$206,ROWS($A$5:$A127),MATCH(F$4,加速度入力!$B$53:$AV$53,0)),1)</f>
        <v>9684.4</v>
      </c>
    </row>
    <row r="128" spans="1:6" x14ac:dyDescent="0.25">
      <c r="A128" s="1">
        <f>加速度入力!B179</f>
        <v>123</v>
      </c>
      <c r="B128" s="1">
        <f>ROUND(INDEX(加速度入力!$B$56:$AV$206,ROWS($A$5:$A128),MATCH(B$4,加速度入力!$B$53:$AV$53,0)),1)</f>
        <v>11.1</v>
      </c>
      <c r="C128" s="1">
        <f>ROUND(INDEX(加速度入力!$B$56:$AV$206,ROWS($A$5:$A128),MATCH(C$4,加速度入力!$B$53:$AV$53,0)),1)</f>
        <v>3028.9</v>
      </c>
      <c r="D128" s="1">
        <f>ROUND(INDEX(加速度入力!$B$56:$AV$206,ROWS($A$5:$A128),MATCH(D$4,加速度入力!$B$53:$AV$53,0)),1)</f>
        <v>6027.9</v>
      </c>
      <c r="E128" s="1">
        <f>ROUND(INDEX(加速度入力!$B$56:$AV$206,ROWS($A$5:$A128),MATCH(E$4,加速度入力!$B$53:$AV$53,0)),1)</f>
        <v>17139.599999999999</v>
      </c>
      <c r="F128" s="1">
        <f>ROUND(INDEX(加速度入力!$B$56:$AV$206,ROWS($A$5:$A128),MATCH(F$4,加速度入力!$B$53:$AV$53,0)),1)</f>
        <v>9542.2999999999993</v>
      </c>
    </row>
    <row r="129" spans="1:6" x14ac:dyDescent="0.25">
      <c r="A129" s="1">
        <f>加速度入力!B180</f>
        <v>124</v>
      </c>
      <c r="B129" s="1">
        <f>ROUND(INDEX(加速度入力!$B$56:$AV$206,ROWS($A$5:$A129),MATCH(B$4,加速度入力!$B$53:$AV$53,0)),1)</f>
        <v>10.9</v>
      </c>
      <c r="C129" s="1">
        <f>ROUND(INDEX(加速度入力!$B$56:$AV$206,ROWS($A$5:$A129),MATCH(C$4,加速度入力!$B$53:$AV$53,0)),1)</f>
        <v>2990.4</v>
      </c>
      <c r="D129" s="1">
        <f>ROUND(INDEX(加速度入力!$B$56:$AV$206,ROWS($A$5:$A129),MATCH(D$4,加速度入力!$B$53:$AV$53,0)),1)</f>
        <v>5931.1</v>
      </c>
      <c r="E129" s="1">
        <f>ROUND(INDEX(加速度入力!$B$56:$AV$206,ROWS($A$5:$A129),MATCH(E$4,加速度入力!$B$53:$AV$53,0)),1)</f>
        <v>16890</v>
      </c>
      <c r="F129" s="1">
        <f>ROUND(INDEX(加速度入力!$B$56:$AV$206,ROWS($A$5:$A129),MATCH(F$4,加速度入力!$B$53:$AV$53,0)),1)</f>
        <v>9403.2999999999993</v>
      </c>
    </row>
    <row r="130" spans="1:6" x14ac:dyDescent="0.25">
      <c r="A130" s="1">
        <f>加速度入力!B181</f>
        <v>125</v>
      </c>
      <c r="B130" s="1">
        <f>ROUND(INDEX(加速度入力!$B$56:$AV$206,ROWS($A$5:$A130),MATCH(B$4,加速度入力!$B$53:$AV$53,0)),1)</f>
        <v>10.7</v>
      </c>
      <c r="C130" s="1">
        <f>ROUND(INDEX(加速度入力!$B$56:$AV$206,ROWS($A$5:$A130),MATCH(C$4,加速度入力!$B$53:$AV$53,0)),1)</f>
        <v>2952.7</v>
      </c>
      <c r="D130" s="1">
        <f>ROUND(INDEX(加速度入力!$B$56:$AV$206,ROWS($A$5:$A130),MATCH(D$4,加速度入力!$B$53:$AV$53,0)),1)</f>
        <v>5836.5</v>
      </c>
      <c r="E130" s="1">
        <f>ROUND(INDEX(加速度入力!$B$56:$AV$206,ROWS($A$5:$A130),MATCH(E$4,加速度入力!$B$53:$AV$53,0)),1)</f>
        <v>16646</v>
      </c>
      <c r="F130" s="1">
        <f>ROUND(INDEX(加速度入力!$B$56:$AV$206,ROWS($A$5:$A130),MATCH(F$4,加速度入力!$B$53:$AV$53,0)),1)</f>
        <v>9267.5</v>
      </c>
    </row>
    <row r="131" spans="1:6" x14ac:dyDescent="0.25">
      <c r="A131" s="1">
        <f>加速度入力!B182</f>
        <v>126</v>
      </c>
      <c r="B131" s="1">
        <f>ROUND(INDEX(加速度入力!$B$56:$AV$206,ROWS($A$5:$A131),MATCH(B$4,加速度入力!$B$53:$AV$53,0)),1)</f>
        <v>10.5</v>
      </c>
      <c r="C131" s="1">
        <f>ROUND(INDEX(加速度入力!$B$56:$AV$206,ROWS($A$5:$A131),MATCH(C$4,加速度入力!$B$53:$AV$53,0)),1)</f>
        <v>2915.8</v>
      </c>
      <c r="D131" s="1">
        <f>ROUND(INDEX(加速度入力!$B$56:$AV$206,ROWS($A$5:$A131),MATCH(D$4,加速度入力!$B$53:$AV$53,0)),1)</f>
        <v>5744.3</v>
      </c>
      <c r="E131" s="1">
        <f>ROUND(INDEX(加速度入力!$B$56:$AV$206,ROWS($A$5:$A131),MATCH(E$4,加速度入力!$B$53:$AV$53,0)),1)</f>
        <v>16407.400000000001</v>
      </c>
      <c r="F131" s="1">
        <f>ROUND(INDEX(加速度入力!$B$56:$AV$206,ROWS($A$5:$A131),MATCH(F$4,加速度入力!$B$53:$AV$53,0)),1)</f>
        <v>9134.6</v>
      </c>
    </row>
    <row r="132" spans="1:6" x14ac:dyDescent="0.25">
      <c r="A132" s="1">
        <f>加速度入力!B183</f>
        <v>127</v>
      </c>
      <c r="B132" s="1">
        <f>ROUND(INDEX(加速度入力!$B$56:$AV$206,ROWS($A$5:$A132),MATCH(B$4,加速度入力!$B$53:$AV$53,0)),1)</f>
        <v>10.3</v>
      </c>
      <c r="C132" s="1">
        <f>ROUND(INDEX(加速度入力!$B$56:$AV$206,ROWS($A$5:$A132),MATCH(C$4,加速度入力!$B$53:$AV$53,0)),1)</f>
        <v>2879.6</v>
      </c>
      <c r="D132" s="1">
        <f>ROUND(INDEX(加速度入力!$B$56:$AV$206,ROWS($A$5:$A132),MATCH(D$4,加速度入力!$B$53:$AV$53,0)),1)</f>
        <v>5654.2</v>
      </c>
      <c r="E132" s="1">
        <f>ROUND(INDEX(加速度入力!$B$56:$AV$206,ROWS($A$5:$A132),MATCH(E$4,加速度入力!$B$53:$AV$53,0)),1)</f>
        <v>16174.1</v>
      </c>
      <c r="F132" s="1">
        <f>ROUND(INDEX(加速度入力!$B$56:$AV$206,ROWS($A$5:$A132),MATCH(F$4,加速度入力!$B$53:$AV$53,0)),1)</f>
        <v>9004.7000000000007</v>
      </c>
    </row>
    <row r="133" spans="1:6" x14ac:dyDescent="0.25">
      <c r="A133" s="1">
        <f>加速度入力!B184</f>
        <v>128</v>
      </c>
      <c r="B133" s="1">
        <f>ROUND(INDEX(加速度入力!$B$56:$AV$206,ROWS($A$5:$A133),MATCH(B$4,加速度入力!$B$53:$AV$53,0)),1)</f>
        <v>10.1</v>
      </c>
      <c r="C133" s="1">
        <f>ROUND(INDEX(加速度入力!$B$56:$AV$206,ROWS($A$5:$A133),MATCH(C$4,加速度入力!$B$53:$AV$53,0)),1)</f>
        <v>2844.1</v>
      </c>
      <c r="D133" s="1">
        <f>ROUND(INDEX(加速度入力!$B$56:$AV$206,ROWS($A$5:$A133),MATCH(D$4,加速度入力!$B$53:$AV$53,0)),1)</f>
        <v>5566.2</v>
      </c>
      <c r="E133" s="1">
        <f>ROUND(INDEX(加速度入力!$B$56:$AV$206,ROWS($A$5:$A133),MATCH(E$4,加速度入力!$B$53:$AV$53,0)),1)</f>
        <v>15945.9</v>
      </c>
      <c r="F133" s="1">
        <f>ROUND(INDEX(加速度入力!$B$56:$AV$206,ROWS($A$5:$A133),MATCH(F$4,加速度入力!$B$53:$AV$53,0)),1)</f>
        <v>8877.7000000000007</v>
      </c>
    </row>
    <row r="134" spans="1:6" x14ac:dyDescent="0.25">
      <c r="A134" s="1">
        <f>加速度入力!B185</f>
        <v>129</v>
      </c>
      <c r="B134" s="1">
        <f>ROUND(INDEX(加速度入力!$B$56:$AV$206,ROWS($A$5:$A134),MATCH(B$4,加速度入力!$B$53:$AV$53,0)),1)</f>
        <v>9.9</v>
      </c>
      <c r="C134" s="1">
        <f>ROUND(INDEX(加速度入力!$B$56:$AV$206,ROWS($A$5:$A134),MATCH(C$4,加速度入力!$B$53:$AV$53,0)),1)</f>
        <v>2809.4</v>
      </c>
      <c r="D134" s="1">
        <f>ROUND(INDEX(加速度入力!$B$56:$AV$206,ROWS($A$5:$A134),MATCH(D$4,加速度入力!$B$53:$AV$53,0)),1)</f>
        <v>5480.2</v>
      </c>
      <c r="E134" s="1">
        <f>ROUND(INDEX(加速度入力!$B$56:$AV$206,ROWS($A$5:$A134),MATCH(E$4,加速度入力!$B$53:$AV$53,0)),1)</f>
        <v>15722.7</v>
      </c>
      <c r="F134" s="1">
        <f>ROUND(INDEX(加速度入力!$B$56:$AV$206,ROWS($A$5:$A134),MATCH(F$4,加速度入力!$B$53:$AV$53,0)),1)</f>
        <v>8753.4</v>
      </c>
    </row>
    <row r="135" spans="1:6" x14ac:dyDescent="0.25">
      <c r="A135" s="1">
        <f>加速度入力!B186</f>
        <v>130</v>
      </c>
      <c r="B135" s="1">
        <f>ROUND(INDEX(加速度入力!$B$56:$AV$206,ROWS($A$5:$A135),MATCH(B$4,加速度入力!$B$53:$AV$53,0)),1)</f>
        <v>9.6999999999999993</v>
      </c>
      <c r="C135" s="1">
        <f>ROUND(INDEX(加速度入力!$B$56:$AV$206,ROWS($A$5:$A135),MATCH(C$4,加速度入力!$B$53:$AV$53,0)),1)</f>
        <v>2775.3</v>
      </c>
      <c r="D135" s="1">
        <f>ROUND(INDEX(加速度入力!$B$56:$AV$206,ROWS($A$5:$A135),MATCH(D$4,加速度入力!$B$53:$AV$53,0)),1)</f>
        <v>5396.2</v>
      </c>
      <c r="E135" s="1">
        <f>ROUND(INDEX(加速度入力!$B$56:$AV$206,ROWS($A$5:$A135),MATCH(E$4,加速度入力!$B$53:$AV$53,0)),1)</f>
        <v>15504.2</v>
      </c>
      <c r="F135" s="1">
        <f>ROUND(INDEX(加速度入力!$B$56:$AV$206,ROWS($A$5:$A135),MATCH(F$4,加速度入力!$B$53:$AV$53,0)),1)</f>
        <v>8631.7999999999993</v>
      </c>
    </row>
    <row r="136" spans="1:6" x14ac:dyDescent="0.25">
      <c r="A136" s="1">
        <f>加速度入力!B187</f>
        <v>131</v>
      </c>
      <c r="B136" s="1">
        <f>ROUND(INDEX(加速度入力!$B$56:$AV$206,ROWS($A$5:$A136),MATCH(B$4,加速度入力!$B$53:$AV$53,0)),1)</f>
        <v>9.5</v>
      </c>
      <c r="C136" s="1">
        <f>ROUND(INDEX(加速度入力!$B$56:$AV$206,ROWS($A$5:$A136),MATCH(C$4,加速度入力!$B$53:$AV$53,0)),1)</f>
        <v>2741.9</v>
      </c>
      <c r="D136" s="1">
        <f>ROUND(INDEX(加速度入力!$B$56:$AV$206,ROWS($A$5:$A136),MATCH(D$4,加速度入力!$B$53:$AV$53,0)),1)</f>
        <v>5314.1</v>
      </c>
      <c r="E136" s="1">
        <f>ROUND(INDEX(加速度入力!$B$56:$AV$206,ROWS($A$5:$A136),MATCH(E$4,加速度入力!$B$53:$AV$53,0)),1)</f>
        <v>15290.5</v>
      </c>
      <c r="F136" s="1">
        <f>ROUND(INDEX(加速度入力!$B$56:$AV$206,ROWS($A$5:$A136),MATCH(F$4,加速度入力!$B$53:$AV$53,0)),1)</f>
        <v>8512.7999999999993</v>
      </c>
    </row>
    <row r="137" spans="1:6" x14ac:dyDescent="0.25">
      <c r="A137" s="1">
        <f>加速度入力!B188</f>
        <v>132</v>
      </c>
      <c r="B137" s="1">
        <f>ROUND(INDEX(加速度入力!$B$56:$AV$206,ROWS($A$5:$A137),MATCH(B$4,加速度入力!$B$53:$AV$53,0)),1)</f>
        <v>9.3000000000000007</v>
      </c>
      <c r="C137" s="1">
        <f>ROUND(INDEX(加速度入力!$B$56:$AV$206,ROWS($A$5:$A137),MATCH(C$4,加速度入力!$B$53:$AV$53,0)),1)</f>
        <v>2709.2</v>
      </c>
      <c r="D137" s="1">
        <f>ROUND(INDEX(加速度入力!$B$56:$AV$206,ROWS($A$5:$A137),MATCH(D$4,加速度入力!$B$53:$AV$53,0)),1)</f>
        <v>5233.8999999999996</v>
      </c>
      <c r="E137" s="1">
        <f>ROUND(INDEX(加速度入力!$B$56:$AV$206,ROWS($A$5:$A137),MATCH(E$4,加速度入力!$B$53:$AV$53,0)),1)</f>
        <v>15081.3</v>
      </c>
      <c r="F137" s="1">
        <f>ROUND(INDEX(加速度入力!$B$56:$AV$206,ROWS($A$5:$A137),MATCH(F$4,加速度入力!$B$53:$AV$53,0)),1)</f>
        <v>8396.2999999999993</v>
      </c>
    </row>
    <row r="138" spans="1:6" x14ac:dyDescent="0.25">
      <c r="A138" s="1">
        <f>加速度入力!B189</f>
        <v>133</v>
      </c>
      <c r="B138" s="1">
        <f>ROUND(INDEX(加速度入力!$B$56:$AV$206,ROWS($A$5:$A138),MATCH(B$4,加速度入力!$B$53:$AV$53,0)),1)</f>
        <v>9.1999999999999993</v>
      </c>
      <c r="C138" s="1">
        <f>ROUND(INDEX(加速度入力!$B$56:$AV$206,ROWS($A$5:$A138),MATCH(C$4,加速度入力!$B$53:$AV$53,0)),1)</f>
        <v>2677</v>
      </c>
      <c r="D138" s="1">
        <f>ROUND(INDEX(加速度入力!$B$56:$AV$206,ROWS($A$5:$A138),MATCH(D$4,加速度入力!$B$53:$AV$53,0)),1)</f>
        <v>5155.5</v>
      </c>
      <c r="E138" s="1">
        <f>ROUND(INDEX(加速度入力!$B$56:$AV$206,ROWS($A$5:$A138),MATCH(E$4,加速度入力!$B$53:$AV$53,0)),1)</f>
        <v>14876.5</v>
      </c>
      <c r="F138" s="1">
        <f>ROUND(INDEX(加速度入力!$B$56:$AV$206,ROWS($A$5:$A138),MATCH(F$4,加速度入力!$B$53:$AV$53,0)),1)</f>
        <v>8282.2999999999993</v>
      </c>
    </row>
    <row r="139" spans="1:6" x14ac:dyDescent="0.25">
      <c r="A139" s="1">
        <f>加速度入力!B190</f>
        <v>134</v>
      </c>
      <c r="B139" s="1">
        <f>ROUND(INDEX(加速度入力!$B$56:$AV$206,ROWS($A$5:$A139),MATCH(B$4,加速度入力!$B$53:$AV$53,0)),1)</f>
        <v>9</v>
      </c>
      <c r="C139" s="1">
        <f>ROUND(INDEX(加速度入力!$B$56:$AV$206,ROWS($A$5:$A139),MATCH(C$4,加速度入力!$B$53:$AV$53,0)),1)</f>
        <v>2645.6</v>
      </c>
      <c r="D139" s="1">
        <f>ROUND(INDEX(加速度入力!$B$56:$AV$206,ROWS($A$5:$A139),MATCH(D$4,加速度入力!$B$53:$AV$53,0)),1)</f>
        <v>5078.8999999999996</v>
      </c>
      <c r="E139" s="1">
        <f>ROUND(INDEX(加速度入力!$B$56:$AV$206,ROWS($A$5:$A139),MATCH(E$4,加速度入力!$B$53:$AV$53,0)),1)</f>
        <v>14676</v>
      </c>
      <c r="F139" s="1">
        <f>ROUND(INDEX(加速度入力!$B$56:$AV$206,ROWS($A$5:$A139),MATCH(F$4,加速度入力!$B$53:$AV$53,0)),1)</f>
        <v>8170.7</v>
      </c>
    </row>
    <row r="140" spans="1:6" x14ac:dyDescent="0.25">
      <c r="A140" s="1">
        <f>加速度入力!B191</f>
        <v>135</v>
      </c>
      <c r="B140" s="1">
        <f>ROUND(INDEX(加速度入力!$B$56:$AV$206,ROWS($A$5:$A140),MATCH(B$4,加速度入力!$B$53:$AV$53,0)),1)</f>
        <v>8.8000000000000007</v>
      </c>
      <c r="C140" s="1">
        <f>ROUND(INDEX(加速度入力!$B$56:$AV$206,ROWS($A$5:$A140),MATCH(C$4,加速度入力!$B$53:$AV$53,0)),1)</f>
        <v>2614.6999999999998</v>
      </c>
      <c r="D140" s="1">
        <f>ROUND(INDEX(加速度入力!$B$56:$AV$206,ROWS($A$5:$A140),MATCH(D$4,加速度入力!$B$53:$AV$53,0)),1)</f>
        <v>5003.8999999999996</v>
      </c>
      <c r="E140" s="1">
        <f>ROUND(INDEX(加速度入力!$B$56:$AV$206,ROWS($A$5:$A140),MATCH(E$4,加速度入力!$B$53:$AV$53,0)),1)</f>
        <v>14479.6</v>
      </c>
      <c r="F140" s="1">
        <f>ROUND(INDEX(加速度入力!$B$56:$AV$206,ROWS($A$5:$A140),MATCH(F$4,加速度入力!$B$53:$AV$53,0)),1)</f>
        <v>8061.4</v>
      </c>
    </row>
    <row r="141" spans="1:6" x14ac:dyDescent="0.25">
      <c r="A141" s="1">
        <f>加速度入力!B192</f>
        <v>136</v>
      </c>
      <c r="B141" s="1">
        <f>ROUND(INDEX(加速度入力!$B$56:$AV$206,ROWS($A$5:$A141),MATCH(B$4,加速度入力!$B$53:$AV$53,0)),1)</f>
        <v>8.6999999999999993</v>
      </c>
      <c r="C141" s="1">
        <f>ROUND(INDEX(加速度入力!$B$56:$AV$206,ROWS($A$5:$A141),MATCH(C$4,加速度入力!$B$53:$AV$53,0)),1)</f>
        <v>2584.3000000000002</v>
      </c>
      <c r="D141" s="1">
        <f>ROUND(INDEX(加速度入力!$B$56:$AV$206,ROWS($A$5:$A141),MATCH(D$4,加速度入力!$B$53:$AV$53,0)),1)</f>
        <v>4930.6000000000004</v>
      </c>
      <c r="E141" s="1">
        <f>ROUND(INDEX(加速度入力!$B$56:$AV$206,ROWS($A$5:$A141),MATCH(E$4,加速度入力!$B$53:$AV$53,0)),1)</f>
        <v>14287.3</v>
      </c>
      <c r="F141" s="1">
        <f>ROUND(INDEX(加速度入力!$B$56:$AV$206,ROWS($A$5:$A141),MATCH(F$4,加速度入力!$B$53:$AV$53,0)),1)</f>
        <v>7954.3</v>
      </c>
    </row>
    <row r="142" spans="1:6" x14ac:dyDescent="0.25">
      <c r="A142" s="1">
        <f>加速度入力!B193</f>
        <v>137</v>
      </c>
      <c r="B142" s="1">
        <f>ROUND(INDEX(加速度入力!$B$56:$AV$206,ROWS($A$5:$A142),MATCH(B$4,加速度入力!$B$53:$AV$53,0)),1)</f>
        <v>8.5</v>
      </c>
      <c r="C142" s="1">
        <f>ROUND(INDEX(加速度入力!$B$56:$AV$206,ROWS($A$5:$A142),MATCH(C$4,加速度入力!$B$53:$AV$53,0)),1)</f>
        <v>2554.6</v>
      </c>
      <c r="D142" s="1">
        <f>ROUND(INDEX(加速度入力!$B$56:$AV$206,ROWS($A$5:$A142),MATCH(D$4,加速度入力!$B$53:$AV$53,0)),1)</f>
        <v>4858.8999999999996</v>
      </c>
      <c r="E142" s="1">
        <f>ROUND(INDEX(加速度入力!$B$56:$AV$206,ROWS($A$5:$A142),MATCH(E$4,加速度入力!$B$53:$AV$53,0)),1)</f>
        <v>14098.9</v>
      </c>
      <c r="F142" s="1">
        <f>ROUND(INDEX(加速度入力!$B$56:$AV$206,ROWS($A$5:$A142),MATCH(F$4,加速度入力!$B$53:$AV$53,0)),1)</f>
        <v>7849.4</v>
      </c>
    </row>
    <row r="143" spans="1:6" x14ac:dyDescent="0.25">
      <c r="A143" s="1">
        <f>加速度入力!B194</f>
        <v>138</v>
      </c>
      <c r="B143" s="1">
        <f>ROUND(INDEX(加速度入力!$B$56:$AV$206,ROWS($A$5:$A143),MATCH(B$4,加速度入力!$B$53:$AV$53,0)),1)</f>
        <v>8.4</v>
      </c>
      <c r="C143" s="1">
        <f>ROUND(INDEX(加速度入力!$B$56:$AV$206,ROWS($A$5:$A143),MATCH(C$4,加速度入力!$B$53:$AV$53,0)),1)</f>
        <v>2525.4</v>
      </c>
      <c r="D143" s="1">
        <f>ROUND(INDEX(加速度入力!$B$56:$AV$206,ROWS($A$5:$A143),MATCH(D$4,加速度入力!$B$53:$AV$53,0)),1)</f>
        <v>4788.7</v>
      </c>
      <c r="E143" s="1">
        <f>ROUND(INDEX(加速度入力!$B$56:$AV$206,ROWS($A$5:$A143),MATCH(E$4,加速度入力!$B$53:$AV$53,0)),1)</f>
        <v>13914.4</v>
      </c>
      <c r="F143" s="1">
        <f>ROUND(INDEX(加速度入力!$B$56:$AV$206,ROWS($A$5:$A143),MATCH(F$4,加速度入力!$B$53:$AV$53,0)),1)</f>
        <v>7746.7</v>
      </c>
    </row>
    <row r="144" spans="1:6" x14ac:dyDescent="0.25">
      <c r="A144" s="1">
        <f>加速度入力!B195</f>
        <v>139</v>
      </c>
      <c r="B144" s="1">
        <f>ROUND(INDEX(加速度入力!$B$56:$AV$206,ROWS($A$5:$A144),MATCH(B$4,加速度入力!$B$53:$AV$53,0)),1)</f>
        <v>8.1999999999999993</v>
      </c>
      <c r="C144" s="1">
        <f>ROUND(INDEX(加速度入力!$B$56:$AV$206,ROWS($A$5:$A144),MATCH(C$4,加速度入力!$B$53:$AV$53,0)),1)</f>
        <v>2496.8000000000002</v>
      </c>
      <c r="D144" s="1">
        <f>ROUND(INDEX(加速度入力!$B$56:$AV$206,ROWS($A$5:$A144),MATCH(D$4,加速度入力!$B$53:$AV$53,0)),1)</f>
        <v>4720</v>
      </c>
      <c r="E144" s="1">
        <f>ROUND(INDEX(加速度入力!$B$56:$AV$206,ROWS($A$5:$A144),MATCH(E$4,加速度入力!$B$53:$AV$53,0)),1)</f>
        <v>13733.6</v>
      </c>
      <c r="F144" s="1">
        <f>ROUND(INDEX(加速度入力!$B$56:$AV$206,ROWS($A$5:$A144),MATCH(F$4,加速度入力!$B$53:$AV$53,0)),1)</f>
        <v>7646</v>
      </c>
    </row>
    <row r="145" spans="1:6" x14ac:dyDescent="0.25">
      <c r="A145" s="1">
        <f>加速度入力!B196</f>
        <v>140</v>
      </c>
      <c r="B145" s="1">
        <f>ROUND(INDEX(加速度入力!$B$56:$AV$206,ROWS($A$5:$A145),MATCH(B$4,加速度入力!$B$53:$AV$53,0)),1)</f>
        <v>8.1</v>
      </c>
      <c r="C145" s="1">
        <f>ROUND(INDEX(加速度入力!$B$56:$AV$206,ROWS($A$5:$A145),MATCH(C$4,加速度入力!$B$53:$AV$53,0)),1)</f>
        <v>2468.6999999999998</v>
      </c>
      <c r="D145" s="1">
        <f>ROUND(INDEX(加速度入力!$B$56:$AV$206,ROWS($A$5:$A145),MATCH(D$4,加速度入力!$B$53:$AV$53,0)),1)</f>
        <v>4652.8999999999996</v>
      </c>
      <c r="E145" s="1">
        <f>ROUND(INDEX(加速度入力!$B$56:$AV$206,ROWS($A$5:$A145),MATCH(E$4,加速度入力!$B$53:$AV$53,0)),1)</f>
        <v>13556.4</v>
      </c>
      <c r="F145" s="1">
        <f>ROUND(INDEX(加速度入力!$B$56:$AV$206,ROWS($A$5:$A145),MATCH(F$4,加速度入力!$B$53:$AV$53,0)),1)</f>
        <v>7547.3</v>
      </c>
    </row>
    <row r="146" spans="1:6" x14ac:dyDescent="0.25">
      <c r="A146" s="1">
        <f>加速度入力!B197</f>
        <v>141</v>
      </c>
      <c r="B146" s="1">
        <f>ROUND(INDEX(加速度入力!$B$56:$AV$206,ROWS($A$5:$A146),MATCH(B$4,加速度入力!$B$53:$AV$53,0)),1)</f>
        <v>7.9</v>
      </c>
      <c r="C146" s="1">
        <f>ROUND(INDEX(加速度入力!$B$56:$AV$206,ROWS($A$5:$A146),MATCH(C$4,加速度入力!$B$53:$AV$53,0)),1)</f>
        <v>2441</v>
      </c>
      <c r="D146" s="1">
        <f>ROUND(INDEX(加速度入力!$B$56:$AV$206,ROWS($A$5:$A146),MATCH(D$4,加速度入力!$B$53:$AV$53,0)),1)</f>
        <v>4587.1000000000004</v>
      </c>
      <c r="E146" s="1">
        <f>ROUND(INDEX(加速度入力!$B$56:$AV$206,ROWS($A$5:$A146),MATCH(E$4,加速度入力!$B$53:$AV$53,0)),1)</f>
        <v>13382.7</v>
      </c>
      <c r="F146" s="1">
        <f>ROUND(INDEX(加速度入力!$B$56:$AV$206,ROWS($A$5:$A146),MATCH(F$4,加速度入力!$B$53:$AV$53,0)),1)</f>
        <v>7450.7</v>
      </c>
    </row>
    <row r="147" spans="1:6" x14ac:dyDescent="0.25">
      <c r="A147" s="1">
        <f>加速度入力!B198</f>
        <v>142</v>
      </c>
      <c r="B147" s="1">
        <f>ROUND(INDEX(加速度入力!$B$56:$AV$206,ROWS($A$5:$A147),MATCH(B$4,加速度入力!$B$53:$AV$53,0)),1)</f>
        <v>7.8</v>
      </c>
      <c r="C147" s="1">
        <f>ROUND(INDEX(加速度入力!$B$56:$AV$206,ROWS($A$5:$A147),MATCH(C$4,加速度入力!$B$53:$AV$53,0)),1)</f>
        <v>2413.9</v>
      </c>
      <c r="D147" s="1">
        <f>ROUND(INDEX(加速度入力!$B$56:$AV$206,ROWS($A$5:$A147),MATCH(D$4,加速度入力!$B$53:$AV$53,0)),1)</f>
        <v>4522.7</v>
      </c>
      <c r="E147" s="1">
        <f>ROUND(INDEX(加速度入力!$B$56:$AV$206,ROWS($A$5:$A147),MATCH(E$4,加速度入力!$B$53:$AV$53,0)),1)</f>
        <v>13212.4</v>
      </c>
      <c r="F147" s="1">
        <f>ROUND(INDEX(加速度入力!$B$56:$AV$206,ROWS($A$5:$A147),MATCH(F$4,加速度入力!$B$53:$AV$53,0)),1)</f>
        <v>7355.9</v>
      </c>
    </row>
    <row r="148" spans="1:6" x14ac:dyDescent="0.25">
      <c r="A148" s="1">
        <f>加速度入力!B199</f>
        <v>143</v>
      </c>
      <c r="B148" s="1">
        <f>ROUND(INDEX(加速度入力!$B$56:$AV$206,ROWS($A$5:$A148),MATCH(B$4,加速度入力!$B$53:$AV$53,0)),1)</f>
        <v>7.6</v>
      </c>
      <c r="C148" s="1">
        <f>ROUND(INDEX(加速度入力!$B$56:$AV$206,ROWS($A$5:$A148),MATCH(C$4,加速度入力!$B$53:$AV$53,0)),1)</f>
        <v>2387.3000000000002</v>
      </c>
      <c r="D148" s="1">
        <f>ROUND(INDEX(加速度入力!$B$56:$AV$206,ROWS($A$5:$A148),MATCH(D$4,加速度入力!$B$53:$AV$53,0)),1)</f>
        <v>4459.7</v>
      </c>
      <c r="E148" s="1">
        <f>ROUND(INDEX(加速度入力!$B$56:$AV$206,ROWS($A$5:$A148),MATCH(E$4,加速度入力!$B$53:$AV$53,0)),1)</f>
        <v>13045.5</v>
      </c>
      <c r="F148" s="1">
        <f>ROUND(INDEX(加速度入力!$B$56:$AV$206,ROWS($A$5:$A148),MATCH(F$4,加速度入力!$B$53:$AV$53,0)),1)</f>
        <v>7262.9</v>
      </c>
    </row>
    <row r="149" spans="1:6" x14ac:dyDescent="0.25">
      <c r="A149" s="1">
        <f>加速度入力!B200</f>
        <v>144</v>
      </c>
      <c r="B149" s="1">
        <f>ROUND(INDEX(加速度入力!$B$56:$AV$206,ROWS($A$5:$A149),MATCH(B$4,加速度入力!$B$53:$AV$53,0)),1)</f>
        <v>7.5</v>
      </c>
      <c r="C149" s="1">
        <f>ROUND(INDEX(加速度入力!$B$56:$AV$206,ROWS($A$5:$A149),MATCH(C$4,加速度入力!$B$53:$AV$53,0)),1)</f>
        <v>2361.1999999999998</v>
      </c>
      <c r="D149" s="1">
        <f>ROUND(INDEX(加速度入力!$B$56:$AV$206,ROWS($A$5:$A149),MATCH(D$4,加速度入力!$B$53:$AV$53,0)),1)</f>
        <v>4398</v>
      </c>
      <c r="E149" s="1">
        <f>ROUND(INDEX(加速度入力!$B$56:$AV$206,ROWS($A$5:$A149),MATCH(E$4,加速度入力!$B$53:$AV$53,0)),1)</f>
        <v>12881.9</v>
      </c>
      <c r="F149" s="1">
        <f>ROUND(INDEX(加速度入力!$B$56:$AV$206,ROWS($A$5:$A149),MATCH(F$4,加速度入力!$B$53:$AV$53,0)),1)</f>
        <v>7171.8</v>
      </c>
    </row>
    <row r="150" spans="1:6" x14ac:dyDescent="0.25">
      <c r="A150" s="1">
        <f>加速度入力!B201</f>
        <v>145</v>
      </c>
      <c r="B150" s="1">
        <f>ROUND(INDEX(加速度入力!$B$56:$AV$206,ROWS($A$5:$A150),MATCH(B$4,加速度入力!$B$53:$AV$53,0)),1)</f>
        <v>7.4</v>
      </c>
      <c r="C150" s="1">
        <f>ROUND(INDEX(加速度入力!$B$56:$AV$206,ROWS($A$5:$A150),MATCH(C$4,加速度入力!$B$53:$AV$53,0)),1)</f>
        <v>2335.5</v>
      </c>
      <c r="D150" s="1">
        <f>ROUND(INDEX(加速度入力!$B$56:$AV$206,ROWS($A$5:$A150),MATCH(D$4,加速度入力!$B$53:$AV$53,0)),1)</f>
        <v>4337.5</v>
      </c>
      <c r="E150" s="1">
        <f>ROUND(INDEX(加速度入力!$B$56:$AV$206,ROWS($A$5:$A150),MATCH(E$4,加速度入力!$B$53:$AV$53,0)),1)</f>
        <v>12721.4</v>
      </c>
      <c r="F150" s="1">
        <f>ROUND(INDEX(加速度入力!$B$56:$AV$206,ROWS($A$5:$A150),MATCH(F$4,加速度入力!$B$53:$AV$53,0)),1)</f>
        <v>7082.5</v>
      </c>
    </row>
    <row r="151" spans="1:6" x14ac:dyDescent="0.25">
      <c r="A151" s="1">
        <f>加速度入力!B202</f>
        <v>146</v>
      </c>
      <c r="B151" s="1">
        <f>ROUND(INDEX(加速度入力!$B$56:$AV$206,ROWS($A$5:$A151),MATCH(B$4,加速度入力!$B$53:$AV$53,0)),1)</f>
        <v>7.3</v>
      </c>
      <c r="C151" s="1">
        <f>ROUND(INDEX(加速度入力!$B$56:$AV$206,ROWS($A$5:$A151),MATCH(C$4,加速度入力!$B$53:$AV$53,0)),1)</f>
        <v>2310.3000000000002</v>
      </c>
      <c r="D151" s="1">
        <f>ROUND(INDEX(加速度入力!$B$56:$AV$206,ROWS($A$5:$A151),MATCH(D$4,加速度入力!$B$53:$AV$53,0)),1)</f>
        <v>4278.3</v>
      </c>
      <c r="E151" s="1">
        <f>ROUND(INDEX(加速度入力!$B$56:$AV$206,ROWS($A$5:$A151),MATCH(E$4,加速度入力!$B$53:$AV$53,0)),1)</f>
        <v>12563.9</v>
      </c>
      <c r="F151" s="1">
        <f>ROUND(INDEX(加速度入力!$B$56:$AV$206,ROWS($A$5:$A151),MATCH(F$4,加速度入力!$B$53:$AV$53,0)),1)</f>
        <v>6994.8</v>
      </c>
    </row>
    <row r="152" spans="1:6" x14ac:dyDescent="0.25">
      <c r="A152" s="1">
        <f>加速度入力!B203</f>
        <v>147</v>
      </c>
      <c r="B152" s="1">
        <f>ROUND(INDEX(加速度入力!$B$56:$AV$206,ROWS($A$5:$A152),MATCH(B$4,加速度入力!$B$53:$AV$53,0)),1)</f>
        <v>7.1</v>
      </c>
      <c r="C152" s="1">
        <f>ROUND(INDEX(加速度入力!$B$56:$AV$206,ROWS($A$5:$A152),MATCH(C$4,加速度入力!$B$53:$AV$53,0)),1)</f>
        <v>2285.5</v>
      </c>
      <c r="D152" s="1">
        <f>ROUND(INDEX(加速度入力!$B$56:$AV$206,ROWS($A$5:$A152),MATCH(D$4,加速度入力!$B$53:$AV$53,0)),1)</f>
        <v>4220.3</v>
      </c>
      <c r="E152" s="1">
        <f>ROUND(INDEX(加速度入力!$B$56:$AV$206,ROWS($A$5:$A152),MATCH(E$4,加速度入力!$B$53:$AV$53,0)),1)</f>
        <v>12409.5</v>
      </c>
      <c r="F152" s="1">
        <f>ROUND(INDEX(加速度入力!$B$56:$AV$206,ROWS($A$5:$A152),MATCH(F$4,加速度入力!$B$53:$AV$53,0)),1)</f>
        <v>6908.9</v>
      </c>
    </row>
    <row r="153" spans="1:6" x14ac:dyDescent="0.25">
      <c r="A153" s="1">
        <f>加速度入力!B204</f>
        <v>148</v>
      </c>
      <c r="B153" s="1">
        <f>ROUND(INDEX(加速度入力!$B$56:$AV$206,ROWS($A$5:$A153),MATCH(B$4,加速度入力!$B$53:$AV$53,0)),1)</f>
        <v>7</v>
      </c>
      <c r="C153" s="1">
        <f>ROUND(INDEX(加速度入力!$B$56:$AV$206,ROWS($A$5:$A153),MATCH(C$4,加速度入力!$B$53:$AV$53,0)),1)</f>
        <v>2261.1</v>
      </c>
      <c r="D153" s="1">
        <f>ROUND(INDEX(加速度入力!$B$56:$AV$206,ROWS($A$5:$A153),MATCH(D$4,加速度入力!$B$53:$AV$53,0)),1)</f>
        <v>4163.3999999999996</v>
      </c>
      <c r="E153" s="1">
        <f>ROUND(INDEX(加速度入力!$B$56:$AV$206,ROWS($A$5:$A153),MATCH(E$4,加速度入力!$B$53:$AV$53,0)),1)</f>
        <v>12258</v>
      </c>
      <c r="F153" s="1">
        <f>ROUND(INDEX(加速度入力!$B$56:$AV$206,ROWS($A$5:$A153),MATCH(F$4,加速度入力!$B$53:$AV$53,0)),1)</f>
        <v>6824.5</v>
      </c>
    </row>
    <row r="154" spans="1:6" x14ac:dyDescent="0.25">
      <c r="A154" s="1">
        <f>加速度入力!B205</f>
        <v>149</v>
      </c>
      <c r="B154" s="1">
        <f>ROUND(INDEX(加速度入力!$B$56:$AV$206,ROWS($A$5:$A154),MATCH(B$4,加速度入力!$B$53:$AV$53,0)),1)</f>
        <v>6.9</v>
      </c>
      <c r="C154" s="1">
        <f>ROUND(INDEX(加速度入力!$B$56:$AV$206,ROWS($A$5:$A154),MATCH(C$4,加速度入力!$B$53:$AV$53,0)),1)</f>
        <v>2237.1999999999998</v>
      </c>
      <c r="D154" s="1">
        <f>ROUND(INDEX(加速度入力!$B$56:$AV$206,ROWS($A$5:$A154),MATCH(D$4,加速度入力!$B$53:$AV$53,0)),1)</f>
        <v>4107.7</v>
      </c>
      <c r="E154" s="1">
        <f>ROUND(INDEX(加速度入力!$B$56:$AV$206,ROWS($A$5:$A154),MATCH(E$4,加速度入力!$B$53:$AV$53,0)),1)</f>
        <v>12109.4</v>
      </c>
      <c r="F154" s="1">
        <f>ROUND(INDEX(加速度入力!$B$56:$AV$206,ROWS($A$5:$A154),MATCH(F$4,加速度入力!$B$53:$AV$53,0)),1)</f>
        <v>6741.8</v>
      </c>
    </row>
    <row r="155" spans="1:6" x14ac:dyDescent="0.25">
      <c r="A155" s="1">
        <f>加速度入力!B206</f>
        <v>150</v>
      </c>
      <c r="B155" s="1">
        <f>ROUND(INDEX(加速度入力!$B$56:$AV$206,ROWS($A$5:$A155),MATCH(B$4,加速度入力!$B$53:$AV$53,0)),1)</f>
        <v>6.8</v>
      </c>
      <c r="C155" s="1">
        <f>ROUND(INDEX(加速度入力!$B$56:$AV$206,ROWS($A$5:$A155),MATCH(C$4,加速度入力!$B$53:$AV$53,0)),1)</f>
        <v>2213.6999999999998</v>
      </c>
      <c r="D155" s="1">
        <f>ROUND(INDEX(加速度入力!$B$56:$AV$206,ROWS($A$5:$A155),MATCH(D$4,加速度入力!$B$53:$AV$53,0)),1)</f>
        <v>4053.2</v>
      </c>
      <c r="E155" s="1">
        <f>ROUND(INDEX(加速度入力!$B$56:$AV$206,ROWS($A$5:$A155),MATCH(E$4,加速度入力!$B$53:$AV$53,0)),1)</f>
        <v>11963.6</v>
      </c>
      <c r="F155" s="1">
        <f>ROUND(INDEX(加速度入力!$B$56:$AV$206,ROWS($A$5:$A155),MATCH(F$4,加速度入力!$B$53:$AV$53,0)),1)</f>
        <v>6660.6</v>
      </c>
    </row>
  </sheetData>
  <phoneticPr fontId="1"/>
  <pageMargins left="0.7" right="0.7" top="0.75" bottom="0.75" header="0.3" footer="0.3"/>
  <pageSetup paperSize="8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FF0000"/>
  </sheetPr>
  <dimension ref="A1:F155"/>
  <sheetViews>
    <sheetView zoomScaleNormal="100" workbookViewId="0">
      <pane ySplit="2" topLeftCell="A42" activePane="bottomLeft" state="frozen"/>
      <selection sqref="A1:A1048576"/>
      <selection pane="bottomLeft" activeCell="B2" sqref="B2"/>
    </sheetView>
  </sheetViews>
  <sheetFormatPr defaultColWidth="9.125" defaultRowHeight="10.199999999999999" x14ac:dyDescent="0.25"/>
  <cols>
    <col min="1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107</v>
      </c>
    </row>
    <row r="3" spans="1:6" x14ac:dyDescent="0.25">
      <c r="A3" s="1" t="s">
        <v>82</v>
      </c>
      <c r="B3" s="1">
        <v>1</v>
      </c>
      <c r="C3" s="1">
        <v>2</v>
      </c>
      <c r="D3" s="1">
        <v>3</v>
      </c>
      <c r="E3" s="1">
        <v>4</v>
      </c>
      <c r="F3" s="1">
        <v>5</v>
      </c>
    </row>
    <row r="4" spans="1:6" x14ac:dyDescent="0.25">
      <c r="A4" s="1" t="s">
        <v>82</v>
      </c>
      <c r="B4" s="1" t="str">
        <f>"p"&amp;B3&amp;$B2</f>
        <v>p1fMax</v>
      </c>
      <c r="C4" s="1" t="str">
        <f t="shared" ref="C4:F4" si="0">"p"&amp;C3&amp;$B2</f>
        <v>p2fMax</v>
      </c>
      <c r="D4" s="1" t="str">
        <f t="shared" si="0"/>
        <v>p3fMax</v>
      </c>
      <c r="E4" s="1" t="str">
        <f t="shared" si="0"/>
        <v>p4fMax</v>
      </c>
      <c r="F4" s="1" t="str">
        <f t="shared" si="0"/>
        <v>p5fMax</v>
      </c>
    </row>
    <row r="5" spans="1:6" x14ac:dyDescent="0.25">
      <c r="A5" s="1">
        <f>加速度入力!B56</f>
        <v>0</v>
      </c>
      <c r="B5" s="1">
        <f>ROUND(INDEX(加速度入力!$B$56:$AV$206,ROWS($A$5:$A5),MATCH(B$4,加速度入力!$B$53:$AV$53,0)),1)</f>
        <v>21110</v>
      </c>
      <c r="C5" s="1">
        <f>ROUND(INDEX(加速度入力!$B$56:$AV$206,ROWS($A$5:$A5),MATCH(C$4,加速度入力!$B$53:$AV$53,0)),1)</f>
        <v>45889</v>
      </c>
      <c r="D5" s="1">
        <f>ROUND(INDEX(加速度入力!$B$56:$AV$206,ROWS($A$5:$A5),MATCH(D$4,加速度入力!$B$53:$AV$53,0)),1)</f>
        <v>69261</v>
      </c>
      <c r="E5" s="1">
        <f>ROUND(INDEX(加速度入力!$B$56:$AV$206,ROWS($A$5:$A5),MATCH(E$4,加速度入力!$B$53:$AV$53,0)),1)</f>
        <v>91410</v>
      </c>
      <c r="F5" s="1">
        <f>ROUND(INDEX(加速度入力!$B$56:$AV$206,ROWS($A$5:$A5),MATCH(F$4,加速度入力!$B$53:$AV$53,0)),1)</f>
        <v>69316</v>
      </c>
    </row>
    <row r="6" spans="1:6" x14ac:dyDescent="0.25">
      <c r="A6" s="1">
        <f>加速度入力!B57</f>
        <v>1</v>
      </c>
      <c r="B6" s="1">
        <f>ROUND(INDEX(加速度入力!$B$56:$AV$206,ROWS($A$5:$A6),MATCH(B$4,加速度入力!$B$53:$AV$53,0)),1)</f>
        <v>21110</v>
      </c>
      <c r="C6" s="1">
        <f>ROUND(INDEX(加速度入力!$B$56:$AV$206,ROWS($A$5:$A6),MATCH(C$4,加速度入力!$B$53:$AV$53,0)),1)</f>
        <v>45889</v>
      </c>
      <c r="D6" s="1">
        <f>ROUND(INDEX(加速度入力!$B$56:$AV$206,ROWS($A$5:$A6),MATCH(D$4,加速度入力!$B$53:$AV$53,0)),1)</f>
        <v>69261</v>
      </c>
      <c r="E6" s="1">
        <f>ROUND(INDEX(加速度入力!$B$56:$AV$206,ROWS($A$5:$A6),MATCH(E$4,加速度入力!$B$53:$AV$53,0)),1)</f>
        <v>91410</v>
      </c>
      <c r="F6" s="1">
        <f>ROUND(INDEX(加速度入力!$B$56:$AV$206,ROWS($A$5:$A6),MATCH(F$4,加速度入力!$B$53:$AV$53,0)),1)</f>
        <v>69316</v>
      </c>
    </row>
    <row r="7" spans="1:6" x14ac:dyDescent="0.25">
      <c r="A7" s="1">
        <f>加速度入力!B58</f>
        <v>2</v>
      </c>
      <c r="B7" s="1">
        <f>ROUND(INDEX(加速度入力!$B$56:$AV$206,ROWS($A$5:$A7),MATCH(B$4,加速度入力!$B$53:$AV$53,0)),1)</f>
        <v>21110</v>
      </c>
      <c r="C7" s="1">
        <f>ROUND(INDEX(加速度入力!$B$56:$AV$206,ROWS($A$5:$A7),MATCH(C$4,加速度入力!$B$53:$AV$53,0)),1)</f>
        <v>45889</v>
      </c>
      <c r="D7" s="1">
        <f>ROUND(INDEX(加速度入力!$B$56:$AV$206,ROWS($A$5:$A7),MATCH(D$4,加速度入力!$B$53:$AV$53,0)),1)</f>
        <v>69261</v>
      </c>
      <c r="E7" s="1">
        <f>ROUND(INDEX(加速度入力!$B$56:$AV$206,ROWS($A$5:$A7),MATCH(E$4,加速度入力!$B$53:$AV$53,0)),1)</f>
        <v>91410</v>
      </c>
      <c r="F7" s="1">
        <f>ROUND(INDEX(加速度入力!$B$56:$AV$206,ROWS($A$5:$A7),MATCH(F$4,加速度入力!$B$53:$AV$53,0)),1)</f>
        <v>69316</v>
      </c>
    </row>
    <row r="8" spans="1:6" x14ac:dyDescent="0.25">
      <c r="A8" s="1">
        <f>加速度入力!B59</f>
        <v>3</v>
      </c>
      <c r="B8" s="1">
        <f>ROUND(INDEX(加速度入力!$B$56:$AV$206,ROWS($A$5:$A8),MATCH(B$4,加速度入力!$B$53:$AV$53,0)),1)</f>
        <v>21110</v>
      </c>
      <c r="C8" s="1">
        <f>ROUND(INDEX(加速度入力!$B$56:$AV$206,ROWS($A$5:$A8),MATCH(C$4,加速度入力!$B$53:$AV$53,0)),1)</f>
        <v>45889</v>
      </c>
      <c r="D8" s="1">
        <f>ROUND(INDEX(加速度入力!$B$56:$AV$206,ROWS($A$5:$A8),MATCH(D$4,加速度入力!$B$53:$AV$53,0)),1)</f>
        <v>69261</v>
      </c>
      <c r="E8" s="1">
        <f>ROUND(INDEX(加速度入力!$B$56:$AV$206,ROWS($A$5:$A8),MATCH(E$4,加速度入力!$B$53:$AV$53,0)),1)</f>
        <v>91410</v>
      </c>
      <c r="F8" s="1">
        <f>ROUND(INDEX(加速度入力!$B$56:$AV$206,ROWS($A$5:$A8),MATCH(F$4,加速度入力!$B$53:$AV$53,0)),1)</f>
        <v>69316</v>
      </c>
    </row>
    <row r="9" spans="1:6" x14ac:dyDescent="0.25">
      <c r="A9" s="1">
        <f>加速度入力!B60</f>
        <v>4</v>
      </c>
      <c r="B9" s="1">
        <f>ROUND(INDEX(加速度入力!$B$56:$AV$206,ROWS($A$5:$A9),MATCH(B$4,加速度入力!$B$53:$AV$53,0)),1)</f>
        <v>21110</v>
      </c>
      <c r="C9" s="1">
        <f>ROUND(INDEX(加速度入力!$B$56:$AV$206,ROWS($A$5:$A9),MATCH(C$4,加速度入力!$B$53:$AV$53,0)),1)</f>
        <v>45889</v>
      </c>
      <c r="D9" s="1">
        <f>ROUND(INDEX(加速度入力!$B$56:$AV$206,ROWS($A$5:$A9),MATCH(D$4,加速度入力!$B$53:$AV$53,0)),1)</f>
        <v>69261</v>
      </c>
      <c r="E9" s="1">
        <f>ROUND(INDEX(加速度入力!$B$56:$AV$206,ROWS($A$5:$A9),MATCH(E$4,加速度入力!$B$53:$AV$53,0)),1)</f>
        <v>91410</v>
      </c>
      <c r="F9" s="1">
        <f>ROUND(INDEX(加速度入力!$B$56:$AV$206,ROWS($A$5:$A9),MATCH(F$4,加速度入力!$B$53:$AV$53,0)),1)</f>
        <v>69316</v>
      </c>
    </row>
    <row r="10" spans="1:6" x14ac:dyDescent="0.25">
      <c r="A10" s="1">
        <f>加速度入力!B61</f>
        <v>5</v>
      </c>
      <c r="B10" s="1">
        <f>ROUND(INDEX(加速度入力!$B$56:$AV$206,ROWS($A$5:$A10),MATCH(B$4,加速度入力!$B$53:$AV$53,0)),1)</f>
        <v>21110</v>
      </c>
      <c r="C10" s="1">
        <f>ROUND(INDEX(加速度入力!$B$56:$AV$206,ROWS($A$5:$A10),MATCH(C$4,加速度入力!$B$53:$AV$53,0)),1)</f>
        <v>45889</v>
      </c>
      <c r="D10" s="1">
        <f>ROUND(INDEX(加速度入力!$B$56:$AV$206,ROWS($A$5:$A10),MATCH(D$4,加速度入力!$B$53:$AV$53,0)),1)</f>
        <v>69261</v>
      </c>
      <c r="E10" s="1">
        <f>ROUND(INDEX(加速度入力!$B$56:$AV$206,ROWS($A$5:$A10),MATCH(E$4,加速度入力!$B$53:$AV$53,0)),1)</f>
        <v>91410</v>
      </c>
      <c r="F10" s="1">
        <f>ROUND(INDEX(加速度入力!$B$56:$AV$206,ROWS($A$5:$A10),MATCH(F$4,加速度入力!$B$53:$AV$53,0)),1)</f>
        <v>69316</v>
      </c>
    </row>
    <row r="11" spans="1:6" x14ac:dyDescent="0.25">
      <c r="A11" s="1">
        <f>加速度入力!B62</f>
        <v>6</v>
      </c>
      <c r="B11" s="1">
        <f>ROUND(INDEX(加速度入力!$B$56:$AV$206,ROWS($A$5:$A11),MATCH(B$4,加速度入力!$B$53:$AV$53,0)),1)</f>
        <v>21110</v>
      </c>
      <c r="C11" s="1">
        <f>ROUND(INDEX(加速度入力!$B$56:$AV$206,ROWS($A$5:$A11),MATCH(C$4,加速度入力!$B$53:$AV$53,0)),1)</f>
        <v>45889</v>
      </c>
      <c r="D11" s="1">
        <f>ROUND(INDEX(加速度入力!$B$56:$AV$206,ROWS($A$5:$A11),MATCH(D$4,加速度入力!$B$53:$AV$53,0)),1)</f>
        <v>69261</v>
      </c>
      <c r="E11" s="1">
        <f>ROUND(INDEX(加速度入力!$B$56:$AV$206,ROWS($A$5:$A11),MATCH(E$4,加速度入力!$B$53:$AV$53,0)),1)</f>
        <v>91410</v>
      </c>
      <c r="F11" s="1">
        <f>ROUND(INDEX(加速度入力!$B$56:$AV$206,ROWS($A$5:$A11),MATCH(F$4,加速度入力!$B$53:$AV$53,0)),1)</f>
        <v>69316</v>
      </c>
    </row>
    <row r="12" spans="1:6" x14ac:dyDescent="0.25">
      <c r="A12" s="1">
        <f>加速度入力!B63</f>
        <v>7</v>
      </c>
      <c r="B12" s="1">
        <f>ROUND(INDEX(加速度入力!$B$56:$AV$206,ROWS($A$5:$A12),MATCH(B$4,加速度入力!$B$53:$AV$53,0)),1)</f>
        <v>14564.3</v>
      </c>
      <c r="C12" s="1">
        <f>ROUND(INDEX(加速度入力!$B$56:$AV$206,ROWS($A$5:$A12),MATCH(C$4,加速度入力!$B$53:$AV$53,0)),1)</f>
        <v>45889</v>
      </c>
      <c r="D12" s="1">
        <f>ROUND(INDEX(加速度入力!$B$56:$AV$206,ROWS($A$5:$A12),MATCH(D$4,加速度入力!$B$53:$AV$53,0)),1)</f>
        <v>69261</v>
      </c>
      <c r="E12" s="1">
        <f>ROUND(INDEX(加速度入力!$B$56:$AV$206,ROWS($A$5:$A12),MATCH(E$4,加速度入力!$B$53:$AV$53,0)),1)</f>
        <v>91410</v>
      </c>
      <c r="F12" s="1">
        <f>ROUND(INDEX(加速度入力!$B$56:$AV$206,ROWS($A$5:$A12),MATCH(F$4,加速度入力!$B$53:$AV$53,0)),1)</f>
        <v>69316</v>
      </c>
    </row>
    <row r="13" spans="1:6" x14ac:dyDescent="0.25">
      <c r="A13" s="1">
        <f>加速度入力!B64</f>
        <v>8</v>
      </c>
      <c r="B13" s="1">
        <f>ROUND(INDEX(加速度入力!$B$56:$AV$206,ROWS($A$5:$A13),MATCH(B$4,加速度入力!$B$53:$AV$53,0)),1)</f>
        <v>10430.6</v>
      </c>
      <c r="C13" s="1">
        <f>ROUND(INDEX(加速度入力!$B$56:$AV$206,ROWS($A$5:$A13),MATCH(C$4,加速度入力!$B$53:$AV$53,0)),1)</f>
        <v>45889</v>
      </c>
      <c r="D13" s="1">
        <f>ROUND(INDEX(加速度入力!$B$56:$AV$206,ROWS($A$5:$A13),MATCH(D$4,加速度入力!$B$53:$AV$53,0)),1)</f>
        <v>69261</v>
      </c>
      <c r="E13" s="1">
        <f>ROUND(INDEX(加速度入力!$B$56:$AV$206,ROWS($A$5:$A13),MATCH(E$4,加速度入力!$B$53:$AV$53,0)),1)</f>
        <v>91410</v>
      </c>
      <c r="F13" s="1">
        <f>ROUND(INDEX(加速度入力!$B$56:$AV$206,ROWS($A$5:$A13),MATCH(F$4,加速度入力!$B$53:$AV$53,0)),1)</f>
        <v>69316</v>
      </c>
    </row>
    <row r="14" spans="1:6" x14ac:dyDescent="0.25">
      <c r="A14" s="1">
        <f>加速度入力!B65</f>
        <v>9</v>
      </c>
      <c r="B14" s="1">
        <f>ROUND(INDEX(加速度入力!$B$56:$AV$206,ROWS($A$5:$A14),MATCH(B$4,加速度入力!$B$53:$AV$53,0)),1)</f>
        <v>7770.1</v>
      </c>
      <c r="C14" s="1">
        <f>ROUND(INDEX(加速度入力!$B$56:$AV$206,ROWS($A$5:$A14),MATCH(C$4,加速度入力!$B$53:$AV$53,0)),1)</f>
        <v>45889</v>
      </c>
      <c r="D14" s="1">
        <f>ROUND(INDEX(加速度入力!$B$56:$AV$206,ROWS($A$5:$A14),MATCH(D$4,加速度入力!$B$53:$AV$53,0)),1)</f>
        <v>69261</v>
      </c>
      <c r="E14" s="1">
        <f>ROUND(INDEX(加速度入力!$B$56:$AV$206,ROWS($A$5:$A14),MATCH(E$4,加速度入力!$B$53:$AV$53,0)),1)</f>
        <v>91410</v>
      </c>
      <c r="F14" s="1">
        <f>ROUND(INDEX(加速度入力!$B$56:$AV$206,ROWS($A$5:$A14),MATCH(F$4,加速度入力!$B$53:$AV$53,0)),1)</f>
        <v>69316</v>
      </c>
    </row>
    <row r="15" spans="1:6" x14ac:dyDescent="0.25">
      <c r="A15" s="1">
        <f>加速度入力!B66</f>
        <v>10</v>
      </c>
      <c r="B15" s="1">
        <f>ROUND(INDEX(加速度入力!$B$56:$AV$206,ROWS($A$5:$A15),MATCH(B$4,加速度入力!$B$53:$AV$53,0)),1)</f>
        <v>5970.8</v>
      </c>
      <c r="C15" s="1">
        <f>ROUND(INDEX(加速度入力!$B$56:$AV$206,ROWS($A$5:$A15),MATCH(C$4,加速度入力!$B$53:$AV$53,0)),1)</f>
        <v>45889</v>
      </c>
      <c r="D15" s="1">
        <f>ROUND(INDEX(加速度入力!$B$56:$AV$206,ROWS($A$5:$A15),MATCH(D$4,加速度入力!$B$53:$AV$53,0)),1)</f>
        <v>69261</v>
      </c>
      <c r="E15" s="1">
        <f>ROUND(INDEX(加速度入力!$B$56:$AV$206,ROWS($A$5:$A15),MATCH(E$4,加速度入力!$B$53:$AV$53,0)),1)</f>
        <v>91410</v>
      </c>
      <c r="F15" s="1">
        <f>ROUND(INDEX(加速度入力!$B$56:$AV$206,ROWS($A$5:$A15),MATCH(F$4,加速度入力!$B$53:$AV$53,0)),1)</f>
        <v>69316</v>
      </c>
    </row>
    <row r="16" spans="1:6" x14ac:dyDescent="0.25">
      <c r="A16" s="1">
        <f>加速度入力!B67</f>
        <v>11</v>
      </c>
      <c r="B16" s="1">
        <f>ROUND(INDEX(加速度入力!$B$56:$AV$206,ROWS($A$5:$A16),MATCH(B$4,加速度入力!$B$53:$AV$53,0)),1)</f>
        <v>4704.8999999999996</v>
      </c>
      <c r="C16" s="1">
        <f>ROUND(INDEX(加速度入力!$B$56:$AV$206,ROWS($A$5:$A16),MATCH(C$4,加速度入力!$B$53:$AV$53,0)),1)</f>
        <v>45889</v>
      </c>
      <c r="D16" s="1">
        <f>ROUND(INDEX(加速度入力!$B$56:$AV$206,ROWS($A$5:$A16),MATCH(D$4,加速度入力!$B$53:$AV$53,0)),1)</f>
        <v>69261</v>
      </c>
      <c r="E16" s="1">
        <f>ROUND(INDEX(加速度入力!$B$56:$AV$206,ROWS($A$5:$A16),MATCH(E$4,加速度入力!$B$53:$AV$53,0)),1)</f>
        <v>91410</v>
      </c>
      <c r="F16" s="1">
        <f>ROUND(INDEX(加速度入力!$B$56:$AV$206,ROWS($A$5:$A16),MATCH(F$4,加速度入力!$B$53:$AV$53,0)),1)</f>
        <v>69316</v>
      </c>
    </row>
    <row r="17" spans="1:6" x14ac:dyDescent="0.25">
      <c r="A17" s="1">
        <f>加速度入力!B68</f>
        <v>12</v>
      </c>
      <c r="B17" s="1">
        <f>ROUND(INDEX(加速度入力!$B$56:$AV$206,ROWS($A$5:$A17),MATCH(B$4,加速度入力!$B$53:$AV$53,0)),1)</f>
        <v>3785.1</v>
      </c>
      <c r="C17" s="1">
        <f>ROUND(INDEX(加速度入力!$B$56:$AV$206,ROWS($A$5:$A17),MATCH(C$4,加速度入力!$B$53:$AV$53,0)),1)</f>
        <v>45889</v>
      </c>
      <c r="D17" s="1">
        <f>ROUND(INDEX(加速度入力!$B$56:$AV$206,ROWS($A$5:$A17),MATCH(D$4,加速度入力!$B$53:$AV$53,0)),1)</f>
        <v>69261</v>
      </c>
      <c r="E17" s="1">
        <f>ROUND(INDEX(加速度入力!$B$56:$AV$206,ROWS($A$5:$A17),MATCH(E$4,加速度入力!$B$53:$AV$53,0)),1)</f>
        <v>91410</v>
      </c>
      <c r="F17" s="1">
        <f>ROUND(INDEX(加速度入力!$B$56:$AV$206,ROWS($A$5:$A17),MATCH(F$4,加速度入力!$B$53:$AV$53,0)),1)</f>
        <v>69316</v>
      </c>
    </row>
    <row r="18" spans="1:6" x14ac:dyDescent="0.25">
      <c r="A18" s="1">
        <f>加速度入力!B69</f>
        <v>13</v>
      </c>
      <c r="B18" s="1">
        <f>ROUND(INDEX(加速度入力!$B$56:$AV$206,ROWS($A$5:$A18),MATCH(B$4,加速度入力!$B$53:$AV$53,0)),1)</f>
        <v>3098.7</v>
      </c>
      <c r="C18" s="1">
        <f>ROUND(INDEX(加速度入力!$B$56:$AV$206,ROWS($A$5:$A18),MATCH(C$4,加速度入力!$B$53:$AV$53,0)),1)</f>
        <v>45889</v>
      </c>
      <c r="D18" s="1">
        <f>ROUND(INDEX(加速度入力!$B$56:$AV$206,ROWS($A$5:$A18),MATCH(D$4,加速度入力!$B$53:$AV$53,0)),1)</f>
        <v>69261</v>
      </c>
      <c r="E18" s="1">
        <f>ROUND(INDEX(加速度入力!$B$56:$AV$206,ROWS($A$5:$A18),MATCH(E$4,加速度入力!$B$53:$AV$53,0)),1)</f>
        <v>91410</v>
      </c>
      <c r="F18" s="1">
        <f>ROUND(INDEX(加速度入力!$B$56:$AV$206,ROWS($A$5:$A18),MATCH(F$4,加速度入力!$B$53:$AV$53,0)),1)</f>
        <v>69316</v>
      </c>
    </row>
    <row r="19" spans="1:6" x14ac:dyDescent="0.25">
      <c r="A19" s="1">
        <f>加速度入力!B70</f>
        <v>14</v>
      </c>
      <c r="B19" s="1">
        <f>ROUND(INDEX(加速度入力!$B$56:$AV$206,ROWS($A$5:$A19),MATCH(B$4,加速度入力!$B$53:$AV$53,0)),1)</f>
        <v>2574.6</v>
      </c>
      <c r="C19" s="1">
        <f>ROUND(INDEX(加速度入力!$B$56:$AV$206,ROWS($A$5:$A19),MATCH(C$4,加速度入力!$B$53:$AV$53,0)),1)</f>
        <v>45889</v>
      </c>
      <c r="D19" s="1">
        <f>ROUND(INDEX(加速度入力!$B$56:$AV$206,ROWS($A$5:$A19),MATCH(D$4,加速度入力!$B$53:$AV$53,0)),1)</f>
        <v>69261</v>
      </c>
      <c r="E19" s="1">
        <f>ROUND(INDEX(加速度入力!$B$56:$AV$206,ROWS($A$5:$A19),MATCH(E$4,加速度入力!$B$53:$AV$53,0)),1)</f>
        <v>91410</v>
      </c>
      <c r="F19" s="1">
        <f>ROUND(INDEX(加速度入力!$B$56:$AV$206,ROWS($A$5:$A19),MATCH(F$4,加速度入力!$B$53:$AV$53,0)),1)</f>
        <v>69316</v>
      </c>
    </row>
    <row r="20" spans="1:6" x14ac:dyDescent="0.25">
      <c r="A20" s="1">
        <f>加速度入力!B71</f>
        <v>15</v>
      </c>
      <c r="B20" s="1">
        <f>ROUND(INDEX(加速度入力!$B$56:$AV$206,ROWS($A$5:$A20),MATCH(B$4,加速度入力!$B$53:$AV$53,0)),1)</f>
        <v>2166.6999999999998</v>
      </c>
      <c r="C20" s="1">
        <f>ROUND(INDEX(加速度入力!$B$56:$AV$206,ROWS($A$5:$A20),MATCH(C$4,加速度入力!$B$53:$AV$53,0)),1)</f>
        <v>45889</v>
      </c>
      <c r="D20" s="1">
        <f>ROUND(INDEX(加速度入力!$B$56:$AV$206,ROWS($A$5:$A20),MATCH(D$4,加速度入力!$B$53:$AV$53,0)),1)</f>
        <v>69261</v>
      </c>
      <c r="E20" s="1">
        <f>ROUND(INDEX(加速度入力!$B$56:$AV$206,ROWS($A$5:$A20),MATCH(E$4,加速度入力!$B$53:$AV$53,0)),1)</f>
        <v>91410</v>
      </c>
      <c r="F20" s="1">
        <f>ROUND(INDEX(加速度入力!$B$56:$AV$206,ROWS($A$5:$A20),MATCH(F$4,加速度入力!$B$53:$AV$53,0)),1)</f>
        <v>69316</v>
      </c>
    </row>
    <row r="21" spans="1:6" x14ac:dyDescent="0.25">
      <c r="A21" s="1">
        <f>加速度入力!B72</f>
        <v>16</v>
      </c>
      <c r="B21" s="1">
        <f>ROUND(INDEX(加速度入力!$B$56:$AV$206,ROWS($A$5:$A21),MATCH(B$4,加速度入力!$B$53:$AV$53,0)),1)</f>
        <v>1843.9</v>
      </c>
      <c r="C21" s="1">
        <f>ROUND(INDEX(加速度入力!$B$56:$AV$206,ROWS($A$5:$A21),MATCH(C$4,加速度入力!$B$53:$AV$53,0)),1)</f>
        <v>45889</v>
      </c>
      <c r="D21" s="1">
        <f>ROUND(INDEX(加速度入力!$B$56:$AV$206,ROWS($A$5:$A21),MATCH(D$4,加速度入力!$B$53:$AV$53,0)),1)</f>
        <v>69261</v>
      </c>
      <c r="E21" s="1">
        <f>ROUND(INDEX(加速度入力!$B$56:$AV$206,ROWS($A$5:$A21),MATCH(E$4,加速度入力!$B$53:$AV$53,0)),1)</f>
        <v>91410</v>
      </c>
      <c r="F21" s="1">
        <f>ROUND(INDEX(加速度入力!$B$56:$AV$206,ROWS($A$5:$A21),MATCH(F$4,加速度入力!$B$53:$AV$53,0)),1)</f>
        <v>69316</v>
      </c>
    </row>
    <row r="22" spans="1:6" x14ac:dyDescent="0.25">
      <c r="A22" s="1">
        <f>加速度入力!B73</f>
        <v>17</v>
      </c>
      <c r="B22" s="1">
        <f>ROUND(INDEX(加速度入力!$B$56:$AV$206,ROWS($A$5:$A22),MATCH(B$4,加速度入力!$B$53:$AV$53,0)),1)</f>
        <v>1584.6</v>
      </c>
      <c r="C22" s="1">
        <f>ROUND(INDEX(加速度入力!$B$56:$AV$206,ROWS($A$5:$A22),MATCH(C$4,加速度入力!$B$53:$AV$53,0)),1)</f>
        <v>45889</v>
      </c>
      <c r="D22" s="1">
        <f>ROUND(INDEX(加速度入力!$B$56:$AV$206,ROWS($A$5:$A22),MATCH(D$4,加速度入力!$B$53:$AV$53,0)),1)</f>
        <v>69261</v>
      </c>
      <c r="E22" s="1">
        <f>ROUND(INDEX(加速度入力!$B$56:$AV$206,ROWS($A$5:$A22),MATCH(E$4,加速度入力!$B$53:$AV$53,0)),1)</f>
        <v>91410</v>
      </c>
      <c r="F22" s="1">
        <f>ROUND(INDEX(加速度入力!$B$56:$AV$206,ROWS($A$5:$A22),MATCH(F$4,加速度入力!$B$53:$AV$53,0)),1)</f>
        <v>69316</v>
      </c>
    </row>
    <row r="23" spans="1:6" x14ac:dyDescent="0.25">
      <c r="A23" s="1">
        <f>加速度入力!B74</f>
        <v>18</v>
      </c>
      <c r="B23" s="1">
        <f>ROUND(INDEX(加速度入力!$B$56:$AV$206,ROWS($A$5:$A23),MATCH(B$4,加速度入力!$B$53:$AV$53,0)),1)</f>
        <v>1373.6</v>
      </c>
      <c r="C23" s="1">
        <f>ROUND(INDEX(加速度入力!$B$56:$AV$206,ROWS($A$5:$A23),MATCH(C$4,加速度入力!$B$53:$AV$53,0)),1)</f>
        <v>45889</v>
      </c>
      <c r="D23" s="1">
        <f>ROUND(INDEX(加速度入力!$B$56:$AV$206,ROWS($A$5:$A23),MATCH(D$4,加速度入力!$B$53:$AV$53,0)),1)</f>
        <v>69261</v>
      </c>
      <c r="E23" s="1">
        <f>ROUND(INDEX(加速度入力!$B$56:$AV$206,ROWS($A$5:$A23),MATCH(E$4,加速度入力!$B$53:$AV$53,0)),1)</f>
        <v>91410</v>
      </c>
      <c r="F23" s="1">
        <f>ROUND(INDEX(加速度入力!$B$56:$AV$206,ROWS($A$5:$A23),MATCH(F$4,加速度入力!$B$53:$AV$53,0)),1)</f>
        <v>69316</v>
      </c>
    </row>
    <row r="24" spans="1:6" x14ac:dyDescent="0.25">
      <c r="A24" s="1">
        <f>加速度入力!B75</f>
        <v>19</v>
      </c>
      <c r="B24" s="1">
        <f>ROUND(INDEX(加速度入力!$B$56:$AV$206,ROWS($A$5:$A24),MATCH(B$4,加速度入力!$B$53:$AV$53,0)),1)</f>
        <v>1199.9000000000001</v>
      </c>
      <c r="C24" s="1">
        <f>ROUND(INDEX(加速度入力!$B$56:$AV$206,ROWS($A$5:$A24),MATCH(C$4,加速度入力!$B$53:$AV$53,0)),1)</f>
        <v>45889</v>
      </c>
      <c r="D24" s="1">
        <f>ROUND(INDEX(加速度入力!$B$56:$AV$206,ROWS($A$5:$A24),MATCH(D$4,加速度入力!$B$53:$AV$53,0)),1)</f>
        <v>69261</v>
      </c>
      <c r="E24" s="1">
        <f>ROUND(INDEX(加速度入力!$B$56:$AV$206,ROWS($A$5:$A24),MATCH(E$4,加速度入力!$B$53:$AV$53,0)),1)</f>
        <v>91410</v>
      </c>
      <c r="F24" s="1">
        <f>ROUND(INDEX(加速度入力!$B$56:$AV$206,ROWS($A$5:$A24),MATCH(F$4,加速度入力!$B$53:$AV$53,0)),1)</f>
        <v>69316</v>
      </c>
    </row>
    <row r="25" spans="1:6" x14ac:dyDescent="0.25">
      <c r="A25" s="1">
        <f>加速度入力!B76</f>
        <v>20</v>
      </c>
      <c r="B25" s="1">
        <f>ROUND(INDEX(加速度入力!$B$56:$AV$206,ROWS($A$5:$A25),MATCH(B$4,加速度入力!$B$53:$AV$53,0)),1)</f>
        <v>1055.5</v>
      </c>
      <c r="C25" s="1">
        <f>ROUND(INDEX(加速度入力!$B$56:$AV$206,ROWS($A$5:$A25),MATCH(C$4,加速度入力!$B$53:$AV$53,0)),1)</f>
        <v>45889</v>
      </c>
      <c r="D25" s="1">
        <f>ROUND(INDEX(加速度入力!$B$56:$AV$206,ROWS($A$5:$A25),MATCH(D$4,加速度入力!$B$53:$AV$53,0)),1)</f>
        <v>69261</v>
      </c>
      <c r="E25" s="1">
        <f>ROUND(INDEX(加速度入力!$B$56:$AV$206,ROWS($A$5:$A25),MATCH(E$4,加速度入力!$B$53:$AV$53,0)),1)</f>
        <v>91410</v>
      </c>
      <c r="F25" s="1">
        <f>ROUND(INDEX(加速度入力!$B$56:$AV$206,ROWS($A$5:$A25),MATCH(F$4,加速度入力!$B$53:$AV$53,0)),1)</f>
        <v>69316</v>
      </c>
    </row>
    <row r="26" spans="1:6" x14ac:dyDescent="0.25">
      <c r="A26" s="1">
        <f>加速度入力!B77</f>
        <v>21</v>
      </c>
      <c r="B26" s="1">
        <f>ROUND(INDEX(加速度入力!$B$56:$AV$206,ROWS($A$5:$A26),MATCH(B$4,加速度入力!$B$53:$AV$53,0)),1)</f>
        <v>934.3</v>
      </c>
      <c r="C26" s="1">
        <f>ROUND(INDEX(加速度入力!$B$56:$AV$206,ROWS($A$5:$A26),MATCH(C$4,加速度入力!$B$53:$AV$53,0)),1)</f>
        <v>45889</v>
      </c>
      <c r="D26" s="1">
        <f>ROUND(INDEX(加速度入力!$B$56:$AV$206,ROWS($A$5:$A26),MATCH(D$4,加速度入力!$B$53:$AV$53,0)),1)</f>
        <v>69261</v>
      </c>
      <c r="E26" s="1">
        <f>ROUND(INDEX(加速度入力!$B$56:$AV$206,ROWS($A$5:$A26),MATCH(E$4,加速度入力!$B$53:$AV$53,0)),1)</f>
        <v>91410</v>
      </c>
      <c r="F26" s="1">
        <f>ROUND(INDEX(加速度入力!$B$56:$AV$206,ROWS($A$5:$A26),MATCH(F$4,加速度入力!$B$53:$AV$53,0)),1)</f>
        <v>69316</v>
      </c>
    </row>
    <row r="27" spans="1:6" x14ac:dyDescent="0.25">
      <c r="A27" s="1">
        <f>加速度入力!B78</f>
        <v>22</v>
      </c>
      <c r="B27" s="1">
        <f>ROUND(INDEX(加速度入力!$B$56:$AV$206,ROWS($A$5:$A27),MATCH(B$4,加速度入力!$B$53:$AV$53,0)),1)</f>
        <v>831.7</v>
      </c>
      <c r="C27" s="1">
        <f>ROUND(INDEX(加速度入力!$B$56:$AV$206,ROWS($A$5:$A27),MATCH(C$4,加速度入力!$B$53:$AV$53,0)),1)</f>
        <v>45889</v>
      </c>
      <c r="D27" s="1">
        <f>ROUND(INDEX(加速度入力!$B$56:$AV$206,ROWS($A$5:$A27),MATCH(D$4,加速度入力!$B$53:$AV$53,0)),1)</f>
        <v>69261</v>
      </c>
      <c r="E27" s="1">
        <f>ROUND(INDEX(加速度入力!$B$56:$AV$206,ROWS($A$5:$A27),MATCH(E$4,加速度入力!$B$53:$AV$53,0)),1)</f>
        <v>91410</v>
      </c>
      <c r="F27" s="1">
        <f>ROUND(INDEX(加速度入力!$B$56:$AV$206,ROWS($A$5:$A27),MATCH(F$4,加速度入力!$B$53:$AV$53,0)),1)</f>
        <v>69316</v>
      </c>
    </row>
    <row r="28" spans="1:6" x14ac:dyDescent="0.25">
      <c r="A28" s="1">
        <f>加速度入力!B79</f>
        <v>23</v>
      </c>
      <c r="B28" s="1">
        <f>ROUND(INDEX(加速度入力!$B$56:$AV$206,ROWS($A$5:$A28),MATCH(B$4,加速度入力!$B$53:$AV$53,0)),1)</f>
        <v>744.2</v>
      </c>
      <c r="C28" s="1">
        <f>ROUND(INDEX(加速度入力!$B$56:$AV$206,ROWS($A$5:$A28),MATCH(C$4,加速度入力!$B$53:$AV$53,0)),1)</f>
        <v>43269</v>
      </c>
      <c r="D28" s="1">
        <f>ROUND(INDEX(加速度入力!$B$56:$AV$206,ROWS($A$5:$A28),MATCH(D$4,加速度入力!$B$53:$AV$53,0)),1)</f>
        <v>69261</v>
      </c>
      <c r="E28" s="1">
        <f>ROUND(INDEX(加速度入力!$B$56:$AV$206,ROWS($A$5:$A28),MATCH(E$4,加速度入力!$B$53:$AV$53,0)),1)</f>
        <v>91410</v>
      </c>
      <c r="F28" s="1">
        <f>ROUND(INDEX(加速度入力!$B$56:$AV$206,ROWS($A$5:$A28),MATCH(F$4,加速度入力!$B$53:$AV$53,0)),1)</f>
        <v>69316</v>
      </c>
    </row>
    <row r="29" spans="1:6" x14ac:dyDescent="0.25">
      <c r="A29" s="1">
        <f>加速度入力!B80</f>
        <v>24</v>
      </c>
      <c r="B29" s="1">
        <f>ROUND(INDEX(加速度入力!$B$56:$AV$206,ROWS($A$5:$A29),MATCH(B$4,加速度入力!$B$53:$AV$53,0)),1)</f>
        <v>669.1</v>
      </c>
      <c r="C29" s="1">
        <f>ROUND(INDEX(加速度入力!$B$56:$AV$206,ROWS($A$5:$A29),MATCH(C$4,加速度入力!$B$53:$AV$53,0)),1)</f>
        <v>40455.1</v>
      </c>
      <c r="D29" s="1">
        <f>ROUND(INDEX(加速度入力!$B$56:$AV$206,ROWS($A$5:$A29),MATCH(D$4,加速度入力!$B$53:$AV$53,0)),1)</f>
        <v>69261</v>
      </c>
      <c r="E29" s="1">
        <f>ROUND(INDEX(加速度入力!$B$56:$AV$206,ROWS($A$5:$A29),MATCH(E$4,加速度入力!$B$53:$AV$53,0)),1)</f>
        <v>91410</v>
      </c>
      <c r="F29" s="1">
        <f>ROUND(INDEX(加速度入力!$B$56:$AV$206,ROWS($A$5:$A29),MATCH(F$4,加速度入力!$B$53:$AV$53,0)),1)</f>
        <v>69316</v>
      </c>
    </row>
    <row r="30" spans="1:6" x14ac:dyDescent="0.25">
      <c r="A30" s="1">
        <f>加速度入力!B81</f>
        <v>25</v>
      </c>
      <c r="B30" s="1">
        <f>ROUND(INDEX(加速度入力!$B$56:$AV$206,ROWS($A$5:$A30),MATCH(B$4,加速度入力!$B$53:$AV$53,0)),1)</f>
        <v>604.20000000000005</v>
      </c>
      <c r="C30" s="1">
        <f>ROUND(INDEX(加速度入力!$B$56:$AV$206,ROWS($A$5:$A30),MATCH(C$4,加速度入力!$B$53:$AV$53,0)),1)</f>
        <v>37928.1</v>
      </c>
      <c r="D30" s="1">
        <f>ROUND(INDEX(加速度入力!$B$56:$AV$206,ROWS($A$5:$A30),MATCH(D$4,加速度入力!$B$53:$AV$53,0)),1)</f>
        <v>69261</v>
      </c>
      <c r="E30" s="1">
        <f>ROUND(INDEX(加速度入力!$B$56:$AV$206,ROWS($A$5:$A30),MATCH(E$4,加速度入力!$B$53:$AV$53,0)),1)</f>
        <v>91410</v>
      </c>
      <c r="F30" s="1">
        <f>ROUND(INDEX(加速度入力!$B$56:$AV$206,ROWS($A$5:$A30),MATCH(F$4,加速度入力!$B$53:$AV$53,0)),1)</f>
        <v>69316</v>
      </c>
    </row>
    <row r="31" spans="1:6" x14ac:dyDescent="0.25">
      <c r="A31" s="1">
        <f>加速度入力!B82</f>
        <v>26</v>
      </c>
      <c r="B31" s="1">
        <f>ROUND(INDEX(加速度入力!$B$56:$AV$206,ROWS($A$5:$A31),MATCH(B$4,加速度入力!$B$53:$AV$53,0)),1)</f>
        <v>547.79999999999995</v>
      </c>
      <c r="C31" s="1">
        <f>ROUND(INDEX(加速度入力!$B$56:$AV$206,ROWS($A$5:$A31),MATCH(C$4,加速度入力!$B$53:$AV$53,0)),1)</f>
        <v>35649.1</v>
      </c>
      <c r="D31" s="1">
        <f>ROUND(INDEX(加速度入力!$B$56:$AV$206,ROWS($A$5:$A31),MATCH(D$4,加速度入力!$B$53:$AV$53,0)),1)</f>
        <v>69261</v>
      </c>
      <c r="E31" s="1">
        <f>ROUND(INDEX(加速度入力!$B$56:$AV$206,ROWS($A$5:$A31),MATCH(E$4,加速度入力!$B$53:$AV$53,0)),1)</f>
        <v>91410</v>
      </c>
      <c r="F31" s="1">
        <f>ROUND(INDEX(加速度入力!$B$56:$AV$206,ROWS($A$5:$A31),MATCH(F$4,加速度入力!$B$53:$AV$53,0)),1)</f>
        <v>69316</v>
      </c>
    </row>
    <row r="32" spans="1:6" x14ac:dyDescent="0.25">
      <c r="A32" s="1">
        <f>加速度入力!B83</f>
        <v>27</v>
      </c>
      <c r="B32" s="1">
        <f>ROUND(INDEX(加速度入力!$B$56:$AV$206,ROWS($A$5:$A32),MATCH(B$4,加速度入力!$B$53:$AV$53,0)),1)</f>
        <v>498.5</v>
      </c>
      <c r="C32" s="1">
        <f>ROUND(INDEX(加速度入力!$B$56:$AV$206,ROWS($A$5:$A32),MATCH(C$4,加速度入力!$B$53:$AV$53,0)),1)</f>
        <v>33585.5</v>
      </c>
      <c r="D32" s="1">
        <f>ROUND(INDEX(加速度入力!$B$56:$AV$206,ROWS($A$5:$A32),MATCH(D$4,加速度入力!$B$53:$AV$53,0)),1)</f>
        <v>69261</v>
      </c>
      <c r="E32" s="1">
        <f>ROUND(INDEX(加速度入力!$B$56:$AV$206,ROWS($A$5:$A32),MATCH(E$4,加速度入力!$B$53:$AV$53,0)),1)</f>
        <v>91410</v>
      </c>
      <c r="F32" s="1">
        <f>ROUND(INDEX(加速度入力!$B$56:$AV$206,ROWS($A$5:$A32),MATCH(F$4,加速度入力!$B$53:$AV$53,0)),1)</f>
        <v>69316</v>
      </c>
    </row>
    <row r="33" spans="1:6" x14ac:dyDescent="0.25">
      <c r="A33" s="1">
        <f>加速度入力!B84</f>
        <v>28</v>
      </c>
      <c r="B33" s="1">
        <f>ROUND(INDEX(加速度入力!$B$56:$AV$206,ROWS($A$5:$A33),MATCH(B$4,加速度入力!$B$53:$AV$53,0)),1)</f>
        <v>455.1</v>
      </c>
      <c r="C33" s="1">
        <f>ROUND(INDEX(加速度入力!$B$56:$AV$206,ROWS($A$5:$A33),MATCH(C$4,加速度入力!$B$53:$AV$53,0)),1)</f>
        <v>31710.1</v>
      </c>
      <c r="D33" s="1">
        <f>ROUND(INDEX(加速度入力!$B$56:$AV$206,ROWS($A$5:$A33),MATCH(D$4,加速度入力!$B$53:$AV$53,0)),1)</f>
        <v>69261</v>
      </c>
      <c r="E33" s="1">
        <f>ROUND(INDEX(加速度入力!$B$56:$AV$206,ROWS($A$5:$A33),MATCH(E$4,加速度入力!$B$53:$AV$53,0)),1)</f>
        <v>91410</v>
      </c>
      <c r="F33" s="1">
        <f>ROUND(INDEX(加速度入力!$B$56:$AV$206,ROWS($A$5:$A33),MATCH(F$4,加速度入力!$B$53:$AV$53,0)),1)</f>
        <v>69316</v>
      </c>
    </row>
    <row r="34" spans="1:6" x14ac:dyDescent="0.25">
      <c r="A34" s="1">
        <f>加速度入力!B85</f>
        <v>29</v>
      </c>
      <c r="B34" s="1">
        <f>ROUND(INDEX(加速度入力!$B$56:$AV$206,ROWS($A$5:$A34),MATCH(B$4,加速度入力!$B$53:$AV$53,0)),1)</f>
        <v>416.9</v>
      </c>
      <c r="C34" s="1">
        <f>ROUND(INDEX(加速度入力!$B$56:$AV$206,ROWS($A$5:$A34),MATCH(C$4,加速度入力!$B$53:$AV$53,0)),1)</f>
        <v>29999.8</v>
      </c>
      <c r="D34" s="1">
        <f>ROUND(INDEX(加速度入力!$B$56:$AV$206,ROWS($A$5:$A34),MATCH(D$4,加速度入力!$B$53:$AV$53,0)),1)</f>
        <v>69261</v>
      </c>
      <c r="E34" s="1">
        <f>ROUND(INDEX(加速度入力!$B$56:$AV$206,ROWS($A$5:$A34),MATCH(E$4,加速度入力!$B$53:$AV$53,0)),1)</f>
        <v>91410</v>
      </c>
      <c r="F34" s="1">
        <f>ROUND(INDEX(加速度入力!$B$56:$AV$206,ROWS($A$5:$A34),MATCH(F$4,加速度入力!$B$53:$AV$53,0)),1)</f>
        <v>69316</v>
      </c>
    </row>
    <row r="35" spans="1:6" x14ac:dyDescent="0.25">
      <c r="A35" s="1">
        <f>加速度入力!B86</f>
        <v>30</v>
      </c>
      <c r="B35" s="1">
        <f>ROUND(INDEX(加速度入力!$B$56:$AV$206,ROWS($A$5:$A35),MATCH(B$4,加速度入力!$B$53:$AV$53,0)),1)</f>
        <v>383</v>
      </c>
      <c r="C35" s="1">
        <f>ROUND(INDEX(加速度入力!$B$56:$AV$206,ROWS($A$5:$A35),MATCH(C$4,加速度入力!$B$53:$AV$53,0)),1)</f>
        <v>28435.1</v>
      </c>
      <c r="D35" s="1">
        <f>ROUND(INDEX(加速度入力!$B$56:$AV$206,ROWS($A$5:$A35),MATCH(D$4,加速度入力!$B$53:$AV$53,0)),1)</f>
        <v>69261</v>
      </c>
      <c r="E35" s="1">
        <f>ROUND(INDEX(加速度入力!$B$56:$AV$206,ROWS($A$5:$A35),MATCH(E$4,加速度入力!$B$53:$AV$53,0)),1)</f>
        <v>91410</v>
      </c>
      <c r="F35" s="1">
        <f>ROUND(INDEX(加速度入力!$B$56:$AV$206,ROWS($A$5:$A35),MATCH(F$4,加速度入力!$B$53:$AV$53,0)),1)</f>
        <v>69316</v>
      </c>
    </row>
    <row r="36" spans="1:6" x14ac:dyDescent="0.25">
      <c r="A36" s="1">
        <f>加速度入力!B87</f>
        <v>31</v>
      </c>
      <c r="B36" s="1">
        <f>ROUND(INDEX(加速度入力!$B$56:$AV$206,ROWS($A$5:$A36),MATCH(B$4,加速度入力!$B$53:$AV$53,0)),1)</f>
        <v>352.9</v>
      </c>
      <c r="C36" s="1">
        <f>ROUND(INDEX(加速度入力!$B$56:$AV$206,ROWS($A$5:$A36),MATCH(C$4,加速度入力!$B$53:$AV$53,0)),1)</f>
        <v>26999.5</v>
      </c>
      <c r="D36" s="1">
        <f>ROUND(INDEX(加速度入力!$B$56:$AV$206,ROWS($A$5:$A36),MATCH(D$4,加速度入力!$B$53:$AV$53,0)),1)</f>
        <v>69261</v>
      </c>
      <c r="E36" s="1">
        <f>ROUND(INDEX(加速度入力!$B$56:$AV$206,ROWS($A$5:$A36),MATCH(E$4,加速度入力!$B$53:$AV$53,0)),1)</f>
        <v>91410</v>
      </c>
      <c r="F36" s="1">
        <f>ROUND(INDEX(加速度入力!$B$56:$AV$206,ROWS($A$5:$A36),MATCH(F$4,加速度入力!$B$53:$AV$53,0)),1)</f>
        <v>69316</v>
      </c>
    </row>
    <row r="37" spans="1:6" x14ac:dyDescent="0.25">
      <c r="A37" s="1">
        <f>加速度入力!B88</f>
        <v>32</v>
      </c>
      <c r="B37" s="1">
        <f>ROUND(INDEX(加速度入力!$B$56:$AV$206,ROWS($A$5:$A37),MATCH(B$4,加速度入力!$B$53:$AV$53,0)),1)</f>
        <v>326</v>
      </c>
      <c r="C37" s="1">
        <f>ROUND(INDEX(加速度入力!$B$56:$AV$206,ROWS($A$5:$A37),MATCH(C$4,加速度入力!$B$53:$AV$53,0)),1)</f>
        <v>25678.5</v>
      </c>
      <c r="D37" s="1">
        <f>ROUND(INDEX(加速度入力!$B$56:$AV$206,ROWS($A$5:$A37),MATCH(D$4,加速度入力!$B$53:$AV$53,0)),1)</f>
        <v>69261</v>
      </c>
      <c r="E37" s="1">
        <f>ROUND(INDEX(加速度入力!$B$56:$AV$206,ROWS($A$5:$A37),MATCH(E$4,加速度入力!$B$53:$AV$53,0)),1)</f>
        <v>91410</v>
      </c>
      <c r="F37" s="1">
        <f>ROUND(INDEX(加速度入力!$B$56:$AV$206,ROWS($A$5:$A37),MATCH(F$4,加速度入力!$B$53:$AV$53,0)),1)</f>
        <v>69316</v>
      </c>
    </row>
    <row r="38" spans="1:6" x14ac:dyDescent="0.25">
      <c r="A38" s="1">
        <f>加速度入力!B89</f>
        <v>33</v>
      </c>
      <c r="B38" s="1">
        <f>ROUND(INDEX(加速度入力!$B$56:$AV$206,ROWS($A$5:$A38),MATCH(B$4,加速度入力!$B$53:$AV$53,0)),1)</f>
        <v>301.8</v>
      </c>
      <c r="C38" s="1">
        <f>ROUND(INDEX(加速度入力!$B$56:$AV$206,ROWS($A$5:$A38),MATCH(C$4,加速度入力!$B$53:$AV$53,0)),1)</f>
        <v>24459.9</v>
      </c>
      <c r="D38" s="1">
        <f>ROUND(INDEX(加速度入力!$B$56:$AV$206,ROWS($A$5:$A38),MATCH(D$4,加速度入力!$B$53:$AV$53,0)),1)</f>
        <v>69261</v>
      </c>
      <c r="E38" s="1">
        <f>ROUND(INDEX(加速度入力!$B$56:$AV$206,ROWS($A$5:$A38),MATCH(E$4,加速度入力!$B$53:$AV$53,0)),1)</f>
        <v>91410</v>
      </c>
      <c r="F38" s="1">
        <f>ROUND(INDEX(加速度入力!$B$56:$AV$206,ROWS($A$5:$A38),MATCH(F$4,加速度入力!$B$53:$AV$53,0)),1)</f>
        <v>69316</v>
      </c>
    </row>
    <row r="39" spans="1:6" x14ac:dyDescent="0.25">
      <c r="A39" s="1">
        <f>加速度入力!B90</f>
        <v>34</v>
      </c>
      <c r="B39" s="1">
        <f>ROUND(INDEX(加速度入力!$B$56:$AV$206,ROWS($A$5:$A39),MATCH(B$4,加速度入力!$B$53:$AV$53,0)),1)</f>
        <v>280.10000000000002</v>
      </c>
      <c r="C39" s="1">
        <f>ROUND(INDEX(加速度入力!$B$56:$AV$206,ROWS($A$5:$A39),MATCH(C$4,加速度入力!$B$53:$AV$53,0)),1)</f>
        <v>23333</v>
      </c>
      <c r="D39" s="1">
        <f>ROUND(INDEX(加速度入力!$B$56:$AV$206,ROWS($A$5:$A39),MATCH(D$4,加速度入力!$B$53:$AV$53,0)),1)</f>
        <v>69261</v>
      </c>
      <c r="E39" s="1">
        <f>ROUND(INDEX(加速度入力!$B$56:$AV$206,ROWS($A$5:$A39),MATCH(E$4,加速度入力!$B$53:$AV$53,0)),1)</f>
        <v>91410</v>
      </c>
      <c r="F39" s="1">
        <f>ROUND(INDEX(加速度入力!$B$56:$AV$206,ROWS($A$5:$A39),MATCH(F$4,加速度入力!$B$53:$AV$53,0)),1)</f>
        <v>69316</v>
      </c>
    </row>
    <row r="40" spans="1:6" x14ac:dyDescent="0.25">
      <c r="A40" s="1">
        <f>加速度入力!B91</f>
        <v>35</v>
      </c>
      <c r="B40" s="1">
        <f>ROUND(INDEX(加速度入力!$B$56:$AV$206,ROWS($A$5:$A40),MATCH(B$4,加速度入力!$B$53:$AV$53,0)),1)</f>
        <v>260.5</v>
      </c>
      <c r="C40" s="1">
        <f>ROUND(INDEX(加速度入力!$B$56:$AV$206,ROWS($A$5:$A40),MATCH(C$4,加速度入力!$B$53:$AV$53,0)),1)</f>
        <v>22288.400000000001</v>
      </c>
      <c r="D40" s="1">
        <f>ROUND(INDEX(加速度入力!$B$56:$AV$206,ROWS($A$5:$A40),MATCH(D$4,加速度入力!$B$53:$AV$53,0)),1)</f>
        <v>69261</v>
      </c>
      <c r="E40" s="1">
        <f>ROUND(INDEX(加速度入力!$B$56:$AV$206,ROWS($A$5:$A40),MATCH(E$4,加速度入力!$B$53:$AV$53,0)),1)</f>
        <v>91410</v>
      </c>
      <c r="F40" s="1">
        <f>ROUND(INDEX(加速度入力!$B$56:$AV$206,ROWS($A$5:$A40),MATCH(F$4,加速度入力!$B$53:$AV$53,0)),1)</f>
        <v>69316</v>
      </c>
    </row>
    <row r="41" spans="1:6" x14ac:dyDescent="0.25">
      <c r="A41" s="1">
        <f>加速度入力!B92</f>
        <v>36</v>
      </c>
      <c r="B41" s="1">
        <f>ROUND(INDEX(加速度入力!$B$56:$AV$206,ROWS($A$5:$A41),MATCH(B$4,加速度入力!$B$53:$AV$53,0)),1)</f>
        <v>242.8</v>
      </c>
      <c r="C41" s="1">
        <f>ROUND(INDEX(加速度入力!$B$56:$AV$206,ROWS($A$5:$A41),MATCH(C$4,加速度入力!$B$53:$AV$53,0)),1)</f>
        <v>21318.1</v>
      </c>
      <c r="D41" s="1">
        <f>ROUND(INDEX(加速度入力!$B$56:$AV$206,ROWS($A$5:$A41),MATCH(D$4,加速度入力!$B$53:$AV$53,0)),1)</f>
        <v>67337.100000000006</v>
      </c>
      <c r="E41" s="1">
        <f>ROUND(INDEX(加速度入力!$B$56:$AV$206,ROWS($A$5:$A41),MATCH(E$4,加速度入力!$B$53:$AV$53,0)),1)</f>
        <v>91410</v>
      </c>
      <c r="F41" s="1">
        <f>ROUND(INDEX(加速度入力!$B$56:$AV$206,ROWS($A$5:$A41),MATCH(F$4,加速度入力!$B$53:$AV$53,0)),1)</f>
        <v>69316</v>
      </c>
    </row>
    <row r="42" spans="1:6" x14ac:dyDescent="0.25">
      <c r="A42" s="1">
        <f>加速度入力!B93</f>
        <v>37</v>
      </c>
      <c r="B42" s="1">
        <f>ROUND(INDEX(加速度入力!$B$56:$AV$206,ROWS($A$5:$A42),MATCH(B$4,加速度入力!$B$53:$AV$53,0)),1)</f>
        <v>226.7</v>
      </c>
      <c r="C42" s="1">
        <f>ROUND(INDEX(加速度入力!$B$56:$AV$206,ROWS($A$5:$A42),MATCH(C$4,加速度入力!$B$53:$AV$53,0)),1)</f>
        <v>20414.900000000001</v>
      </c>
      <c r="D42" s="1">
        <f>ROUND(INDEX(加速度入力!$B$56:$AV$206,ROWS($A$5:$A42),MATCH(D$4,加速度入力!$B$53:$AV$53,0)),1)</f>
        <v>65517.2</v>
      </c>
      <c r="E42" s="1">
        <f>ROUND(INDEX(加速度入力!$B$56:$AV$206,ROWS($A$5:$A42),MATCH(E$4,加速度入力!$B$53:$AV$53,0)),1)</f>
        <v>91410</v>
      </c>
      <c r="F42" s="1">
        <f>ROUND(INDEX(加速度入力!$B$56:$AV$206,ROWS($A$5:$A42),MATCH(F$4,加速度入力!$B$53:$AV$53,0)),1)</f>
        <v>69316</v>
      </c>
    </row>
    <row r="43" spans="1:6" x14ac:dyDescent="0.25">
      <c r="A43" s="1">
        <f>加速度入力!B94</f>
        <v>38</v>
      </c>
      <c r="B43" s="1">
        <f>ROUND(INDEX(加速度入力!$B$56:$AV$206,ROWS($A$5:$A43),MATCH(B$4,加速度入力!$B$53:$AV$53,0)),1)</f>
        <v>212.1</v>
      </c>
      <c r="C43" s="1">
        <f>ROUND(INDEX(加速度入力!$B$56:$AV$206,ROWS($A$5:$A43),MATCH(C$4,加速度入力!$B$53:$AV$53,0)),1)</f>
        <v>19572.599999999999</v>
      </c>
      <c r="D43" s="1">
        <f>ROUND(INDEX(加速度入力!$B$56:$AV$206,ROWS($A$5:$A43),MATCH(D$4,加速度入力!$B$53:$AV$53,0)),1)</f>
        <v>63793</v>
      </c>
      <c r="E43" s="1">
        <f>ROUND(INDEX(加速度入力!$B$56:$AV$206,ROWS($A$5:$A43),MATCH(E$4,加速度入力!$B$53:$AV$53,0)),1)</f>
        <v>91410</v>
      </c>
      <c r="F43" s="1">
        <f>ROUND(INDEX(加速度入力!$B$56:$AV$206,ROWS($A$5:$A43),MATCH(F$4,加速度入力!$B$53:$AV$53,0)),1)</f>
        <v>69316</v>
      </c>
    </row>
    <row r="44" spans="1:6" x14ac:dyDescent="0.25">
      <c r="A44" s="1">
        <f>加速度入力!B95</f>
        <v>39</v>
      </c>
      <c r="B44" s="1">
        <f>ROUND(INDEX(加速度入力!$B$56:$AV$206,ROWS($A$5:$A44),MATCH(B$4,加速度入力!$B$53:$AV$53,0)),1)</f>
        <v>198.8</v>
      </c>
      <c r="C44" s="1">
        <f>ROUND(INDEX(加速度入力!$B$56:$AV$206,ROWS($A$5:$A44),MATCH(C$4,加速度入力!$B$53:$AV$53,0)),1)</f>
        <v>18785.599999999999</v>
      </c>
      <c r="D44" s="1">
        <f>ROUND(INDEX(加速度入力!$B$56:$AV$206,ROWS($A$5:$A44),MATCH(D$4,加速度入力!$B$53:$AV$53,0)),1)</f>
        <v>60563.5</v>
      </c>
      <c r="E44" s="1">
        <f>ROUND(INDEX(加速度入力!$B$56:$AV$206,ROWS($A$5:$A44),MATCH(E$4,加速度入力!$B$53:$AV$53,0)),1)</f>
        <v>91410</v>
      </c>
      <c r="F44" s="1">
        <f>ROUND(INDEX(加速度入力!$B$56:$AV$206,ROWS($A$5:$A44),MATCH(F$4,加速度入力!$B$53:$AV$53,0)),1)</f>
        <v>67538.7</v>
      </c>
    </row>
    <row r="45" spans="1:6" x14ac:dyDescent="0.25">
      <c r="A45" s="1">
        <f>加速度入力!B96</f>
        <v>40</v>
      </c>
      <c r="B45" s="1">
        <f>ROUND(INDEX(加速度入力!$B$56:$AV$206,ROWS($A$5:$A45),MATCH(B$4,加速度入力!$B$53:$AV$53,0)),1)</f>
        <v>186.6</v>
      </c>
      <c r="C45" s="1">
        <f>ROUND(INDEX(加速度入力!$B$56:$AV$206,ROWS($A$5:$A45),MATCH(C$4,加速度入力!$B$53:$AV$53,0)),1)</f>
        <v>18048.900000000001</v>
      </c>
      <c r="D45" s="1">
        <f>ROUND(INDEX(加速度入力!$B$56:$AV$206,ROWS($A$5:$A45),MATCH(D$4,加速度入力!$B$53:$AV$53,0)),1)</f>
        <v>57573.2</v>
      </c>
      <c r="E45" s="1">
        <f>ROUND(INDEX(加速度入力!$B$56:$AV$206,ROWS($A$5:$A45),MATCH(E$4,加速度入力!$B$53:$AV$53,0)),1)</f>
        <v>91410</v>
      </c>
      <c r="F45" s="1">
        <f>ROUND(INDEX(加速度入力!$B$56:$AV$206,ROWS($A$5:$A45),MATCH(F$4,加速度入力!$B$53:$AV$53,0)),1)</f>
        <v>65850.2</v>
      </c>
    </row>
    <row r="46" spans="1:6" x14ac:dyDescent="0.25">
      <c r="A46" s="1">
        <f>加速度入力!B97</f>
        <v>41</v>
      </c>
      <c r="B46" s="1">
        <f>ROUND(INDEX(加速度入力!$B$56:$AV$206,ROWS($A$5:$A46),MATCH(B$4,加速度入力!$B$53:$AV$53,0)),1)</f>
        <v>175.4</v>
      </c>
      <c r="C46" s="1">
        <f>ROUND(INDEX(加速度入力!$B$56:$AV$206,ROWS($A$5:$A46),MATCH(C$4,加速度入力!$B$53:$AV$53,0)),1)</f>
        <v>17358.3</v>
      </c>
      <c r="D46" s="1">
        <f>ROUND(INDEX(加速度入力!$B$56:$AV$206,ROWS($A$5:$A46),MATCH(D$4,加速度入力!$B$53:$AV$53,0)),1)</f>
        <v>54799</v>
      </c>
      <c r="E46" s="1">
        <f>ROUND(INDEX(加速度入力!$B$56:$AV$206,ROWS($A$5:$A46),MATCH(E$4,加速度入力!$B$53:$AV$53,0)),1)</f>
        <v>91410</v>
      </c>
      <c r="F46" s="1">
        <f>ROUND(INDEX(加速度入力!$B$56:$AV$206,ROWS($A$5:$A46),MATCH(F$4,加速度入力!$B$53:$AV$53,0)),1)</f>
        <v>64244.1</v>
      </c>
    </row>
    <row r="47" spans="1:6" x14ac:dyDescent="0.25">
      <c r="A47" s="1">
        <f>加速度入力!B98</f>
        <v>42</v>
      </c>
      <c r="B47" s="1">
        <f>ROUND(INDEX(加速度入力!$B$56:$AV$206,ROWS($A$5:$A47),MATCH(B$4,加速度入力!$B$53:$AV$53,0)),1)</f>
        <v>165.2</v>
      </c>
      <c r="C47" s="1">
        <f>ROUND(INDEX(加速度入力!$B$56:$AV$206,ROWS($A$5:$A47),MATCH(C$4,加速度入力!$B$53:$AV$53,0)),1)</f>
        <v>16709.900000000001</v>
      </c>
      <c r="D47" s="1">
        <f>ROUND(INDEX(加速度入力!$B$56:$AV$206,ROWS($A$5:$A47),MATCH(D$4,加速度入力!$B$53:$AV$53,0)),1)</f>
        <v>52220.6</v>
      </c>
      <c r="E47" s="1">
        <f>ROUND(INDEX(加速度入力!$B$56:$AV$206,ROWS($A$5:$A47),MATCH(E$4,加速度入力!$B$53:$AV$53,0)),1)</f>
        <v>91410</v>
      </c>
      <c r="F47" s="1">
        <f>ROUND(INDEX(加速度入力!$B$56:$AV$206,ROWS($A$5:$A47),MATCH(F$4,加速度入力!$B$53:$AV$53,0)),1)</f>
        <v>62714.5</v>
      </c>
    </row>
    <row r="48" spans="1:6" x14ac:dyDescent="0.25">
      <c r="A48" s="1">
        <f>加速度入力!B99</f>
        <v>43</v>
      </c>
      <c r="B48" s="1">
        <f>ROUND(INDEX(加速度入力!$B$56:$AV$206,ROWS($A$5:$A48),MATCH(B$4,加速度入力!$B$53:$AV$53,0)),1)</f>
        <v>155.69999999999999</v>
      </c>
      <c r="C48" s="1">
        <f>ROUND(INDEX(加速度入力!$B$56:$AV$206,ROWS($A$5:$A48),MATCH(C$4,加速度入力!$B$53:$AV$53,0)),1)</f>
        <v>16100</v>
      </c>
      <c r="D48" s="1">
        <f>ROUND(INDEX(加速度入力!$B$56:$AV$206,ROWS($A$5:$A48),MATCH(D$4,加速度入力!$B$53:$AV$53,0)),1)</f>
        <v>49820</v>
      </c>
      <c r="E48" s="1">
        <f>ROUND(INDEX(加速度入力!$B$56:$AV$206,ROWS($A$5:$A48),MATCH(E$4,加速度入力!$B$53:$AV$53,0)),1)</f>
        <v>91410</v>
      </c>
      <c r="F48" s="1">
        <f>ROUND(INDEX(加速度入力!$B$56:$AV$206,ROWS($A$5:$A48),MATCH(F$4,加速度入力!$B$53:$AV$53,0)),1)</f>
        <v>61256</v>
      </c>
    </row>
    <row r="49" spans="1:6" x14ac:dyDescent="0.25">
      <c r="A49" s="1">
        <f>加速度入力!B100</f>
        <v>44</v>
      </c>
      <c r="B49" s="1">
        <f>ROUND(INDEX(加速度入力!$B$56:$AV$206,ROWS($A$5:$A49),MATCH(B$4,加速度入力!$B$53:$AV$53,0)),1)</f>
        <v>147</v>
      </c>
      <c r="C49" s="1">
        <f>ROUND(INDEX(加速度入力!$B$56:$AV$206,ROWS($A$5:$A49),MATCH(C$4,加速度入力!$B$53:$AV$53,0)),1)</f>
        <v>15525.7</v>
      </c>
      <c r="D49" s="1">
        <f>ROUND(INDEX(加速度入力!$B$56:$AV$206,ROWS($A$5:$A49),MATCH(D$4,加速度入力!$B$53:$AV$53,0)),1)</f>
        <v>47581.2</v>
      </c>
      <c r="E49" s="1">
        <f>ROUND(INDEX(加速度入力!$B$56:$AV$206,ROWS($A$5:$A49),MATCH(E$4,加速度入力!$B$53:$AV$53,0)),1)</f>
        <v>91410</v>
      </c>
      <c r="F49" s="1">
        <f>ROUND(INDEX(加速度入力!$B$56:$AV$206,ROWS($A$5:$A49),MATCH(F$4,加速度入力!$B$53:$AV$53,0)),1)</f>
        <v>59863.8</v>
      </c>
    </row>
    <row r="50" spans="1:6" x14ac:dyDescent="0.25">
      <c r="A50" s="1">
        <f>加速度入力!B101</f>
        <v>45</v>
      </c>
      <c r="B50" s="1">
        <f>ROUND(INDEX(加速度入力!$B$56:$AV$206,ROWS($A$5:$A50),MATCH(B$4,加速度入力!$B$53:$AV$53,0)),1)</f>
        <v>139</v>
      </c>
      <c r="C50" s="1">
        <f>ROUND(INDEX(加速度入力!$B$56:$AV$206,ROWS($A$5:$A50),MATCH(C$4,加速度入力!$B$53:$AV$53,0)),1)</f>
        <v>14984.1</v>
      </c>
      <c r="D50" s="1">
        <f>ROUND(INDEX(加速度入力!$B$56:$AV$206,ROWS($A$5:$A50),MATCH(D$4,加速度入力!$B$53:$AV$53,0)),1)</f>
        <v>45489.9</v>
      </c>
      <c r="E50" s="1">
        <f>ROUND(INDEX(加速度入力!$B$56:$AV$206,ROWS($A$5:$A50),MATCH(E$4,加速度入力!$B$53:$AV$53,0)),1)</f>
        <v>91410</v>
      </c>
      <c r="F50" s="1">
        <f>ROUND(INDEX(加速度入力!$B$56:$AV$206,ROWS($A$5:$A50),MATCH(F$4,加速度入力!$B$53:$AV$53,0)),1)</f>
        <v>58533.5</v>
      </c>
    </row>
    <row r="51" spans="1:6" x14ac:dyDescent="0.25">
      <c r="A51" s="1">
        <f>加速度入力!B102</f>
        <v>46</v>
      </c>
      <c r="B51" s="1">
        <f>ROUND(INDEX(加速度入力!$B$56:$AV$206,ROWS($A$5:$A51),MATCH(B$4,加速度入力!$B$53:$AV$53,0)),1)</f>
        <v>131.6</v>
      </c>
      <c r="C51" s="1">
        <f>ROUND(INDEX(加速度入力!$B$56:$AV$206,ROWS($A$5:$A51),MATCH(C$4,加速度入力!$B$53:$AV$53,0)),1)</f>
        <v>14472.7</v>
      </c>
      <c r="D51" s="1">
        <f>ROUND(INDEX(加速度入力!$B$56:$AV$206,ROWS($A$5:$A51),MATCH(D$4,加速度入力!$B$53:$AV$53,0)),1)</f>
        <v>43533.599999999999</v>
      </c>
      <c r="E51" s="1">
        <f>ROUND(INDEX(加速度入力!$B$56:$AV$206,ROWS($A$5:$A51),MATCH(E$4,加速度入力!$B$53:$AV$53,0)),1)</f>
        <v>91410</v>
      </c>
      <c r="F51" s="1">
        <f>ROUND(INDEX(加速度入力!$B$56:$AV$206,ROWS($A$5:$A51),MATCH(F$4,加速度入力!$B$53:$AV$53,0)),1)</f>
        <v>57261</v>
      </c>
    </row>
    <row r="52" spans="1:6" x14ac:dyDescent="0.25">
      <c r="A52" s="1">
        <f>加速度入力!B103</f>
        <v>47</v>
      </c>
      <c r="B52" s="1">
        <f>ROUND(INDEX(加速度入力!$B$56:$AV$206,ROWS($A$5:$A52),MATCH(B$4,加速度入力!$B$53:$AV$53,0)),1)</f>
        <v>124.7</v>
      </c>
      <c r="C52" s="1">
        <f>ROUND(INDEX(加速度入力!$B$56:$AV$206,ROWS($A$5:$A52),MATCH(C$4,加速度入力!$B$53:$AV$53,0)),1)</f>
        <v>13989.2</v>
      </c>
      <c r="D52" s="1">
        <f>ROUND(INDEX(加速度入力!$B$56:$AV$206,ROWS($A$5:$A52),MATCH(D$4,加速度入力!$B$53:$AV$53,0)),1)</f>
        <v>41700.800000000003</v>
      </c>
      <c r="E52" s="1">
        <f>ROUND(INDEX(加速度入力!$B$56:$AV$206,ROWS($A$5:$A52),MATCH(E$4,加速度入力!$B$53:$AV$53,0)),1)</f>
        <v>91410</v>
      </c>
      <c r="F52" s="1">
        <f>ROUND(INDEX(加速度入力!$B$56:$AV$206,ROWS($A$5:$A52),MATCH(F$4,加速度入力!$B$53:$AV$53,0)),1)</f>
        <v>55073</v>
      </c>
    </row>
    <row r="53" spans="1:6" x14ac:dyDescent="0.25">
      <c r="A53" s="1">
        <f>加速度入力!B104</f>
        <v>48</v>
      </c>
      <c r="B53" s="1">
        <f>ROUND(INDEX(加速度入力!$B$56:$AV$206,ROWS($A$5:$A53),MATCH(B$4,加速度入力!$B$53:$AV$53,0)),1)</f>
        <v>118.3</v>
      </c>
      <c r="C53" s="1">
        <f>ROUND(INDEX(加速度入力!$B$56:$AV$206,ROWS($A$5:$A53),MATCH(C$4,加速度入力!$B$53:$AV$53,0)),1)</f>
        <v>13531.5</v>
      </c>
      <c r="D53" s="1">
        <f>ROUND(INDEX(加速度入力!$B$56:$AV$206,ROWS($A$5:$A53),MATCH(D$4,加速度入力!$B$53:$AV$53,0)),1)</f>
        <v>39981.4</v>
      </c>
      <c r="E53" s="1">
        <f>ROUND(INDEX(加速度入力!$B$56:$AV$206,ROWS($A$5:$A53),MATCH(E$4,加速度入力!$B$53:$AV$53,0)),1)</f>
        <v>91410</v>
      </c>
      <c r="F53" s="1">
        <f>ROUND(INDEX(加速度入力!$B$56:$AV$206,ROWS($A$5:$A53),MATCH(F$4,加速度入力!$B$53:$AV$53,0)),1)</f>
        <v>53011.9</v>
      </c>
    </row>
    <row r="54" spans="1:6" x14ac:dyDescent="0.25">
      <c r="A54" s="1">
        <f>加速度入力!B105</f>
        <v>49</v>
      </c>
      <c r="B54" s="1">
        <f>ROUND(INDEX(加速度入力!$B$56:$AV$206,ROWS($A$5:$A54),MATCH(B$4,加速度入力!$B$53:$AV$53,0)),1)</f>
        <v>112.3</v>
      </c>
      <c r="C54" s="1">
        <f>ROUND(INDEX(加速度入力!$B$56:$AV$206,ROWS($A$5:$A54),MATCH(C$4,加速度入力!$B$53:$AV$53,0)),1)</f>
        <v>13097.8</v>
      </c>
      <c r="D54" s="1">
        <f>ROUND(INDEX(加速度入力!$B$56:$AV$206,ROWS($A$5:$A54),MATCH(D$4,加速度入力!$B$53:$AV$53,0)),1)</f>
        <v>38366.199999999997</v>
      </c>
      <c r="E54" s="1">
        <f>ROUND(INDEX(加速度入力!$B$56:$AV$206,ROWS($A$5:$A54),MATCH(E$4,加速度入力!$B$53:$AV$53,0)),1)</f>
        <v>91410</v>
      </c>
      <c r="F54" s="1">
        <f>ROUND(INDEX(加速度入力!$B$56:$AV$206,ROWS($A$5:$A54),MATCH(F$4,加速度入力!$B$53:$AV$53,0)),1)</f>
        <v>51068.2</v>
      </c>
    </row>
    <row r="55" spans="1:6" x14ac:dyDescent="0.25">
      <c r="A55" s="1">
        <f>加速度入力!B106</f>
        <v>50</v>
      </c>
      <c r="B55" s="1">
        <f>ROUND(INDEX(加速度入力!$B$56:$AV$206,ROWS($A$5:$A55),MATCH(B$4,加速度入力!$B$53:$AV$53,0)),1)</f>
        <v>106.8</v>
      </c>
      <c r="C55" s="1">
        <f>ROUND(INDEX(加速度入力!$B$56:$AV$206,ROWS($A$5:$A55),MATCH(C$4,加速度入力!$B$53:$AV$53,0)),1)</f>
        <v>12686.3</v>
      </c>
      <c r="D55" s="1">
        <f>ROUND(INDEX(加速度入力!$B$56:$AV$206,ROWS($A$5:$A55),MATCH(D$4,加速度入力!$B$53:$AV$53,0)),1)</f>
        <v>36846.9</v>
      </c>
      <c r="E55" s="1">
        <f>ROUND(INDEX(加速度入力!$B$56:$AV$206,ROWS($A$5:$A55),MATCH(E$4,加速度入力!$B$53:$AV$53,0)),1)</f>
        <v>88430.9</v>
      </c>
      <c r="F55" s="1">
        <f>ROUND(INDEX(加速度入力!$B$56:$AV$206,ROWS($A$5:$A55),MATCH(F$4,加速度入力!$B$53:$AV$53,0)),1)</f>
        <v>49232.9</v>
      </c>
    </row>
    <row r="56" spans="1:6" x14ac:dyDescent="0.25">
      <c r="A56" s="1">
        <f>加速度入力!B107</f>
        <v>51</v>
      </c>
      <c r="B56" s="1">
        <f>ROUND(INDEX(加速度入力!$B$56:$AV$206,ROWS($A$5:$A56),MATCH(B$4,加速度入力!$B$53:$AV$53,0)),1)</f>
        <v>101.7</v>
      </c>
      <c r="C56" s="1">
        <f>ROUND(INDEX(加速度入力!$B$56:$AV$206,ROWS($A$5:$A56),MATCH(C$4,加速度入力!$B$53:$AV$53,0)),1)</f>
        <v>12295.5</v>
      </c>
      <c r="D56" s="1">
        <f>ROUND(INDEX(加速度入力!$B$56:$AV$206,ROWS($A$5:$A56),MATCH(D$4,加速度入力!$B$53:$AV$53,0)),1)</f>
        <v>35416</v>
      </c>
      <c r="E56" s="1">
        <f>ROUND(INDEX(加速度入力!$B$56:$AV$206,ROWS($A$5:$A56),MATCH(E$4,加速度入力!$B$53:$AV$53,0)),1)</f>
        <v>85314.6</v>
      </c>
      <c r="F56" s="1">
        <f>ROUND(INDEX(加速度入力!$B$56:$AV$206,ROWS($A$5:$A56),MATCH(F$4,加速度入力!$B$53:$AV$53,0)),1)</f>
        <v>47497.9</v>
      </c>
    </row>
    <row r="57" spans="1:6" x14ac:dyDescent="0.25">
      <c r="A57" s="1">
        <f>加速度入力!B108</f>
        <v>52</v>
      </c>
      <c r="B57" s="1">
        <f>ROUND(INDEX(加速度入力!$B$56:$AV$206,ROWS($A$5:$A57),MATCH(B$4,加速度入力!$B$53:$AV$53,0)),1)</f>
        <v>96.8</v>
      </c>
      <c r="C57" s="1">
        <f>ROUND(INDEX(加速度入力!$B$56:$AV$206,ROWS($A$5:$A57),MATCH(C$4,加速度入力!$B$53:$AV$53,0)),1)</f>
        <v>11924</v>
      </c>
      <c r="D57" s="1">
        <f>ROUND(INDEX(加速度入力!$B$56:$AV$206,ROWS($A$5:$A57),MATCH(D$4,加速度入力!$B$53:$AV$53,0)),1)</f>
        <v>34067</v>
      </c>
      <c r="E57" s="1">
        <f>ROUND(INDEX(加速度入力!$B$56:$AV$206,ROWS($A$5:$A57),MATCH(E$4,加速度入力!$B$53:$AV$53,0)),1)</f>
        <v>82365.5</v>
      </c>
      <c r="F57" s="1">
        <f>ROUND(INDEX(加速度入力!$B$56:$AV$206,ROWS($A$5:$A57),MATCH(F$4,加速度入力!$B$53:$AV$53,0)),1)</f>
        <v>45856.1</v>
      </c>
    </row>
    <row r="58" spans="1:6" x14ac:dyDescent="0.25">
      <c r="A58" s="1">
        <f>加速度入力!B109</f>
        <v>53</v>
      </c>
      <c r="B58" s="1">
        <f>ROUND(INDEX(加速度入力!$B$56:$AV$206,ROWS($A$5:$A58),MATCH(B$4,加速度入力!$B$53:$AV$53,0)),1)</f>
        <v>92.3</v>
      </c>
      <c r="C58" s="1">
        <f>ROUND(INDEX(加速度入力!$B$56:$AV$206,ROWS($A$5:$A58),MATCH(C$4,加速度入力!$B$53:$AV$53,0)),1)</f>
        <v>11570.5</v>
      </c>
      <c r="D58" s="1">
        <f>ROUND(INDEX(加速度入力!$B$56:$AV$206,ROWS($A$5:$A58),MATCH(D$4,加速度入力!$B$53:$AV$53,0)),1)</f>
        <v>32793.599999999999</v>
      </c>
      <c r="E58" s="1">
        <f>ROUND(INDEX(加速度入力!$B$56:$AV$206,ROWS($A$5:$A58),MATCH(E$4,加速度入力!$B$53:$AV$53,0)),1)</f>
        <v>79571.7</v>
      </c>
      <c r="F58" s="1">
        <f>ROUND(INDEX(加速度入力!$B$56:$AV$206,ROWS($A$5:$A58),MATCH(F$4,加速度入力!$B$53:$AV$53,0)),1)</f>
        <v>44300.6</v>
      </c>
    </row>
    <row r="59" spans="1:6" x14ac:dyDescent="0.25">
      <c r="A59" s="1">
        <f>加速度入力!B110</f>
        <v>54</v>
      </c>
      <c r="B59" s="1">
        <f>ROUND(INDEX(加速度入力!$B$56:$AV$206,ROWS($A$5:$A59),MATCH(B$4,加速度入力!$B$53:$AV$53,0)),1)</f>
        <v>88.1</v>
      </c>
      <c r="C59" s="1">
        <f>ROUND(INDEX(加速度入力!$B$56:$AV$206,ROWS($A$5:$A59),MATCH(C$4,加速度入力!$B$53:$AV$53,0)),1)</f>
        <v>11233.7</v>
      </c>
      <c r="D59" s="1">
        <f>ROUND(INDEX(加速度入力!$B$56:$AV$206,ROWS($A$5:$A59),MATCH(D$4,加速度入力!$B$53:$AV$53,0)),1)</f>
        <v>31590.2</v>
      </c>
      <c r="E59" s="1">
        <f>ROUND(INDEX(加速度入力!$B$56:$AV$206,ROWS($A$5:$A59),MATCH(E$4,加速度入力!$B$53:$AV$53,0)),1)</f>
        <v>76922.2</v>
      </c>
      <c r="F59" s="1">
        <f>ROUND(INDEX(加速度入力!$B$56:$AV$206,ROWS($A$5:$A59),MATCH(F$4,加速度入力!$B$53:$AV$53,0)),1)</f>
        <v>42825.599999999999</v>
      </c>
    </row>
    <row r="60" spans="1:6" x14ac:dyDescent="0.25">
      <c r="A60" s="1">
        <f>加速度入力!B111</f>
        <v>55</v>
      </c>
      <c r="B60" s="1">
        <f>ROUND(INDEX(加速度入力!$B$56:$AV$206,ROWS($A$5:$A60),MATCH(B$4,加速度入力!$B$53:$AV$53,0)),1)</f>
        <v>84.2</v>
      </c>
      <c r="C60" s="1">
        <f>ROUND(INDEX(加速度入力!$B$56:$AV$206,ROWS($A$5:$A60),MATCH(C$4,加速度入力!$B$53:$AV$53,0)),1)</f>
        <v>10912.7</v>
      </c>
      <c r="D60" s="1">
        <f>ROUND(INDEX(加速度入力!$B$56:$AV$206,ROWS($A$5:$A60),MATCH(D$4,加速度入力!$B$53:$AV$53,0)),1)</f>
        <v>30451.9</v>
      </c>
      <c r="E60" s="1">
        <f>ROUND(INDEX(加速度入力!$B$56:$AV$206,ROWS($A$5:$A60),MATCH(E$4,加速度入力!$B$53:$AV$53,0)),1)</f>
        <v>74407.199999999997</v>
      </c>
      <c r="F60" s="1">
        <f>ROUND(INDEX(加速度入力!$B$56:$AV$206,ROWS($A$5:$A60),MATCH(F$4,加速度入力!$B$53:$AV$53,0)),1)</f>
        <v>41425.300000000003</v>
      </c>
    </row>
    <row r="61" spans="1:6" x14ac:dyDescent="0.25">
      <c r="A61" s="1">
        <f>加速度入力!B112</f>
        <v>56</v>
      </c>
      <c r="B61" s="1">
        <f>ROUND(INDEX(加速度入力!$B$56:$AV$206,ROWS($A$5:$A61),MATCH(B$4,加速度入力!$B$53:$AV$53,0)),1)</f>
        <v>80.5</v>
      </c>
      <c r="C61" s="1">
        <f>ROUND(INDEX(加速度入力!$B$56:$AV$206,ROWS($A$5:$A61),MATCH(C$4,加速度入力!$B$53:$AV$53,0)),1)</f>
        <v>10606.4</v>
      </c>
      <c r="D61" s="1">
        <f>ROUND(INDEX(加速度入力!$B$56:$AV$206,ROWS($A$5:$A61),MATCH(D$4,加速度入力!$B$53:$AV$53,0)),1)</f>
        <v>29374.1</v>
      </c>
      <c r="E61" s="1">
        <f>ROUND(INDEX(加速度入力!$B$56:$AV$206,ROWS($A$5:$A61),MATCH(E$4,加速度入力!$B$53:$AV$53,0)),1)</f>
        <v>72017.5</v>
      </c>
      <c r="F61" s="1">
        <f>ROUND(INDEX(加速度入力!$B$56:$AV$206,ROWS($A$5:$A61),MATCH(F$4,加速度入力!$B$53:$AV$53,0)),1)</f>
        <v>40094.9</v>
      </c>
    </row>
    <row r="62" spans="1:6" x14ac:dyDescent="0.25">
      <c r="A62" s="1">
        <f>加速度入力!B113</f>
        <v>57</v>
      </c>
      <c r="B62" s="1">
        <f>ROUND(INDEX(加速度入力!$B$56:$AV$206,ROWS($A$5:$A62),MATCH(B$4,加速度入力!$B$53:$AV$53,0)),1)</f>
        <v>77</v>
      </c>
      <c r="C62" s="1">
        <f>ROUND(INDEX(加速度入力!$B$56:$AV$206,ROWS($A$5:$A62),MATCH(C$4,加速度入力!$B$53:$AV$53,0)),1)</f>
        <v>10313.9</v>
      </c>
      <c r="D62" s="1">
        <f>ROUND(INDEX(加速度入力!$B$56:$AV$206,ROWS($A$5:$A62),MATCH(D$4,加速度入力!$B$53:$AV$53,0)),1)</f>
        <v>28352.5</v>
      </c>
      <c r="E62" s="1">
        <f>ROUND(INDEX(加速度入力!$B$56:$AV$206,ROWS($A$5:$A62),MATCH(E$4,加速度入力!$B$53:$AV$53,0)),1)</f>
        <v>69744.800000000003</v>
      </c>
      <c r="F62" s="1">
        <f>ROUND(INDEX(加速度入力!$B$56:$AV$206,ROWS($A$5:$A62),MATCH(F$4,加速度入力!$B$53:$AV$53,0)),1)</f>
        <v>38829.599999999999</v>
      </c>
    </row>
    <row r="63" spans="1:6" x14ac:dyDescent="0.25">
      <c r="A63" s="1">
        <f>加速度入力!B114</f>
        <v>58</v>
      </c>
      <c r="B63" s="1">
        <f>ROUND(INDEX(加速度入力!$B$56:$AV$206,ROWS($A$5:$A63),MATCH(B$4,加速度入力!$B$53:$AV$53,0)),1)</f>
        <v>73.7</v>
      </c>
      <c r="C63" s="1">
        <f>ROUND(INDEX(加速度入力!$B$56:$AV$206,ROWS($A$5:$A63),MATCH(C$4,加速度入力!$B$53:$AV$53,0)),1)</f>
        <v>10034.4</v>
      </c>
      <c r="D63" s="1">
        <f>ROUND(INDEX(加速度入力!$B$56:$AV$206,ROWS($A$5:$A63),MATCH(D$4,加速度入力!$B$53:$AV$53,0)),1)</f>
        <v>27383.200000000001</v>
      </c>
      <c r="E63" s="1">
        <f>ROUND(INDEX(加速度入力!$B$56:$AV$206,ROWS($A$5:$A63),MATCH(E$4,加速度入力!$B$53:$AV$53,0)),1)</f>
        <v>67581.600000000006</v>
      </c>
      <c r="F63" s="1">
        <f>ROUND(INDEX(加速度入力!$B$56:$AV$206,ROWS($A$5:$A63),MATCH(F$4,加速度入力!$B$53:$AV$53,0)),1)</f>
        <v>37625.300000000003</v>
      </c>
    </row>
    <row r="64" spans="1:6" x14ac:dyDescent="0.25">
      <c r="A64" s="1">
        <f>加速度入力!B115</f>
        <v>59</v>
      </c>
      <c r="B64" s="1">
        <f>ROUND(INDEX(加速度入力!$B$56:$AV$206,ROWS($A$5:$A64),MATCH(B$4,加速度入力!$B$53:$AV$53,0)),1)</f>
        <v>70.599999999999994</v>
      </c>
      <c r="C64" s="1">
        <f>ROUND(INDEX(加速度入力!$B$56:$AV$206,ROWS($A$5:$A64),MATCH(C$4,加速度入力!$B$53:$AV$53,0)),1)</f>
        <v>9767</v>
      </c>
      <c r="D64" s="1">
        <f>ROUND(INDEX(加速度入力!$B$56:$AV$206,ROWS($A$5:$A64),MATCH(D$4,加速度入力!$B$53:$AV$53,0)),1)</f>
        <v>26462.799999999999</v>
      </c>
      <c r="E64" s="1">
        <f>ROUND(INDEX(加速度入力!$B$56:$AV$206,ROWS($A$5:$A64),MATCH(E$4,加速度入力!$B$53:$AV$53,0)),1)</f>
        <v>65520.7</v>
      </c>
      <c r="F64" s="1">
        <f>ROUND(INDEX(加速度入力!$B$56:$AV$206,ROWS($A$5:$A64),MATCH(F$4,加速度入力!$B$53:$AV$53,0)),1)</f>
        <v>36477.9</v>
      </c>
    </row>
    <row r="65" spans="1:6" x14ac:dyDescent="0.25">
      <c r="A65" s="1">
        <f>加速度入力!B116</f>
        <v>60</v>
      </c>
      <c r="B65" s="1">
        <f>ROUND(INDEX(加速度入力!$B$56:$AV$206,ROWS($A$5:$A65),MATCH(B$4,加速度入力!$B$53:$AV$53,0)),1)</f>
        <v>67.7</v>
      </c>
      <c r="C65" s="1">
        <f>ROUND(INDEX(加速度入力!$B$56:$AV$206,ROWS($A$5:$A65),MATCH(C$4,加速度入力!$B$53:$AV$53,0)),1)</f>
        <v>9511</v>
      </c>
      <c r="D65" s="1">
        <f>ROUND(INDEX(加速度入力!$B$56:$AV$206,ROWS($A$5:$A65),MATCH(D$4,加速度入力!$B$53:$AV$53,0)),1)</f>
        <v>25588.1</v>
      </c>
      <c r="E65" s="1">
        <f>ROUND(INDEX(加速度入力!$B$56:$AV$206,ROWS($A$5:$A65),MATCH(E$4,加速度入力!$B$53:$AV$53,0)),1)</f>
        <v>63555.8</v>
      </c>
      <c r="F65" s="1">
        <f>ROUND(INDEX(加速度入力!$B$56:$AV$206,ROWS($A$5:$A65),MATCH(F$4,加速度入力!$B$53:$AV$53,0)),1)</f>
        <v>35383.9</v>
      </c>
    </row>
    <row r="66" spans="1:6" x14ac:dyDescent="0.25">
      <c r="A66" s="1">
        <f>加速度入力!B117</f>
        <v>61</v>
      </c>
      <c r="B66" s="1">
        <f>ROUND(INDEX(加速度入力!$B$56:$AV$206,ROWS($A$5:$A66),MATCH(B$4,加速度入力!$B$53:$AV$53,0)),1)</f>
        <v>65</v>
      </c>
      <c r="C66" s="1">
        <f>ROUND(INDEX(加速度入力!$B$56:$AV$206,ROWS($A$5:$A66),MATCH(C$4,加速度入力!$B$53:$AV$53,0)),1)</f>
        <v>9265.9</v>
      </c>
      <c r="D66" s="1">
        <f>ROUND(INDEX(加速度入力!$B$56:$AV$206,ROWS($A$5:$A66),MATCH(D$4,加速度入力!$B$53:$AV$53,0)),1)</f>
        <v>24756</v>
      </c>
      <c r="E66" s="1">
        <f>ROUND(INDEX(加速度入力!$B$56:$AV$206,ROWS($A$5:$A66),MATCH(E$4,加速度入力!$B$53:$AV$53,0)),1)</f>
        <v>61680.800000000003</v>
      </c>
      <c r="F66" s="1">
        <f>ROUND(INDEX(加速度入力!$B$56:$AV$206,ROWS($A$5:$A66),MATCH(F$4,加速度入力!$B$53:$AV$53,0)),1)</f>
        <v>34340.1</v>
      </c>
    </row>
    <row r="67" spans="1:6" x14ac:dyDescent="0.25">
      <c r="A67" s="1">
        <f>加速度入力!B118</f>
        <v>62</v>
      </c>
      <c r="B67" s="1">
        <f>ROUND(INDEX(加速度入力!$B$56:$AV$206,ROWS($A$5:$A67),MATCH(B$4,加速度入力!$B$53:$AV$53,0)),1)</f>
        <v>62.4</v>
      </c>
      <c r="C67" s="1">
        <f>ROUND(INDEX(加速度入力!$B$56:$AV$206,ROWS($A$5:$A67),MATCH(C$4,加速度入力!$B$53:$AV$53,0)),1)</f>
        <v>9030.7999999999993</v>
      </c>
      <c r="D67" s="1">
        <f>ROUND(INDEX(加速度入力!$B$56:$AV$206,ROWS($A$5:$A67),MATCH(D$4,加速度入力!$B$53:$AV$53,0)),1)</f>
        <v>23963.9</v>
      </c>
      <c r="E67" s="1">
        <f>ROUND(INDEX(加速度入力!$B$56:$AV$206,ROWS($A$5:$A67),MATCH(E$4,加速度入力!$B$53:$AV$53,0)),1)</f>
        <v>59890.3</v>
      </c>
      <c r="F67" s="1">
        <f>ROUND(INDEX(加速度入力!$B$56:$AV$206,ROWS($A$5:$A67),MATCH(F$4,加速度入力!$B$53:$AV$53,0)),1)</f>
        <v>33343.199999999997</v>
      </c>
    </row>
    <row r="68" spans="1:6" x14ac:dyDescent="0.25">
      <c r="A68" s="1">
        <f>加速度入力!B119</f>
        <v>63</v>
      </c>
      <c r="B68" s="1">
        <f>ROUND(INDEX(加速度入力!$B$56:$AV$206,ROWS($A$5:$A68),MATCH(B$4,加速度入力!$B$53:$AV$53,0)),1)</f>
        <v>59.9</v>
      </c>
      <c r="C68" s="1">
        <f>ROUND(INDEX(加速度入力!$B$56:$AV$206,ROWS($A$5:$A68),MATCH(C$4,加速度入力!$B$53:$AV$53,0)),1)</f>
        <v>8805.4</v>
      </c>
      <c r="D68" s="1">
        <f>ROUND(INDEX(加速度入力!$B$56:$AV$206,ROWS($A$5:$A68),MATCH(D$4,加速度入力!$B$53:$AV$53,0)),1)</f>
        <v>23209.200000000001</v>
      </c>
      <c r="E68" s="1">
        <f>ROUND(INDEX(加速度入力!$B$56:$AV$206,ROWS($A$5:$A68),MATCH(E$4,加速度入力!$B$53:$AV$53,0)),1)</f>
        <v>58179.1</v>
      </c>
      <c r="F68" s="1">
        <f>ROUND(INDEX(加速度入力!$B$56:$AV$206,ROWS($A$5:$A68),MATCH(F$4,加速度入力!$B$53:$AV$53,0)),1)</f>
        <v>32390.6</v>
      </c>
    </row>
    <row r="69" spans="1:6" x14ac:dyDescent="0.25">
      <c r="A69" s="1">
        <f>加速度入力!B120</f>
        <v>64</v>
      </c>
      <c r="B69" s="1">
        <f>ROUND(INDEX(加速度入力!$B$56:$AV$206,ROWS($A$5:$A69),MATCH(B$4,加速度入力!$B$53:$AV$53,0)),1)</f>
        <v>57.6</v>
      </c>
      <c r="C69" s="1">
        <f>ROUND(INDEX(加速度入力!$B$56:$AV$206,ROWS($A$5:$A69),MATCH(C$4,加速度入力!$B$53:$AV$53,0)),1)</f>
        <v>8589</v>
      </c>
      <c r="D69" s="1">
        <f>ROUND(INDEX(加速度入力!$B$56:$AV$206,ROWS($A$5:$A69),MATCH(D$4,加速度入力!$B$53:$AV$53,0)),1)</f>
        <v>22489.5</v>
      </c>
      <c r="E69" s="1">
        <f>ROUND(INDEX(加速度入力!$B$56:$AV$206,ROWS($A$5:$A69),MATCH(E$4,加速度入力!$B$53:$AV$53,0)),1)</f>
        <v>56542.7</v>
      </c>
      <c r="F69" s="1">
        <f>ROUND(INDEX(加速度入力!$B$56:$AV$206,ROWS($A$5:$A69),MATCH(F$4,加速度入力!$B$53:$AV$53,0)),1)</f>
        <v>31479.5</v>
      </c>
    </row>
    <row r="70" spans="1:6" x14ac:dyDescent="0.25">
      <c r="A70" s="1">
        <f>加速度入力!B121</f>
        <v>65</v>
      </c>
      <c r="B70" s="1">
        <f>ROUND(INDEX(加速度入力!$B$56:$AV$206,ROWS($A$5:$A70),MATCH(B$4,加速度入力!$B$53:$AV$53,0)),1)</f>
        <v>55.4</v>
      </c>
      <c r="C70" s="1">
        <f>ROUND(INDEX(加速度入力!$B$56:$AV$206,ROWS($A$5:$A70),MATCH(C$4,加速度入力!$B$53:$AV$53,0)),1)</f>
        <v>8381.1</v>
      </c>
      <c r="D70" s="1">
        <f>ROUND(INDEX(加速度入力!$B$56:$AV$206,ROWS($A$5:$A70),MATCH(D$4,加速度入力!$B$53:$AV$53,0)),1)</f>
        <v>21802.9</v>
      </c>
      <c r="E70" s="1">
        <f>ROUND(INDEX(加速度入力!$B$56:$AV$206,ROWS($A$5:$A70),MATCH(E$4,加速度入力!$B$53:$AV$53,0)),1)</f>
        <v>54976.6</v>
      </c>
      <c r="F70" s="1">
        <f>ROUND(INDEX(加速度入力!$B$56:$AV$206,ROWS($A$5:$A70),MATCH(F$4,加速度入力!$B$53:$AV$53,0)),1)</f>
        <v>30607.599999999999</v>
      </c>
    </row>
    <row r="71" spans="1:6" x14ac:dyDescent="0.25">
      <c r="A71" s="1">
        <f>加速度入力!B122</f>
        <v>66</v>
      </c>
      <c r="B71" s="1">
        <f>ROUND(INDEX(加速度入力!$B$56:$AV$206,ROWS($A$5:$A71),MATCH(B$4,加速度入力!$B$53:$AV$53,0)),1)</f>
        <v>53.4</v>
      </c>
      <c r="C71" s="1">
        <f>ROUND(INDEX(加速度入力!$B$56:$AV$206,ROWS($A$5:$A71),MATCH(C$4,加速度入力!$B$53:$AV$53,0)),1)</f>
        <v>8181.4</v>
      </c>
      <c r="D71" s="1">
        <f>ROUND(INDEX(加速度入力!$B$56:$AV$206,ROWS($A$5:$A71),MATCH(D$4,加速度入力!$B$53:$AV$53,0)),1)</f>
        <v>21147.200000000001</v>
      </c>
      <c r="E71" s="1">
        <f>ROUND(INDEX(加速度入力!$B$56:$AV$206,ROWS($A$5:$A71),MATCH(E$4,加速度入力!$B$53:$AV$53,0)),1)</f>
        <v>53476.800000000003</v>
      </c>
      <c r="F71" s="1">
        <f>ROUND(INDEX(加速度入力!$B$56:$AV$206,ROWS($A$5:$A71),MATCH(F$4,加速度入力!$B$53:$AV$53,0)),1)</f>
        <v>29772.6</v>
      </c>
    </row>
    <row r="72" spans="1:6" x14ac:dyDescent="0.25">
      <c r="A72" s="1">
        <f>加速度入力!B123</f>
        <v>67</v>
      </c>
      <c r="B72" s="1">
        <f>ROUND(INDEX(加速度入力!$B$56:$AV$206,ROWS($A$5:$A72),MATCH(B$4,加速度入力!$B$53:$AV$53,0)),1)</f>
        <v>51.4</v>
      </c>
      <c r="C72" s="1">
        <f>ROUND(INDEX(加速度入力!$B$56:$AV$206,ROWS($A$5:$A72),MATCH(C$4,加速度入力!$B$53:$AV$53,0)),1)</f>
        <v>7989.3</v>
      </c>
      <c r="D72" s="1">
        <f>ROUND(INDEX(加速度入力!$B$56:$AV$206,ROWS($A$5:$A72),MATCH(D$4,加速度入力!$B$53:$AV$53,0)),1)</f>
        <v>20520.599999999999</v>
      </c>
      <c r="E72" s="1">
        <f>ROUND(INDEX(加速度入力!$B$56:$AV$206,ROWS($A$5:$A72),MATCH(E$4,加速度入力!$B$53:$AV$53,0)),1)</f>
        <v>52039.6</v>
      </c>
      <c r="F72" s="1">
        <f>ROUND(INDEX(加速度入力!$B$56:$AV$206,ROWS($A$5:$A72),MATCH(F$4,加速度入力!$B$53:$AV$53,0)),1)</f>
        <v>28972.5</v>
      </c>
    </row>
    <row r="73" spans="1:6" x14ac:dyDescent="0.25">
      <c r="A73" s="1">
        <f>加速度入力!B124</f>
        <v>68</v>
      </c>
      <c r="B73" s="1">
        <f>ROUND(INDEX(加速度入力!$B$56:$AV$206,ROWS($A$5:$A73),MATCH(B$4,加速度入力!$B$53:$AV$53,0)),1)</f>
        <v>49.5</v>
      </c>
      <c r="C73" s="1">
        <f>ROUND(INDEX(加速度入力!$B$56:$AV$206,ROWS($A$5:$A73),MATCH(C$4,加速度入力!$B$53:$AV$53,0)),1)</f>
        <v>7804.5</v>
      </c>
      <c r="D73" s="1">
        <f>ROUND(INDEX(加速度入力!$B$56:$AV$206,ROWS($A$5:$A73),MATCH(D$4,加速度入力!$B$53:$AV$53,0)),1)</f>
        <v>19921.5</v>
      </c>
      <c r="E73" s="1">
        <f>ROUND(INDEX(加速度入力!$B$56:$AV$206,ROWS($A$5:$A73),MATCH(E$4,加速度入力!$B$53:$AV$53,0)),1)</f>
        <v>50661.5</v>
      </c>
      <c r="F73" s="1">
        <f>ROUND(INDEX(加速度入力!$B$56:$AV$206,ROWS($A$5:$A73),MATCH(F$4,加速度入力!$B$53:$AV$53,0)),1)</f>
        <v>28205.200000000001</v>
      </c>
    </row>
    <row r="74" spans="1:6" x14ac:dyDescent="0.25">
      <c r="A74" s="1">
        <f>加速度入力!B125</f>
        <v>69</v>
      </c>
      <c r="B74" s="1">
        <f>ROUND(INDEX(加速度入力!$B$56:$AV$206,ROWS($A$5:$A74),MATCH(B$4,加速度入力!$B$53:$AV$53,0)),1)</f>
        <v>47.7</v>
      </c>
      <c r="C74" s="1">
        <f>ROUND(INDEX(加速度入力!$B$56:$AV$206,ROWS($A$5:$A74),MATCH(C$4,加速度入力!$B$53:$AV$53,0)),1)</f>
        <v>7626.5</v>
      </c>
      <c r="D74" s="1">
        <f>ROUND(INDEX(加速度入力!$B$56:$AV$206,ROWS($A$5:$A74),MATCH(D$4,加速度入力!$B$53:$AV$53,0)),1)</f>
        <v>19348.3</v>
      </c>
      <c r="E74" s="1">
        <f>ROUND(INDEX(加速度入力!$B$56:$AV$206,ROWS($A$5:$A74),MATCH(E$4,加速度入力!$B$53:$AV$53,0)),1)</f>
        <v>49339.1</v>
      </c>
      <c r="F74" s="1">
        <f>ROUND(INDEX(加速度入力!$B$56:$AV$206,ROWS($A$5:$A74),MATCH(F$4,加速度入力!$B$53:$AV$53,0)),1)</f>
        <v>27469</v>
      </c>
    </row>
    <row r="75" spans="1:6" x14ac:dyDescent="0.25">
      <c r="A75" s="1">
        <f>加速度入力!B126</f>
        <v>70</v>
      </c>
      <c r="B75" s="1">
        <f>ROUND(INDEX(加速度入力!$B$56:$AV$206,ROWS($A$5:$A75),MATCH(B$4,加速度入力!$B$53:$AV$53,0)),1)</f>
        <v>46.1</v>
      </c>
      <c r="C75" s="1">
        <f>ROUND(INDEX(加速度入力!$B$56:$AV$206,ROWS($A$5:$A75),MATCH(C$4,加速度入力!$B$53:$AV$53,0)),1)</f>
        <v>7455.1</v>
      </c>
      <c r="D75" s="1">
        <f>ROUND(INDEX(加速度入力!$B$56:$AV$206,ROWS($A$5:$A75),MATCH(D$4,加速度入力!$B$53:$AV$53,0)),1)</f>
        <v>18799.400000000001</v>
      </c>
      <c r="E75" s="1">
        <f>ROUND(INDEX(加速度入力!$B$56:$AV$206,ROWS($A$5:$A75),MATCH(E$4,加速度入力!$B$53:$AV$53,0)),1)</f>
        <v>48069.599999999999</v>
      </c>
      <c r="F75" s="1">
        <f>ROUND(INDEX(加速度入力!$B$56:$AV$206,ROWS($A$5:$A75),MATCH(F$4,加速度入力!$B$53:$AV$53,0)),1)</f>
        <v>26762.2</v>
      </c>
    </row>
    <row r="76" spans="1:6" x14ac:dyDescent="0.25">
      <c r="A76" s="1">
        <f>加速度入力!B127</f>
        <v>71</v>
      </c>
      <c r="B76" s="1">
        <f>ROUND(INDEX(加速度入力!$B$56:$AV$206,ROWS($A$5:$A76),MATCH(B$4,加速度入力!$B$53:$AV$53,0)),1)</f>
        <v>44.5</v>
      </c>
      <c r="C76" s="1">
        <f>ROUND(INDEX(加速度入力!$B$56:$AV$206,ROWS($A$5:$A76),MATCH(C$4,加速度入力!$B$53:$AV$53,0)),1)</f>
        <v>7289.8</v>
      </c>
      <c r="D76" s="1">
        <f>ROUND(INDEX(加速度入力!$B$56:$AV$206,ROWS($A$5:$A76),MATCH(D$4,加速度入力!$B$53:$AV$53,0)),1)</f>
        <v>18273.599999999999</v>
      </c>
      <c r="E76" s="1">
        <f>ROUND(INDEX(加速度入力!$B$56:$AV$206,ROWS($A$5:$A76),MATCH(E$4,加速度入力!$B$53:$AV$53,0)),1)</f>
        <v>46850.1</v>
      </c>
      <c r="F76" s="1">
        <f>ROUND(INDEX(加速度入力!$B$56:$AV$206,ROWS($A$5:$A76),MATCH(F$4,加速度入力!$B$53:$AV$53,0)),1)</f>
        <v>26083.200000000001</v>
      </c>
    </row>
    <row r="77" spans="1:6" x14ac:dyDescent="0.25">
      <c r="A77" s="1">
        <f>加速度入力!B128</f>
        <v>72</v>
      </c>
      <c r="B77" s="1">
        <f>ROUND(INDEX(加速度入力!$B$56:$AV$206,ROWS($A$5:$A77),MATCH(B$4,加速度入力!$B$53:$AV$53,0)),1)</f>
        <v>42.9</v>
      </c>
      <c r="C77" s="1">
        <f>ROUND(INDEX(加速度入力!$B$56:$AV$206,ROWS($A$5:$A77),MATCH(C$4,加速度入力!$B$53:$AV$53,0)),1)</f>
        <v>7130.5</v>
      </c>
      <c r="D77" s="1">
        <f>ROUND(INDEX(加速度入力!$B$56:$AV$206,ROWS($A$5:$A77),MATCH(D$4,加速度入力!$B$53:$AV$53,0)),1)</f>
        <v>17769.5</v>
      </c>
      <c r="E77" s="1">
        <f>ROUND(INDEX(加速度入力!$B$56:$AV$206,ROWS($A$5:$A77),MATCH(E$4,加速度入力!$B$53:$AV$53,0)),1)</f>
        <v>45677.9</v>
      </c>
      <c r="F77" s="1">
        <f>ROUND(INDEX(加速度入力!$B$56:$AV$206,ROWS($A$5:$A77),MATCH(F$4,加速度入力!$B$53:$AV$53,0)),1)</f>
        <v>25430.6</v>
      </c>
    </row>
    <row r="78" spans="1:6" x14ac:dyDescent="0.25">
      <c r="A78" s="1">
        <f>加速度入力!B129</f>
        <v>73</v>
      </c>
      <c r="B78" s="1">
        <f>ROUND(INDEX(加速度入力!$B$56:$AV$206,ROWS($A$5:$A78),MATCH(B$4,加速度入力!$B$53:$AV$53,0)),1)</f>
        <v>41.5</v>
      </c>
      <c r="C78" s="1">
        <f>ROUND(INDEX(加速度入力!$B$56:$AV$206,ROWS($A$5:$A78),MATCH(C$4,加速度入力!$B$53:$AV$53,0)),1)</f>
        <v>6976.8</v>
      </c>
      <c r="D78" s="1">
        <f>ROUND(INDEX(加速度入力!$B$56:$AV$206,ROWS($A$5:$A78),MATCH(D$4,加速度入力!$B$53:$AV$53,0)),1)</f>
        <v>17286</v>
      </c>
      <c r="E78" s="1">
        <f>ROUND(INDEX(加速度入力!$B$56:$AV$206,ROWS($A$5:$A78),MATCH(E$4,加速度入力!$B$53:$AV$53,0)),1)</f>
        <v>44550.6</v>
      </c>
      <c r="F78" s="1">
        <f>ROUND(INDEX(加速度入力!$B$56:$AV$206,ROWS($A$5:$A78),MATCH(F$4,加速度入力!$B$53:$AV$53,0)),1)</f>
        <v>24803</v>
      </c>
    </row>
    <row r="79" spans="1:6" x14ac:dyDescent="0.25">
      <c r="A79" s="1">
        <f>加速度入力!B130</f>
        <v>74</v>
      </c>
      <c r="B79" s="1">
        <f>ROUND(INDEX(加速度入力!$B$56:$AV$206,ROWS($A$5:$A79),MATCH(B$4,加速度入力!$B$53:$AV$53,0)),1)</f>
        <v>40.1</v>
      </c>
      <c r="C79" s="1">
        <f>ROUND(INDEX(加速度入力!$B$56:$AV$206,ROWS($A$5:$A79),MATCH(C$4,加速度入力!$B$53:$AV$53,0)),1)</f>
        <v>6828.4</v>
      </c>
      <c r="D79" s="1">
        <f>ROUND(INDEX(加速度入力!$B$56:$AV$206,ROWS($A$5:$A79),MATCH(D$4,加速度入力!$B$53:$AV$53,0)),1)</f>
        <v>16822</v>
      </c>
      <c r="E79" s="1">
        <f>ROUND(INDEX(加速度入力!$B$56:$AV$206,ROWS($A$5:$A79),MATCH(E$4,加速度入力!$B$53:$AV$53,0)),1)</f>
        <v>43465.9</v>
      </c>
      <c r="F79" s="1">
        <f>ROUND(INDEX(加速度入力!$B$56:$AV$206,ROWS($A$5:$A79),MATCH(F$4,加速度入力!$B$53:$AV$53,0)),1)</f>
        <v>24199.1</v>
      </c>
    </row>
    <row r="80" spans="1:6" x14ac:dyDescent="0.25">
      <c r="A80" s="1">
        <f>加速度入力!B131</f>
        <v>75</v>
      </c>
      <c r="B80" s="1">
        <f>ROUND(INDEX(加速度入力!$B$56:$AV$206,ROWS($A$5:$A80),MATCH(B$4,加速度入力!$B$53:$AV$53,0)),1)</f>
        <v>38.799999999999997</v>
      </c>
      <c r="C80" s="1">
        <f>ROUND(INDEX(加速度入力!$B$56:$AV$206,ROWS($A$5:$A80),MATCH(C$4,加速度入力!$B$53:$AV$53,0)),1)</f>
        <v>6685.1</v>
      </c>
      <c r="D80" s="1">
        <f>ROUND(INDEX(加速度入力!$B$56:$AV$206,ROWS($A$5:$A80),MATCH(D$4,加速度入力!$B$53:$AV$53,0)),1)</f>
        <v>16376.4</v>
      </c>
      <c r="E80" s="1">
        <f>ROUND(INDEX(加速度入力!$B$56:$AV$206,ROWS($A$5:$A80),MATCH(E$4,加速度入力!$B$53:$AV$53,0)),1)</f>
        <v>42421.599999999999</v>
      </c>
      <c r="F80" s="1">
        <f>ROUND(INDEX(加速度入力!$B$56:$AV$206,ROWS($A$5:$A80),MATCH(F$4,加速度入力!$B$53:$AV$53,0)),1)</f>
        <v>23617.8</v>
      </c>
    </row>
    <row r="81" spans="1:6" x14ac:dyDescent="0.25">
      <c r="A81" s="1">
        <f>加速度入力!B132</f>
        <v>76</v>
      </c>
      <c r="B81" s="1">
        <f>ROUND(INDEX(加速度入力!$B$56:$AV$206,ROWS($A$5:$A81),MATCH(B$4,加速度入力!$B$53:$AV$53,0)),1)</f>
        <v>37.5</v>
      </c>
      <c r="C81" s="1">
        <f>ROUND(INDEX(加速度入力!$B$56:$AV$206,ROWS($A$5:$A81),MATCH(C$4,加速度入力!$B$53:$AV$53,0)),1)</f>
        <v>6546.7</v>
      </c>
      <c r="D81" s="1">
        <f>ROUND(INDEX(加速度入力!$B$56:$AV$206,ROWS($A$5:$A81),MATCH(D$4,加速度入力!$B$53:$AV$53,0)),1)</f>
        <v>15948.3</v>
      </c>
      <c r="E81" s="1">
        <f>ROUND(INDEX(加速度入力!$B$56:$AV$206,ROWS($A$5:$A81),MATCH(E$4,加速度入力!$B$53:$AV$53,0)),1)</f>
        <v>41415.800000000003</v>
      </c>
      <c r="F81" s="1">
        <f>ROUND(INDEX(加速度入力!$B$56:$AV$206,ROWS($A$5:$A81),MATCH(F$4,加速度入力!$B$53:$AV$53,0)),1)</f>
        <v>23057.8</v>
      </c>
    </row>
    <row r="82" spans="1:6" x14ac:dyDescent="0.25">
      <c r="A82" s="1">
        <f>加速度入力!B133</f>
        <v>77</v>
      </c>
      <c r="B82" s="1">
        <f>ROUND(INDEX(加速度入力!$B$56:$AV$206,ROWS($A$5:$A82),MATCH(B$4,加速度入力!$B$53:$AV$53,0)),1)</f>
        <v>36.299999999999997</v>
      </c>
      <c r="C82" s="1">
        <f>ROUND(INDEX(加速度入力!$B$56:$AV$206,ROWS($A$5:$A82),MATCH(C$4,加速度入力!$B$53:$AV$53,0)),1)</f>
        <v>6412.9</v>
      </c>
      <c r="D82" s="1">
        <f>ROUND(INDEX(加速度入力!$B$56:$AV$206,ROWS($A$5:$A82),MATCH(D$4,加速度入力!$B$53:$AV$53,0)),1)</f>
        <v>15536.7</v>
      </c>
      <c r="E82" s="1">
        <f>ROUND(INDEX(加速度入力!$B$56:$AV$206,ROWS($A$5:$A82),MATCH(E$4,加速度入力!$B$53:$AV$53,0)),1)</f>
        <v>40446.5</v>
      </c>
      <c r="F82" s="1">
        <f>ROUND(INDEX(加速度入力!$B$56:$AV$206,ROWS($A$5:$A82),MATCH(F$4,加速度入力!$B$53:$AV$53,0)),1)</f>
        <v>22518.1</v>
      </c>
    </row>
    <row r="83" spans="1:6" x14ac:dyDescent="0.25">
      <c r="A83" s="1">
        <f>加速度入力!B134</f>
        <v>78</v>
      </c>
      <c r="B83" s="1">
        <f>ROUND(INDEX(加速度入力!$B$56:$AV$206,ROWS($A$5:$A83),MATCH(B$4,加速度入力!$B$53:$AV$53,0)),1)</f>
        <v>35.1</v>
      </c>
      <c r="C83" s="1">
        <f>ROUND(INDEX(加速度入力!$B$56:$AV$206,ROWS($A$5:$A83),MATCH(C$4,加速度入力!$B$53:$AV$53,0)),1)</f>
        <v>6283.4</v>
      </c>
      <c r="D83" s="1">
        <f>ROUND(INDEX(加速度入力!$B$56:$AV$206,ROWS($A$5:$A83),MATCH(D$4,加速度入力!$B$53:$AV$53,0)),1)</f>
        <v>15140.9</v>
      </c>
      <c r="E83" s="1">
        <f>ROUND(INDEX(加速度入力!$B$56:$AV$206,ROWS($A$5:$A83),MATCH(E$4,加速度入力!$B$53:$AV$53,0)),1)</f>
        <v>39512</v>
      </c>
      <c r="F83" s="1">
        <f>ROUND(INDEX(加速度入力!$B$56:$AV$206,ROWS($A$5:$A83),MATCH(F$4,加速度入力!$B$53:$AV$53,0)),1)</f>
        <v>21997.8</v>
      </c>
    </row>
    <row r="84" spans="1:6" x14ac:dyDescent="0.25">
      <c r="A84" s="1">
        <f>加速度入力!B135</f>
        <v>79</v>
      </c>
      <c r="B84" s="1">
        <f>ROUND(INDEX(加速度入力!$B$56:$AV$206,ROWS($A$5:$A84),MATCH(B$4,加速度入力!$B$53:$AV$53,0)),1)</f>
        <v>34</v>
      </c>
      <c r="C84" s="1">
        <f>ROUND(INDEX(加速度入力!$B$56:$AV$206,ROWS($A$5:$A84),MATCH(C$4,加速度入力!$B$53:$AV$53,0)),1)</f>
        <v>6158.2</v>
      </c>
      <c r="D84" s="1">
        <f>ROUND(INDEX(加速度入力!$B$56:$AV$206,ROWS($A$5:$A84),MATCH(D$4,加速度入力!$B$53:$AV$53,0)),1)</f>
        <v>14760</v>
      </c>
      <c r="E84" s="1">
        <f>ROUND(INDEX(加速度入力!$B$56:$AV$206,ROWS($A$5:$A84),MATCH(E$4,加速度入力!$B$53:$AV$53,0)),1)</f>
        <v>38610.5</v>
      </c>
      <c r="F84" s="1">
        <f>ROUND(INDEX(加速度入力!$B$56:$AV$206,ROWS($A$5:$A84),MATCH(F$4,加速度入力!$B$53:$AV$53,0)),1)</f>
        <v>21496</v>
      </c>
    </row>
    <row r="85" spans="1:6" x14ac:dyDescent="0.25">
      <c r="A85" s="1">
        <f>加速度入力!B136</f>
        <v>80</v>
      </c>
      <c r="B85" s="1">
        <f>ROUND(INDEX(加速度入力!$B$56:$AV$206,ROWS($A$5:$A85),MATCH(B$4,加速度入力!$B$53:$AV$53,0)),1)</f>
        <v>33</v>
      </c>
      <c r="C85" s="1">
        <f>ROUND(INDEX(加速度入力!$B$56:$AV$206,ROWS($A$5:$A85),MATCH(C$4,加速度入力!$B$53:$AV$53,0)),1)</f>
        <v>6037</v>
      </c>
      <c r="D85" s="1">
        <f>ROUND(INDEX(加速度入力!$B$56:$AV$206,ROWS($A$5:$A85),MATCH(D$4,加速度入力!$B$53:$AV$53,0)),1)</f>
        <v>14393.3</v>
      </c>
      <c r="E85" s="1">
        <f>ROUND(INDEX(加速度入力!$B$56:$AV$206,ROWS($A$5:$A85),MATCH(E$4,加速度入力!$B$53:$AV$53,0)),1)</f>
        <v>37740.6</v>
      </c>
      <c r="F85" s="1">
        <f>ROUND(INDEX(加速度入力!$B$56:$AV$206,ROWS($A$5:$A85),MATCH(F$4,加速度入力!$B$53:$AV$53,0)),1)</f>
        <v>21011.7</v>
      </c>
    </row>
    <row r="86" spans="1:6" x14ac:dyDescent="0.25">
      <c r="A86" s="1">
        <f>加速度入力!B137</f>
        <v>81</v>
      </c>
      <c r="B86" s="1">
        <f>ROUND(INDEX(加速度入力!$B$56:$AV$206,ROWS($A$5:$A86),MATCH(B$4,加速度入力!$B$53:$AV$53,0)),1)</f>
        <v>32</v>
      </c>
      <c r="C86" s="1">
        <f>ROUND(INDEX(加速度入力!$B$56:$AV$206,ROWS($A$5:$A86),MATCH(C$4,加速度入力!$B$53:$AV$53,0)),1)</f>
        <v>5919.7</v>
      </c>
      <c r="D86" s="1">
        <f>ROUND(INDEX(加速度入力!$B$56:$AV$206,ROWS($A$5:$A86),MATCH(D$4,加速度入力!$B$53:$AV$53,0)),1)</f>
        <v>14040.1</v>
      </c>
      <c r="E86" s="1">
        <f>ROUND(INDEX(加速度入力!$B$56:$AV$206,ROWS($A$5:$A86),MATCH(E$4,加速度入力!$B$53:$AV$53,0)),1)</f>
        <v>36900.699999999997</v>
      </c>
      <c r="F86" s="1">
        <f>ROUND(INDEX(加速度入力!$B$56:$AV$206,ROWS($A$5:$A86),MATCH(F$4,加速度入力!$B$53:$AV$53,0)),1)</f>
        <v>20544.099999999999</v>
      </c>
    </row>
    <row r="87" spans="1:6" x14ac:dyDescent="0.25">
      <c r="A87" s="1">
        <f>加速度入力!B138</f>
        <v>82</v>
      </c>
      <c r="B87" s="1">
        <f>ROUND(INDEX(加速度入力!$B$56:$AV$206,ROWS($A$5:$A87),MATCH(B$4,加速度入力!$B$53:$AV$53,0)),1)</f>
        <v>31</v>
      </c>
      <c r="C87" s="1">
        <f>ROUND(INDEX(加速度入力!$B$56:$AV$206,ROWS($A$5:$A87),MATCH(C$4,加速度入力!$B$53:$AV$53,0)),1)</f>
        <v>5806</v>
      </c>
      <c r="D87" s="1">
        <f>ROUND(INDEX(加速度入力!$B$56:$AV$206,ROWS($A$5:$A87),MATCH(D$4,加速度入力!$B$53:$AV$53,0)),1)</f>
        <v>13699.8</v>
      </c>
      <c r="E87" s="1">
        <f>ROUND(INDEX(加速度入力!$B$56:$AV$206,ROWS($A$5:$A87),MATCH(E$4,加速度入力!$B$53:$AV$53,0)),1)</f>
        <v>36089.5</v>
      </c>
      <c r="F87" s="1">
        <f>ROUND(INDEX(加速度入力!$B$56:$AV$206,ROWS($A$5:$A87),MATCH(F$4,加速度入力!$B$53:$AV$53,0)),1)</f>
        <v>20092.400000000001</v>
      </c>
    </row>
    <row r="88" spans="1:6" x14ac:dyDescent="0.25">
      <c r="A88" s="1">
        <f>加速度入力!B139</f>
        <v>83</v>
      </c>
      <c r="B88" s="1">
        <f>ROUND(INDEX(加速度入力!$B$56:$AV$206,ROWS($A$5:$A88),MATCH(B$4,加速度入力!$B$53:$AV$53,0)),1)</f>
        <v>30.1</v>
      </c>
      <c r="C88" s="1">
        <f>ROUND(INDEX(加速度入力!$B$56:$AV$206,ROWS($A$5:$A88),MATCH(C$4,加速度入力!$B$53:$AV$53,0)),1)</f>
        <v>5695.9</v>
      </c>
      <c r="D88" s="1">
        <f>ROUND(INDEX(加速度入力!$B$56:$AV$206,ROWS($A$5:$A88),MATCH(D$4,加速度入力!$B$53:$AV$53,0)),1)</f>
        <v>13371.6</v>
      </c>
      <c r="E88" s="1">
        <f>ROUND(INDEX(加速度入力!$B$56:$AV$206,ROWS($A$5:$A88),MATCH(E$4,加速度入力!$B$53:$AV$53,0)),1)</f>
        <v>35305.599999999999</v>
      </c>
      <c r="F88" s="1">
        <f>ROUND(INDEX(加速度入力!$B$56:$AV$206,ROWS($A$5:$A88),MATCH(F$4,加速度入力!$B$53:$AV$53,0)),1)</f>
        <v>19656</v>
      </c>
    </row>
    <row r="89" spans="1:6" x14ac:dyDescent="0.25">
      <c r="A89" s="1">
        <f>加速度入力!B140</f>
        <v>84</v>
      </c>
      <c r="B89" s="1">
        <f>ROUND(INDEX(加速度入力!$B$56:$AV$206,ROWS($A$5:$A89),MATCH(B$4,加速度入力!$B$53:$AV$53,0)),1)</f>
        <v>29.2</v>
      </c>
      <c r="C89" s="1">
        <f>ROUND(INDEX(加速度入力!$B$56:$AV$206,ROWS($A$5:$A89),MATCH(C$4,加速度入力!$B$53:$AV$53,0)),1)</f>
        <v>5589.1</v>
      </c>
      <c r="D89" s="1">
        <f>ROUND(INDEX(加速度入力!$B$56:$AV$206,ROWS($A$5:$A89),MATCH(D$4,加速度入力!$B$53:$AV$53,0)),1)</f>
        <v>13055.1</v>
      </c>
      <c r="E89" s="1">
        <f>ROUND(INDEX(加速度入力!$B$56:$AV$206,ROWS($A$5:$A89),MATCH(E$4,加速度入力!$B$53:$AV$53,0)),1)</f>
        <v>34547.9</v>
      </c>
      <c r="F89" s="1">
        <f>ROUND(INDEX(加速度入力!$B$56:$AV$206,ROWS($A$5:$A89),MATCH(F$4,加速度入力!$B$53:$AV$53,0)),1)</f>
        <v>19234.099999999999</v>
      </c>
    </row>
    <row r="90" spans="1:6" x14ac:dyDescent="0.25">
      <c r="A90" s="1">
        <f>加速度入力!B141</f>
        <v>85</v>
      </c>
      <c r="B90" s="1">
        <f>ROUND(INDEX(加速度入力!$B$56:$AV$206,ROWS($A$5:$A90),MATCH(B$4,加速度入力!$B$53:$AV$53,0)),1)</f>
        <v>28.3</v>
      </c>
      <c r="C90" s="1">
        <f>ROUND(INDEX(加速度入力!$B$56:$AV$206,ROWS($A$5:$A90),MATCH(C$4,加速度入力!$B$53:$AV$53,0)),1)</f>
        <v>5485.6</v>
      </c>
      <c r="D90" s="1">
        <f>ROUND(INDEX(加速度入力!$B$56:$AV$206,ROWS($A$5:$A90),MATCH(D$4,加速度入力!$B$53:$AV$53,0)),1)</f>
        <v>12749.8</v>
      </c>
      <c r="E90" s="1">
        <f>ROUND(INDEX(加速度入力!$B$56:$AV$206,ROWS($A$5:$A90),MATCH(E$4,加速度入力!$B$53:$AV$53,0)),1)</f>
        <v>33815.1</v>
      </c>
      <c r="F90" s="1">
        <f>ROUND(INDEX(加速度入力!$B$56:$AV$206,ROWS($A$5:$A90),MATCH(F$4,加速度入力!$B$53:$AV$53,0)),1)</f>
        <v>18826.099999999999</v>
      </c>
    </row>
    <row r="91" spans="1:6" x14ac:dyDescent="0.25">
      <c r="A91" s="1">
        <f>加速度入力!B142</f>
        <v>86</v>
      </c>
      <c r="B91" s="1">
        <f>ROUND(INDEX(加速度入力!$B$56:$AV$206,ROWS($A$5:$A91),MATCH(B$4,加速度入力!$B$53:$AV$53,0)),1)</f>
        <v>27.5</v>
      </c>
      <c r="C91" s="1">
        <f>ROUND(INDEX(加速度入力!$B$56:$AV$206,ROWS($A$5:$A91),MATCH(C$4,加速度入力!$B$53:$AV$53,0)),1)</f>
        <v>5385.2</v>
      </c>
      <c r="D91" s="1">
        <f>ROUND(INDEX(加速度入力!$B$56:$AV$206,ROWS($A$5:$A91),MATCH(D$4,加速度入力!$B$53:$AV$53,0)),1)</f>
        <v>12455</v>
      </c>
      <c r="E91" s="1">
        <f>ROUND(INDEX(加速度入力!$B$56:$AV$206,ROWS($A$5:$A91),MATCH(E$4,加速度入力!$B$53:$AV$53,0)),1)</f>
        <v>33106.1</v>
      </c>
      <c r="F91" s="1">
        <f>ROUND(INDEX(加速度入力!$B$56:$AV$206,ROWS($A$5:$A91),MATCH(F$4,加速度入力!$B$53:$AV$53,0)),1)</f>
        <v>18431.400000000001</v>
      </c>
    </row>
    <row r="92" spans="1:6" x14ac:dyDescent="0.25">
      <c r="A92" s="1">
        <f>加速度入力!B143</f>
        <v>87</v>
      </c>
      <c r="B92" s="1">
        <f>ROUND(INDEX(加速度入力!$B$56:$AV$206,ROWS($A$5:$A92),MATCH(B$4,加速度入力!$B$53:$AV$53,0)),1)</f>
        <v>26.7</v>
      </c>
      <c r="C92" s="1">
        <f>ROUND(INDEX(加速度入力!$B$56:$AV$206,ROWS($A$5:$A92),MATCH(C$4,加速度入力!$B$53:$AV$53,0)),1)</f>
        <v>5287.7</v>
      </c>
      <c r="D92" s="1">
        <f>ROUND(INDEX(加速度入力!$B$56:$AV$206,ROWS($A$5:$A92),MATCH(D$4,加速度入力!$B$53:$AV$53,0)),1)</f>
        <v>12170.3</v>
      </c>
      <c r="E92" s="1">
        <f>ROUND(INDEX(加速度入力!$B$56:$AV$206,ROWS($A$5:$A92),MATCH(E$4,加速度入力!$B$53:$AV$53,0)),1)</f>
        <v>32419.9</v>
      </c>
      <c r="F92" s="1">
        <f>ROUND(INDEX(加速度入力!$B$56:$AV$206,ROWS($A$5:$A92),MATCH(F$4,加速度入力!$B$53:$AV$53,0)),1)</f>
        <v>18049.400000000001</v>
      </c>
    </row>
    <row r="93" spans="1:6" x14ac:dyDescent="0.25">
      <c r="A93" s="1">
        <f>加速度入力!B144</f>
        <v>88</v>
      </c>
      <c r="B93" s="1">
        <f>ROUND(INDEX(加速度入力!$B$56:$AV$206,ROWS($A$5:$A93),MATCH(B$4,加速度入力!$B$53:$AV$53,0)),1)</f>
        <v>26</v>
      </c>
      <c r="C93" s="1">
        <f>ROUND(INDEX(加速度入力!$B$56:$AV$206,ROWS($A$5:$A93),MATCH(C$4,加速度入力!$B$53:$AV$53,0)),1)</f>
        <v>5193.1000000000004</v>
      </c>
      <c r="D93" s="1">
        <f>ROUND(INDEX(加速度入力!$B$56:$AV$206,ROWS($A$5:$A93),MATCH(D$4,加速度入力!$B$53:$AV$53,0)),1)</f>
        <v>11895.3</v>
      </c>
      <c r="E93" s="1">
        <f>ROUND(INDEX(加速度入力!$B$56:$AV$206,ROWS($A$5:$A93),MATCH(E$4,加速度入力!$B$53:$AV$53,0)),1)</f>
        <v>31755.599999999999</v>
      </c>
      <c r="F93" s="1">
        <f>ROUND(INDEX(加速度入力!$B$56:$AV$206,ROWS($A$5:$A93),MATCH(F$4,加速度入力!$B$53:$AV$53,0)),1)</f>
        <v>17679.5</v>
      </c>
    </row>
    <row r="94" spans="1:6" x14ac:dyDescent="0.25">
      <c r="A94" s="1">
        <f>加速度入力!B145</f>
        <v>89</v>
      </c>
      <c r="B94" s="1">
        <f>ROUND(INDEX(加速度入力!$B$56:$AV$206,ROWS($A$5:$A94),MATCH(B$4,加速度入力!$B$53:$AV$53,0)),1)</f>
        <v>25.3</v>
      </c>
      <c r="C94" s="1">
        <f>ROUND(INDEX(加速度入力!$B$56:$AV$206,ROWS($A$5:$A94),MATCH(C$4,加速度入力!$B$53:$AV$53,0)),1)</f>
        <v>5101.2</v>
      </c>
      <c r="D94" s="1">
        <f>ROUND(INDEX(加速度入力!$B$56:$AV$206,ROWS($A$5:$A94),MATCH(D$4,加速度入力!$B$53:$AV$53,0)),1)</f>
        <v>11629.5</v>
      </c>
      <c r="E94" s="1">
        <f>ROUND(INDEX(加速度入力!$B$56:$AV$206,ROWS($A$5:$A94),MATCH(E$4,加速度入力!$B$53:$AV$53,0)),1)</f>
        <v>31112.1</v>
      </c>
      <c r="F94" s="1">
        <f>ROUND(INDEX(加速度入力!$B$56:$AV$206,ROWS($A$5:$A94),MATCH(F$4,加速度入力!$B$53:$AV$53,0)),1)</f>
        <v>17321.3</v>
      </c>
    </row>
    <row r="95" spans="1:6" x14ac:dyDescent="0.25">
      <c r="A95" s="1">
        <f>加速度入力!B146</f>
        <v>90</v>
      </c>
      <c r="B95" s="1">
        <f>ROUND(INDEX(加速度入力!$B$56:$AV$206,ROWS($A$5:$A95),MATCH(B$4,加速度入力!$B$53:$AV$53,0)),1)</f>
        <v>24.6</v>
      </c>
      <c r="C95" s="1">
        <f>ROUND(INDEX(加速度入力!$B$56:$AV$206,ROWS($A$5:$A95),MATCH(C$4,加速度入力!$B$53:$AV$53,0)),1)</f>
        <v>5011.8999999999996</v>
      </c>
      <c r="D95" s="1">
        <f>ROUND(INDEX(加速度入力!$B$56:$AV$206,ROWS($A$5:$A95),MATCH(D$4,加速度入力!$B$53:$AV$53,0)),1)</f>
        <v>11372.5</v>
      </c>
      <c r="E95" s="1">
        <f>ROUND(INDEX(加速度入力!$B$56:$AV$206,ROWS($A$5:$A95),MATCH(E$4,加速度入力!$B$53:$AV$53,0)),1)</f>
        <v>30488.7</v>
      </c>
      <c r="F95" s="1">
        <f>ROUND(INDEX(加速度入力!$B$56:$AV$206,ROWS($A$5:$A95),MATCH(F$4,加速度入力!$B$53:$AV$53,0)),1)</f>
        <v>16974.2</v>
      </c>
    </row>
    <row r="96" spans="1:6" x14ac:dyDescent="0.25">
      <c r="A96" s="1">
        <f>加速度入力!B147</f>
        <v>91</v>
      </c>
      <c r="B96" s="1">
        <f>ROUND(INDEX(加速度入力!$B$56:$AV$206,ROWS($A$5:$A96),MATCH(B$4,加速度入力!$B$53:$AV$53,0)),1)</f>
        <v>23.9</v>
      </c>
      <c r="C96" s="1">
        <f>ROUND(INDEX(加速度入力!$B$56:$AV$206,ROWS($A$5:$A96),MATCH(C$4,加速度入力!$B$53:$AV$53,0)),1)</f>
        <v>4925.2</v>
      </c>
      <c r="D96" s="1">
        <f>ROUND(INDEX(加速度入力!$B$56:$AV$206,ROWS($A$5:$A96),MATCH(D$4,加速度入力!$B$53:$AV$53,0)),1)</f>
        <v>11123.9</v>
      </c>
      <c r="E96" s="1">
        <f>ROUND(INDEX(加速度入力!$B$56:$AV$206,ROWS($A$5:$A96),MATCH(E$4,加速度入力!$B$53:$AV$53,0)),1)</f>
        <v>29884.400000000001</v>
      </c>
      <c r="F96" s="1">
        <f>ROUND(INDEX(加速度入力!$B$56:$AV$206,ROWS($A$5:$A96),MATCH(F$4,加速度入力!$B$53:$AV$53,0)),1)</f>
        <v>16637.8</v>
      </c>
    </row>
    <row r="97" spans="1:6" x14ac:dyDescent="0.25">
      <c r="A97" s="1">
        <f>加速度入力!B148</f>
        <v>92</v>
      </c>
      <c r="B97" s="1">
        <f>ROUND(INDEX(加速度入力!$B$56:$AV$206,ROWS($A$5:$A97),MATCH(B$4,加速度入力!$B$53:$AV$53,0)),1)</f>
        <v>23.3</v>
      </c>
      <c r="C97" s="1">
        <f>ROUND(INDEX(加速度入力!$B$56:$AV$206,ROWS($A$5:$A97),MATCH(C$4,加速度入力!$B$53:$AV$53,0)),1)</f>
        <v>4840.8999999999996</v>
      </c>
      <c r="D97" s="1">
        <f>ROUND(INDEX(加速度入力!$B$56:$AV$206,ROWS($A$5:$A97),MATCH(D$4,加速度入力!$B$53:$AV$53,0)),1)</f>
        <v>10883.4</v>
      </c>
      <c r="E97" s="1">
        <f>ROUND(INDEX(加速度入力!$B$56:$AV$206,ROWS($A$5:$A97),MATCH(E$4,加速度入力!$B$53:$AV$53,0)),1)</f>
        <v>29298.5</v>
      </c>
      <c r="F97" s="1">
        <f>ROUND(INDEX(加速度入力!$B$56:$AV$206,ROWS($A$5:$A97),MATCH(F$4,加速度入力!$B$53:$AV$53,0)),1)</f>
        <v>16311.6</v>
      </c>
    </row>
    <row r="98" spans="1:6" x14ac:dyDescent="0.25">
      <c r="A98" s="1">
        <f>加速度入力!B149</f>
        <v>93</v>
      </c>
      <c r="B98" s="1">
        <f>ROUND(INDEX(加速度入力!$B$56:$AV$206,ROWS($A$5:$A98),MATCH(B$4,加速度入力!$B$53:$AV$53,0)),1)</f>
        <v>22.6</v>
      </c>
      <c r="C98" s="1">
        <f>ROUND(INDEX(加速度入力!$B$56:$AV$206,ROWS($A$5:$A98),MATCH(C$4,加速度入力!$B$53:$AV$53,0)),1)</f>
        <v>4758.8999999999996</v>
      </c>
      <c r="D98" s="1">
        <f>ROUND(INDEX(加速度入力!$B$56:$AV$206,ROWS($A$5:$A98),MATCH(D$4,加速度入力!$B$53:$AV$53,0)),1)</f>
        <v>10650.6</v>
      </c>
      <c r="E98" s="1">
        <f>ROUND(INDEX(加速度入力!$B$56:$AV$206,ROWS($A$5:$A98),MATCH(E$4,加速度入力!$B$53:$AV$53,0)),1)</f>
        <v>28730.3</v>
      </c>
      <c r="F98" s="1">
        <f>ROUND(INDEX(加速度入力!$B$56:$AV$206,ROWS($A$5:$A98),MATCH(F$4,加速度入力!$B$53:$AV$53,0)),1)</f>
        <v>15995.2</v>
      </c>
    </row>
    <row r="99" spans="1:6" x14ac:dyDescent="0.25">
      <c r="A99" s="1">
        <f>加速度入力!B150</f>
        <v>94</v>
      </c>
      <c r="B99" s="1">
        <f>ROUND(INDEX(加速度入力!$B$56:$AV$206,ROWS($A$5:$A99),MATCH(B$4,加速度入力!$B$53:$AV$53,0)),1)</f>
        <v>22</v>
      </c>
      <c r="C99" s="1">
        <f>ROUND(INDEX(加速度入力!$B$56:$AV$206,ROWS($A$5:$A99),MATCH(C$4,加速度入力!$B$53:$AV$53,0)),1)</f>
        <v>4679.1000000000004</v>
      </c>
      <c r="D99" s="1">
        <f>ROUND(INDEX(加速度入力!$B$56:$AV$206,ROWS($A$5:$A99),MATCH(D$4,加速度入力!$B$53:$AV$53,0)),1)</f>
        <v>10425.200000000001</v>
      </c>
      <c r="E99" s="1">
        <f>ROUND(INDEX(加速度入力!$B$56:$AV$206,ROWS($A$5:$A99),MATCH(E$4,加速度入力!$B$53:$AV$53,0)),1)</f>
        <v>28178.9</v>
      </c>
      <c r="F99" s="1">
        <f>ROUND(INDEX(加速度入力!$B$56:$AV$206,ROWS($A$5:$A99),MATCH(F$4,加速度入力!$B$53:$AV$53,0)),1)</f>
        <v>15688.3</v>
      </c>
    </row>
    <row r="100" spans="1:6" x14ac:dyDescent="0.25">
      <c r="A100" s="1">
        <f>加速度入力!B151</f>
        <v>95</v>
      </c>
      <c r="B100" s="1">
        <f>ROUND(INDEX(加速度入力!$B$56:$AV$206,ROWS($A$5:$A100),MATCH(B$4,加速度入力!$B$53:$AV$53,0)),1)</f>
        <v>21.5</v>
      </c>
      <c r="C100" s="1">
        <f>ROUND(INDEX(加速度入力!$B$56:$AV$206,ROWS($A$5:$A100),MATCH(C$4,加速度入力!$B$53:$AV$53,0)),1)</f>
        <v>4601.5</v>
      </c>
      <c r="D100" s="1">
        <f>ROUND(INDEX(加速度入力!$B$56:$AV$206,ROWS($A$5:$A100),MATCH(D$4,加速度入力!$B$53:$AV$53,0)),1)</f>
        <v>10206.9</v>
      </c>
      <c r="E100" s="1">
        <f>ROUND(INDEX(加速度入力!$B$56:$AV$206,ROWS($A$5:$A100),MATCH(E$4,加速度入力!$B$53:$AV$53,0)),1)</f>
        <v>27643.9</v>
      </c>
      <c r="F100" s="1">
        <f>ROUND(INDEX(加速度入力!$B$56:$AV$206,ROWS($A$5:$A100),MATCH(F$4,加速度入力!$B$53:$AV$53,0)),1)</f>
        <v>15390.4</v>
      </c>
    </row>
    <row r="101" spans="1:6" x14ac:dyDescent="0.25">
      <c r="A101" s="1">
        <f>加速度入力!B152</f>
        <v>96</v>
      </c>
      <c r="B101" s="1">
        <f>ROUND(INDEX(加速度入力!$B$56:$AV$206,ROWS($A$5:$A101),MATCH(B$4,加速度入力!$B$53:$AV$53,0)),1)</f>
        <v>20.9</v>
      </c>
      <c r="C101" s="1">
        <f>ROUND(INDEX(加速度入力!$B$56:$AV$206,ROWS($A$5:$A101),MATCH(C$4,加速度入力!$B$53:$AV$53,0)),1)</f>
        <v>4526</v>
      </c>
      <c r="D101" s="1">
        <f>ROUND(INDEX(加速度入力!$B$56:$AV$206,ROWS($A$5:$A101),MATCH(D$4,加速度入力!$B$53:$AV$53,0)),1)</f>
        <v>9995.2999999999993</v>
      </c>
      <c r="E101" s="1">
        <f>ROUND(INDEX(加速度入力!$B$56:$AV$206,ROWS($A$5:$A101),MATCH(E$4,加速度入力!$B$53:$AV$53,0)),1)</f>
        <v>27124.400000000001</v>
      </c>
      <c r="F101" s="1">
        <f>ROUND(INDEX(加速度入力!$B$56:$AV$206,ROWS($A$5:$A101),MATCH(F$4,加速度入力!$B$53:$AV$53,0)),1)</f>
        <v>15101.2</v>
      </c>
    </row>
    <row r="102" spans="1:6" x14ac:dyDescent="0.25">
      <c r="A102" s="1">
        <f>加速度入力!B153</f>
        <v>97</v>
      </c>
      <c r="B102" s="1">
        <f>ROUND(INDEX(加速度入力!$B$56:$AV$206,ROWS($A$5:$A102),MATCH(B$4,加速度入力!$B$53:$AV$53,0)),1)</f>
        <v>20.399999999999999</v>
      </c>
      <c r="C102" s="1">
        <f>ROUND(INDEX(加速度入力!$B$56:$AV$206,ROWS($A$5:$A102),MATCH(C$4,加速度入力!$B$53:$AV$53,0)),1)</f>
        <v>4452.5</v>
      </c>
      <c r="D102" s="1">
        <f>ROUND(INDEX(加速度入力!$B$56:$AV$206,ROWS($A$5:$A102),MATCH(D$4,加速度入力!$B$53:$AV$53,0)),1)</f>
        <v>9790.2999999999993</v>
      </c>
      <c r="E102" s="1">
        <f>ROUND(INDEX(加速度入力!$B$56:$AV$206,ROWS($A$5:$A102),MATCH(E$4,加速度入力!$B$53:$AV$53,0)),1)</f>
        <v>26619.9</v>
      </c>
      <c r="F102" s="1">
        <f>ROUND(INDEX(加速度入力!$B$56:$AV$206,ROWS($A$5:$A102),MATCH(F$4,加速度入力!$B$53:$AV$53,0)),1)</f>
        <v>14820.3</v>
      </c>
    </row>
    <row r="103" spans="1:6" x14ac:dyDescent="0.25">
      <c r="A103" s="1">
        <f>加速度入力!B154</f>
        <v>98</v>
      </c>
      <c r="B103" s="1">
        <f>ROUND(INDEX(加速度入力!$B$56:$AV$206,ROWS($A$5:$A103),MATCH(B$4,加速度入力!$B$53:$AV$53,0)),1)</f>
        <v>19.899999999999999</v>
      </c>
      <c r="C103" s="1">
        <f>ROUND(INDEX(加速度入力!$B$56:$AV$206,ROWS($A$5:$A103),MATCH(C$4,加速度入力!$B$53:$AV$53,0)),1)</f>
        <v>4381</v>
      </c>
      <c r="D103" s="1">
        <f>ROUND(INDEX(加速度入力!$B$56:$AV$206,ROWS($A$5:$A103),MATCH(D$4,加速度入力!$B$53:$AV$53,0)),1)</f>
        <v>9591.5</v>
      </c>
      <c r="E103" s="1">
        <f>ROUND(INDEX(加速度入力!$B$56:$AV$206,ROWS($A$5:$A103),MATCH(E$4,加速度入力!$B$53:$AV$53,0)),1)</f>
        <v>26129.8</v>
      </c>
      <c r="F103" s="1">
        <f>ROUND(INDEX(加速度入力!$B$56:$AV$206,ROWS($A$5:$A103),MATCH(F$4,加速度入力!$B$53:$AV$53,0)),1)</f>
        <v>14547.5</v>
      </c>
    </row>
    <row r="104" spans="1:6" x14ac:dyDescent="0.25">
      <c r="A104" s="1">
        <f>加速度入力!B155</f>
        <v>99</v>
      </c>
      <c r="B104" s="1">
        <f>ROUND(INDEX(加速度入力!$B$56:$AV$206,ROWS($A$5:$A104),MATCH(B$4,加速度入力!$B$53:$AV$53,0)),1)</f>
        <v>19.399999999999999</v>
      </c>
      <c r="C104" s="1">
        <f>ROUND(INDEX(加速度入力!$B$56:$AV$206,ROWS($A$5:$A104),MATCH(C$4,加速度入力!$B$53:$AV$53,0)),1)</f>
        <v>4311.2</v>
      </c>
      <c r="D104" s="1">
        <f>ROUND(INDEX(加速度入力!$B$56:$AV$206,ROWS($A$5:$A104),MATCH(D$4,加速度入力!$B$53:$AV$53,0)),1)</f>
        <v>9398.7000000000007</v>
      </c>
      <c r="E104" s="1">
        <f>ROUND(INDEX(加速度入力!$B$56:$AV$206,ROWS($A$5:$A104),MATCH(E$4,加速度入力!$B$53:$AV$53,0)),1)</f>
        <v>25653.599999999999</v>
      </c>
      <c r="F104" s="1">
        <f>ROUND(INDEX(加速度入力!$B$56:$AV$206,ROWS($A$5:$A104),MATCH(F$4,加速度入力!$B$53:$AV$53,0)),1)</f>
        <v>14282.4</v>
      </c>
    </row>
    <row r="105" spans="1:6" x14ac:dyDescent="0.25">
      <c r="A105" s="1">
        <f>加速度入力!B156</f>
        <v>100</v>
      </c>
      <c r="B105" s="1">
        <f>ROUND(INDEX(加速度入力!$B$56:$AV$206,ROWS($A$5:$A105),MATCH(B$4,加速度入力!$B$53:$AV$53,0)),1)</f>
        <v>18.899999999999999</v>
      </c>
      <c r="C105" s="1">
        <f>ROUND(INDEX(加速度入力!$B$56:$AV$206,ROWS($A$5:$A105),MATCH(C$4,加速度入力!$B$53:$AV$53,0)),1)</f>
        <v>4243.3</v>
      </c>
      <c r="D105" s="1">
        <f>ROUND(INDEX(加速度入力!$B$56:$AV$206,ROWS($A$5:$A105),MATCH(D$4,加速度入力!$B$53:$AV$53,0)),1)</f>
        <v>9211.7000000000007</v>
      </c>
      <c r="E105" s="1">
        <f>ROUND(INDEX(加速度入力!$B$56:$AV$206,ROWS($A$5:$A105),MATCH(E$4,加速度入力!$B$53:$AV$53,0)),1)</f>
        <v>25190.799999999999</v>
      </c>
      <c r="F105" s="1">
        <f>ROUND(INDEX(加速度入力!$B$56:$AV$206,ROWS($A$5:$A105),MATCH(F$4,加速度入力!$B$53:$AV$53,0)),1)</f>
        <v>14024.7</v>
      </c>
    </row>
    <row r="106" spans="1:6" x14ac:dyDescent="0.25">
      <c r="A106" s="1">
        <f>加速度入力!B157</f>
        <v>101</v>
      </c>
      <c r="B106" s="1">
        <f>ROUND(INDEX(加速度入力!$B$56:$AV$206,ROWS($A$5:$A106),MATCH(B$4,加速度入力!$B$53:$AV$53,0)),1)</f>
        <v>18.399999999999999</v>
      </c>
      <c r="C106" s="1">
        <f>ROUND(INDEX(加速度入力!$B$56:$AV$206,ROWS($A$5:$A106),MATCH(C$4,加速度入力!$B$53:$AV$53,0)),1)</f>
        <v>4177.1000000000004</v>
      </c>
      <c r="D106" s="1">
        <f>ROUND(INDEX(加速度入力!$B$56:$AV$206,ROWS($A$5:$A106),MATCH(D$4,加速度入力!$B$53:$AV$53,0)),1)</f>
        <v>9030.2000000000007</v>
      </c>
      <c r="E106" s="1">
        <f>ROUND(INDEX(加速度入力!$B$56:$AV$206,ROWS($A$5:$A106),MATCH(E$4,加速度入力!$B$53:$AV$53,0)),1)</f>
        <v>24740.7</v>
      </c>
      <c r="F106" s="1">
        <f>ROUND(INDEX(加速度入力!$B$56:$AV$206,ROWS($A$5:$A106),MATCH(F$4,加速度入力!$B$53:$AV$53,0)),1)</f>
        <v>13774.1</v>
      </c>
    </row>
    <row r="107" spans="1:6" x14ac:dyDescent="0.25">
      <c r="A107" s="1">
        <f>加速度入力!B158</f>
        <v>102</v>
      </c>
      <c r="B107" s="1">
        <f>ROUND(INDEX(加速度入力!$B$56:$AV$206,ROWS($A$5:$A107),MATCH(B$4,加速度入力!$B$53:$AV$53,0)),1)</f>
        <v>18</v>
      </c>
      <c r="C107" s="1">
        <f>ROUND(INDEX(加速度入力!$B$56:$AV$206,ROWS($A$5:$A107),MATCH(C$4,加速度入力!$B$53:$AV$53,0)),1)</f>
        <v>4112.6000000000004</v>
      </c>
      <c r="D107" s="1">
        <f>ROUND(INDEX(加速度入力!$B$56:$AV$206,ROWS($A$5:$A107),MATCH(D$4,加速度入力!$B$53:$AV$53,0)),1)</f>
        <v>8854</v>
      </c>
      <c r="E107" s="1">
        <f>ROUND(INDEX(加速度入力!$B$56:$AV$206,ROWS($A$5:$A107),MATCH(E$4,加速度入力!$B$53:$AV$53,0)),1)</f>
        <v>24303.1</v>
      </c>
      <c r="F107" s="1">
        <f>ROUND(INDEX(加速度入力!$B$56:$AV$206,ROWS($A$5:$A107),MATCH(F$4,加速度入力!$B$53:$AV$53,0)),1)</f>
        <v>13530.5</v>
      </c>
    </row>
    <row r="108" spans="1:6" x14ac:dyDescent="0.25">
      <c r="A108" s="1">
        <f>加速度入力!B159</f>
        <v>103</v>
      </c>
      <c r="B108" s="1">
        <f>ROUND(INDEX(加速度入力!$B$56:$AV$206,ROWS($A$5:$A108),MATCH(B$4,加速度入力!$B$53:$AV$53,0)),1)</f>
        <v>17.5</v>
      </c>
      <c r="C108" s="1">
        <f>ROUND(INDEX(加速度入力!$B$56:$AV$206,ROWS($A$5:$A108),MATCH(C$4,加速度入力!$B$53:$AV$53,0)),1)</f>
        <v>4049.7</v>
      </c>
      <c r="D108" s="1">
        <f>ROUND(INDEX(加速度入力!$B$56:$AV$206,ROWS($A$5:$A108),MATCH(D$4,加速度入力!$B$53:$AV$53,0)),1)</f>
        <v>8682.9</v>
      </c>
      <c r="E108" s="1">
        <f>ROUND(INDEX(加速度入力!$B$56:$AV$206,ROWS($A$5:$A108),MATCH(E$4,加速度入力!$B$53:$AV$53,0)),1)</f>
        <v>23877.3</v>
      </c>
      <c r="F108" s="1">
        <f>ROUND(INDEX(加速度入力!$B$56:$AV$206,ROWS($A$5:$A108),MATCH(F$4,加速度入力!$B$53:$AV$53,0)),1)</f>
        <v>13293.4</v>
      </c>
    </row>
    <row r="109" spans="1:6" x14ac:dyDescent="0.25">
      <c r="A109" s="1">
        <f>加速度入力!B160</f>
        <v>104</v>
      </c>
      <c r="B109" s="1">
        <f>ROUND(INDEX(加速度入力!$B$56:$AV$206,ROWS($A$5:$A109),MATCH(B$4,加速度入力!$B$53:$AV$53,0)),1)</f>
        <v>17.100000000000001</v>
      </c>
      <c r="C109" s="1">
        <f>ROUND(INDEX(加速度入力!$B$56:$AV$206,ROWS($A$5:$A109),MATCH(C$4,加速度入力!$B$53:$AV$53,0)),1)</f>
        <v>3988.4</v>
      </c>
      <c r="D109" s="1">
        <f>ROUND(INDEX(加速度入力!$B$56:$AV$206,ROWS($A$5:$A109),MATCH(D$4,加速度入力!$B$53:$AV$53,0)),1)</f>
        <v>8516.7000000000007</v>
      </c>
      <c r="E109" s="1">
        <f>ROUND(INDEX(加速度入力!$B$56:$AV$206,ROWS($A$5:$A109),MATCH(E$4,加速度入力!$B$53:$AV$53,0)),1)</f>
        <v>23463</v>
      </c>
      <c r="F109" s="1">
        <f>ROUND(INDEX(加速度入力!$B$56:$AV$206,ROWS($A$5:$A109),MATCH(F$4,加速度入力!$B$53:$AV$53,0)),1)</f>
        <v>13062.7</v>
      </c>
    </row>
    <row r="110" spans="1:6" x14ac:dyDescent="0.25">
      <c r="A110" s="1">
        <f>加速度入力!B161</f>
        <v>105</v>
      </c>
      <c r="B110" s="1">
        <f>ROUND(INDEX(加速度入力!$B$56:$AV$206,ROWS($A$5:$A110),MATCH(B$4,加速度入力!$B$53:$AV$53,0)),1)</f>
        <v>16.7</v>
      </c>
      <c r="C110" s="1">
        <f>ROUND(INDEX(加速度入力!$B$56:$AV$206,ROWS($A$5:$A110),MATCH(C$4,加速度入力!$B$53:$AV$53,0)),1)</f>
        <v>3928.5</v>
      </c>
      <c r="D110" s="1">
        <f>ROUND(INDEX(加速度入力!$B$56:$AV$206,ROWS($A$5:$A110),MATCH(D$4,加速度入力!$B$53:$AV$53,0)),1)</f>
        <v>8355.2999999999993</v>
      </c>
      <c r="E110" s="1">
        <f>ROUND(INDEX(加速度入力!$B$56:$AV$206,ROWS($A$5:$A110),MATCH(E$4,加速度入力!$B$53:$AV$53,0)),1)</f>
        <v>23059.7</v>
      </c>
      <c r="F110" s="1">
        <f>ROUND(INDEX(加速度入力!$B$56:$AV$206,ROWS($A$5:$A110),MATCH(F$4,加速度入力!$B$53:$AV$53,0)),1)</f>
        <v>12838.2</v>
      </c>
    </row>
    <row r="111" spans="1:6" x14ac:dyDescent="0.25">
      <c r="A111" s="1">
        <f>加速度入力!B162</f>
        <v>106</v>
      </c>
      <c r="B111" s="1">
        <f>ROUND(INDEX(加速度入力!$B$56:$AV$206,ROWS($A$5:$A111),MATCH(B$4,加速度入力!$B$53:$AV$53,0)),1)</f>
        <v>16.3</v>
      </c>
      <c r="C111" s="1">
        <f>ROUND(INDEX(加速度入力!$B$56:$AV$206,ROWS($A$5:$A111),MATCH(C$4,加速度入力!$B$53:$AV$53,0)),1)</f>
        <v>3870.1</v>
      </c>
      <c r="D111" s="1">
        <f>ROUND(INDEX(加速度入力!$B$56:$AV$206,ROWS($A$5:$A111),MATCH(D$4,加速度入力!$B$53:$AV$53,0)),1)</f>
        <v>8198.4</v>
      </c>
      <c r="E111" s="1">
        <f>ROUND(INDEX(加速度入力!$B$56:$AV$206,ROWS($A$5:$A111),MATCH(E$4,加速度入力!$B$53:$AV$53,0)),1)</f>
        <v>22667.1</v>
      </c>
      <c r="F111" s="1">
        <f>ROUND(INDEX(加速度入力!$B$56:$AV$206,ROWS($A$5:$A111),MATCH(F$4,加速度入力!$B$53:$AV$53,0)),1)</f>
        <v>12619.6</v>
      </c>
    </row>
    <row r="112" spans="1:6" x14ac:dyDescent="0.25">
      <c r="A112" s="1">
        <f>加速度入力!B163</f>
        <v>107</v>
      </c>
      <c r="B112" s="1">
        <f>ROUND(INDEX(加速度入力!$B$56:$AV$206,ROWS($A$5:$A112),MATCH(B$4,加速度入力!$B$53:$AV$53,0)),1)</f>
        <v>15.9</v>
      </c>
      <c r="C112" s="1">
        <f>ROUND(INDEX(加速度入力!$B$56:$AV$206,ROWS($A$5:$A112),MATCH(C$4,加速度入力!$B$53:$AV$53,0)),1)</f>
        <v>3813.1</v>
      </c>
      <c r="D112" s="1">
        <f>ROUND(INDEX(加速度入力!$B$56:$AV$206,ROWS($A$5:$A112),MATCH(D$4,加速度入力!$B$53:$AV$53,0)),1)</f>
        <v>8045.9</v>
      </c>
      <c r="E112" s="1">
        <f>ROUND(INDEX(加速度入力!$B$56:$AV$206,ROWS($A$5:$A112),MATCH(E$4,加速度入力!$B$53:$AV$53,0)),1)</f>
        <v>22284.799999999999</v>
      </c>
      <c r="F112" s="1">
        <f>ROUND(INDEX(加速度入力!$B$56:$AV$206,ROWS($A$5:$A112),MATCH(F$4,加速度入力!$B$53:$AV$53,0)),1)</f>
        <v>12406.8</v>
      </c>
    </row>
    <row r="113" spans="1:6" x14ac:dyDescent="0.25">
      <c r="A113" s="1">
        <f>加速度入力!B164</f>
        <v>108</v>
      </c>
      <c r="B113" s="1">
        <f>ROUND(INDEX(加速度入力!$B$56:$AV$206,ROWS($A$5:$A113),MATCH(B$4,加速度入力!$B$53:$AV$53,0)),1)</f>
        <v>15.6</v>
      </c>
      <c r="C113" s="1">
        <f>ROUND(INDEX(加速度入力!$B$56:$AV$206,ROWS($A$5:$A113),MATCH(C$4,加速度入力!$B$53:$AV$53,0)),1)</f>
        <v>3757.5</v>
      </c>
      <c r="D113" s="1">
        <f>ROUND(INDEX(加速度入力!$B$56:$AV$206,ROWS($A$5:$A113),MATCH(D$4,加速度入力!$B$53:$AV$53,0)),1)</f>
        <v>7897.6</v>
      </c>
      <c r="E113" s="1">
        <f>ROUND(INDEX(加速度入力!$B$56:$AV$206,ROWS($A$5:$A113),MATCH(E$4,加速度入力!$B$53:$AV$53,0)),1)</f>
        <v>21912.400000000001</v>
      </c>
      <c r="F113" s="1">
        <f>ROUND(INDEX(加速度入力!$B$56:$AV$206,ROWS($A$5:$A113),MATCH(F$4,加速度入力!$B$53:$AV$53,0)),1)</f>
        <v>12199.5</v>
      </c>
    </row>
    <row r="114" spans="1:6" x14ac:dyDescent="0.25">
      <c r="A114" s="1">
        <f>加速度入力!B165</f>
        <v>109</v>
      </c>
      <c r="B114" s="1">
        <f>ROUND(INDEX(加速度入力!$B$56:$AV$206,ROWS($A$5:$A114),MATCH(B$4,加速度入力!$B$53:$AV$53,0)),1)</f>
        <v>15.2</v>
      </c>
      <c r="C114" s="1">
        <f>ROUND(INDEX(加速度入力!$B$56:$AV$206,ROWS($A$5:$A114),MATCH(C$4,加速度入力!$B$53:$AV$53,0)),1)</f>
        <v>3703.2</v>
      </c>
      <c r="D114" s="1">
        <f>ROUND(INDEX(加速度入力!$B$56:$AV$206,ROWS($A$5:$A114),MATCH(D$4,加速度入力!$B$53:$AV$53,0)),1)</f>
        <v>7753.3</v>
      </c>
      <c r="E114" s="1">
        <f>ROUND(INDEX(加速度入力!$B$56:$AV$206,ROWS($A$5:$A114),MATCH(E$4,加速度入力!$B$53:$AV$53,0)),1)</f>
        <v>21549.5</v>
      </c>
      <c r="F114" s="1">
        <f>ROUND(INDEX(加速度入力!$B$56:$AV$206,ROWS($A$5:$A114),MATCH(F$4,加速度入力!$B$53:$AV$53,0)),1)</f>
        <v>11997.4</v>
      </c>
    </row>
    <row r="115" spans="1:6" x14ac:dyDescent="0.25">
      <c r="A115" s="1">
        <f>加速度入力!B166</f>
        <v>110</v>
      </c>
      <c r="B115" s="1">
        <f>ROUND(INDEX(加速度入力!$B$56:$AV$206,ROWS($A$5:$A115),MATCH(B$4,加速度入力!$B$53:$AV$53,0)),1)</f>
        <v>14.9</v>
      </c>
      <c r="C115" s="1">
        <f>ROUND(INDEX(加速度入力!$B$56:$AV$206,ROWS($A$5:$A115),MATCH(C$4,加速度入力!$B$53:$AV$53,0)),1)</f>
        <v>3650.1</v>
      </c>
      <c r="D115" s="1">
        <f>ROUND(INDEX(加速度入力!$B$56:$AV$206,ROWS($A$5:$A115),MATCH(D$4,加速度入力!$B$53:$AV$53,0)),1)</f>
        <v>7613</v>
      </c>
      <c r="E115" s="1">
        <f>ROUND(INDEX(加速度入力!$B$56:$AV$206,ROWS($A$5:$A115),MATCH(E$4,加速度入力!$B$53:$AV$53,0)),1)</f>
        <v>21195.9</v>
      </c>
      <c r="F115" s="1">
        <f>ROUND(INDEX(加速度入力!$B$56:$AV$206,ROWS($A$5:$A115),MATCH(F$4,加速度入力!$B$53:$AV$53,0)),1)</f>
        <v>11800.6</v>
      </c>
    </row>
    <row r="116" spans="1:6" x14ac:dyDescent="0.25">
      <c r="A116" s="1">
        <f>加速度入力!B167</f>
        <v>111</v>
      </c>
      <c r="B116" s="1">
        <f>ROUND(INDEX(加速度入力!$B$56:$AV$206,ROWS($A$5:$A116),MATCH(B$4,加速度入力!$B$53:$AV$53,0)),1)</f>
        <v>14.5</v>
      </c>
      <c r="C116" s="1">
        <f>ROUND(INDEX(加速度入力!$B$56:$AV$206,ROWS($A$5:$A116),MATCH(C$4,加速度入力!$B$53:$AV$53,0)),1)</f>
        <v>3598.3</v>
      </c>
      <c r="D116" s="1">
        <f>ROUND(INDEX(加速度入力!$B$56:$AV$206,ROWS($A$5:$A116),MATCH(D$4,加速度入力!$B$53:$AV$53,0)),1)</f>
        <v>7476.4</v>
      </c>
      <c r="E116" s="1">
        <f>ROUND(INDEX(加速度入力!$B$56:$AV$206,ROWS($A$5:$A116),MATCH(E$4,加速度入力!$B$53:$AV$53,0)),1)</f>
        <v>20851.2</v>
      </c>
      <c r="F116" s="1">
        <f>ROUND(INDEX(加速度入力!$B$56:$AV$206,ROWS($A$5:$A116),MATCH(F$4,加速度入力!$B$53:$AV$53,0)),1)</f>
        <v>11608.7</v>
      </c>
    </row>
    <row r="117" spans="1:6" x14ac:dyDescent="0.25">
      <c r="A117" s="1">
        <f>加速度入力!B168</f>
        <v>112</v>
      </c>
      <c r="B117" s="1">
        <f>ROUND(INDEX(加速度入力!$B$56:$AV$206,ROWS($A$5:$A117),MATCH(B$4,加速度入力!$B$53:$AV$53,0)),1)</f>
        <v>14.2</v>
      </c>
      <c r="C117" s="1">
        <f>ROUND(INDEX(加速度入力!$B$56:$AV$206,ROWS($A$5:$A117),MATCH(C$4,加速度入力!$B$53:$AV$53,0)),1)</f>
        <v>3547.7</v>
      </c>
      <c r="D117" s="1">
        <f>ROUND(INDEX(加速度入力!$B$56:$AV$206,ROWS($A$5:$A117),MATCH(D$4,加速度入力!$B$53:$AV$53,0)),1)</f>
        <v>7343.5</v>
      </c>
      <c r="E117" s="1">
        <f>ROUND(INDEX(加速度入力!$B$56:$AV$206,ROWS($A$5:$A117),MATCH(E$4,加速度入力!$B$53:$AV$53,0)),1)</f>
        <v>20515.2</v>
      </c>
      <c r="F117" s="1">
        <f>ROUND(INDEX(加速度入力!$B$56:$AV$206,ROWS($A$5:$A117),MATCH(F$4,加速度入力!$B$53:$AV$53,0)),1)</f>
        <v>11421.6</v>
      </c>
    </row>
    <row r="118" spans="1:6" x14ac:dyDescent="0.25">
      <c r="A118" s="1">
        <f>加速度入力!B169</f>
        <v>113</v>
      </c>
      <c r="B118" s="1">
        <f>ROUND(INDEX(加速度入力!$B$56:$AV$206,ROWS($A$5:$A118),MATCH(B$4,加速度入力!$B$53:$AV$53,0)),1)</f>
        <v>13.9</v>
      </c>
      <c r="C118" s="1">
        <f>ROUND(INDEX(加速度入力!$B$56:$AV$206,ROWS($A$5:$A118),MATCH(C$4,加速度入力!$B$53:$AV$53,0)),1)</f>
        <v>3498.2</v>
      </c>
      <c r="D118" s="1">
        <f>ROUND(INDEX(加速度入力!$B$56:$AV$206,ROWS($A$5:$A118),MATCH(D$4,加速度入力!$B$53:$AV$53,0)),1)</f>
        <v>7214.1</v>
      </c>
      <c r="E118" s="1">
        <f>ROUND(INDEX(加速度入力!$B$56:$AV$206,ROWS($A$5:$A118),MATCH(E$4,加速度入力!$B$53:$AV$53,0)),1)</f>
        <v>20187.5</v>
      </c>
      <c r="F118" s="1">
        <f>ROUND(INDEX(加速度入力!$B$56:$AV$206,ROWS($A$5:$A118),MATCH(F$4,加速度入力!$B$53:$AV$53,0)),1)</f>
        <v>11239.1</v>
      </c>
    </row>
    <row r="119" spans="1:6" x14ac:dyDescent="0.25">
      <c r="A119" s="1">
        <f>加速度入力!B170</f>
        <v>114</v>
      </c>
      <c r="B119" s="1">
        <f>ROUND(INDEX(加速度入力!$B$56:$AV$206,ROWS($A$5:$A119),MATCH(B$4,加速度入力!$B$53:$AV$53,0)),1)</f>
        <v>13.6</v>
      </c>
      <c r="C119" s="1">
        <f>ROUND(INDEX(加速度入力!$B$56:$AV$206,ROWS($A$5:$A119),MATCH(C$4,加速度入力!$B$53:$AV$53,0)),1)</f>
        <v>3449.8</v>
      </c>
      <c r="D119" s="1">
        <f>ROUND(INDEX(加速度入力!$B$56:$AV$206,ROWS($A$5:$A119),MATCH(D$4,加速度入力!$B$53:$AV$53,0)),1)</f>
        <v>7088.1</v>
      </c>
      <c r="E119" s="1">
        <f>ROUND(INDEX(加速度入力!$B$56:$AV$206,ROWS($A$5:$A119),MATCH(E$4,加速度入力!$B$53:$AV$53,0)),1)</f>
        <v>19867.8</v>
      </c>
      <c r="F119" s="1">
        <f>ROUND(INDEX(加速度入力!$B$56:$AV$206,ROWS($A$5:$A119),MATCH(F$4,加速度入力!$B$53:$AV$53,0)),1)</f>
        <v>11061.2</v>
      </c>
    </row>
    <row r="120" spans="1:6" x14ac:dyDescent="0.25">
      <c r="A120" s="1">
        <f>加速度入力!B171</f>
        <v>115</v>
      </c>
      <c r="B120" s="1">
        <f>ROUND(INDEX(加速度入力!$B$56:$AV$206,ROWS($A$5:$A120),MATCH(B$4,加速度入力!$B$53:$AV$53,0)),1)</f>
        <v>13.3</v>
      </c>
      <c r="C120" s="1">
        <f>ROUND(INDEX(加速度入力!$B$56:$AV$206,ROWS($A$5:$A120),MATCH(C$4,加速度入力!$B$53:$AV$53,0)),1)</f>
        <v>3402.5</v>
      </c>
      <c r="D120" s="1">
        <f>ROUND(INDEX(加速度入力!$B$56:$AV$206,ROWS($A$5:$A120),MATCH(D$4,加速度入力!$B$53:$AV$53,0)),1)</f>
        <v>6965.4</v>
      </c>
      <c r="E120" s="1">
        <f>ROUND(INDEX(加速度入力!$B$56:$AV$206,ROWS($A$5:$A120),MATCH(E$4,加速度入力!$B$53:$AV$53,0)),1)</f>
        <v>19555.900000000001</v>
      </c>
      <c r="F120" s="1">
        <f>ROUND(INDEX(加速度入力!$B$56:$AV$206,ROWS($A$5:$A120),MATCH(F$4,加速度入力!$B$53:$AV$53,0)),1)</f>
        <v>10887.5</v>
      </c>
    </row>
    <row r="121" spans="1:6" x14ac:dyDescent="0.25">
      <c r="A121" s="1">
        <f>加速度入力!B172</f>
        <v>116</v>
      </c>
      <c r="B121" s="1">
        <f>ROUND(INDEX(加速度入力!$B$56:$AV$206,ROWS($A$5:$A121),MATCH(B$4,加速度入力!$B$53:$AV$53,0)),1)</f>
        <v>13</v>
      </c>
      <c r="C121" s="1">
        <f>ROUND(INDEX(加速度入力!$B$56:$AV$206,ROWS($A$5:$A121),MATCH(C$4,加速度入力!$B$53:$AV$53,0)),1)</f>
        <v>3356.3</v>
      </c>
      <c r="D121" s="1">
        <f>ROUND(INDEX(加速度入力!$B$56:$AV$206,ROWS($A$5:$A121),MATCH(D$4,加速度入力!$B$53:$AV$53,0)),1)</f>
        <v>6845.8</v>
      </c>
      <c r="E121" s="1">
        <f>ROUND(INDEX(加速度入力!$B$56:$AV$206,ROWS($A$5:$A121),MATCH(E$4,加速度入力!$B$53:$AV$53,0)),1)</f>
        <v>19251.599999999999</v>
      </c>
      <c r="F121" s="1">
        <f>ROUND(INDEX(加速度入力!$B$56:$AV$206,ROWS($A$5:$A121),MATCH(F$4,加速度入力!$B$53:$AV$53,0)),1)</f>
        <v>10718.1</v>
      </c>
    </row>
    <row r="122" spans="1:6" x14ac:dyDescent="0.25">
      <c r="A122" s="1">
        <f>加速度入力!B173</f>
        <v>117</v>
      </c>
      <c r="B122" s="1">
        <f>ROUND(INDEX(加速度入力!$B$56:$AV$206,ROWS($A$5:$A122),MATCH(B$4,加速度入力!$B$53:$AV$53,0)),1)</f>
        <v>12.8</v>
      </c>
      <c r="C122" s="1">
        <f>ROUND(INDEX(加速度入力!$B$56:$AV$206,ROWS($A$5:$A122),MATCH(C$4,加速度入力!$B$53:$AV$53,0)),1)</f>
        <v>3311.1</v>
      </c>
      <c r="D122" s="1">
        <f>ROUND(INDEX(加速度入力!$B$56:$AV$206,ROWS($A$5:$A122),MATCH(D$4,加速度入力!$B$53:$AV$53,0)),1)</f>
        <v>6729.3</v>
      </c>
      <c r="E122" s="1">
        <f>ROUND(INDEX(加速度入力!$B$56:$AV$206,ROWS($A$5:$A122),MATCH(E$4,加速度入力!$B$53:$AV$53,0)),1)</f>
        <v>18954.5</v>
      </c>
      <c r="F122" s="1">
        <f>ROUND(INDEX(加速度入力!$B$56:$AV$206,ROWS($A$5:$A122),MATCH(F$4,加速度入力!$B$53:$AV$53,0)),1)</f>
        <v>10552.7</v>
      </c>
    </row>
    <row r="123" spans="1:6" x14ac:dyDescent="0.25">
      <c r="A123" s="1">
        <f>加速度入力!B174</f>
        <v>118</v>
      </c>
      <c r="B123" s="1">
        <f>ROUND(INDEX(加速度入力!$B$56:$AV$206,ROWS($A$5:$A123),MATCH(B$4,加速度入力!$B$53:$AV$53,0)),1)</f>
        <v>12.5</v>
      </c>
      <c r="C123" s="1">
        <f>ROUND(INDEX(加速度入力!$B$56:$AV$206,ROWS($A$5:$A123),MATCH(C$4,加速度入力!$B$53:$AV$53,0)),1)</f>
        <v>3266.9</v>
      </c>
      <c r="D123" s="1">
        <f>ROUND(INDEX(加速度入力!$B$56:$AV$206,ROWS($A$5:$A123),MATCH(D$4,加速度入力!$B$53:$AV$53,0)),1)</f>
        <v>6615.7</v>
      </c>
      <c r="E123" s="1">
        <f>ROUND(INDEX(加速度入力!$B$56:$AV$206,ROWS($A$5:$A123),MATCH(E$4,加速度入力!$B$53:$AV$53,0)),1)</f>
        <v>18664.5</v>
      </c>
      <c r="F123" s="1">
        <f>ROUND(INDEX(加速度入力!$B$56:$AV$206,ROWS($A$5:$A123),MATCH(F$4,加速度入力!$B$53:$AV$53,0)),1)</f>
        <v>10391.200000000001</v>
      </c>
    </row>
    <row r="124" spans="1:6" x14ac:dyDescent="0.25">
      <c r="A124" s="1">
        <f>加速度入力!B175</f>
        <v>119</v>
      </c>
      <c r="B124" s="1">
        <f>ROUND(INDEX(加速度入力!$B$56:$AV$206,ROWS($A$5:$A124),MATCH(B$4,加速度入力!$B$53:$AV$53,0)),1)</f>
        <v>12.2</v>
      </c>
      <c r="C124" s="1">
        <f>ROUND(INDEX(加速度入力!$B$56:$AV$206,ROWS($A$5:$A124),MATCH(C$4,加速度入力!$B$53:$AV$53,0)),1)</f>
        <v>3223.6</v>
      </c>
      <c r="D124" s="1">
        <f>ROUND(INDEX(加速度入力!$B$56:$AV$206,ROWS($A$5:$A124),MATCH(D$4,加速度入力!$B$53:$AV$53,0)),1)</f>
        <v>6505</v>
      </c>
      <c r="E124" s="1">
        <f>ROUND(INDEX(加速度入力!$B$56:$AV$206,ROWS($A$5:$A124),MATCH(E$4,加速度入力!$B$53:$AV$53,0)),1)</f>
        <v>18381.3</v>
      </c>
      <c r="F124" s="1">
        <f>ROUND(INDEX(加速度入力!$B$56:$AV$206,ROWS($A$5:$A124),MATCH(F$4,加速度入力!$B$53:$AV$53,0)),1)</f>
        <v>10233.6</v>
      </c>
    </row>
    <row r="125" spans="1:6" x14ac:dyDescent="0.25">
      <c r="A125" s="1">
        <f>加速度入力!B176</f>
        <v>120</v>
      </c>
      <c r="B125" s="1">
        <f>ROUND(INDEX(加速度入力!$B$56:$AV$206,ROWS($A$5:$A125),MATCH(B$4,加速度入力!$B$53:$AV$53,0)),1)</f>
        <v>12</v>
      </c>
      <c r="C125" s="1">
        <f>ROUND(INDEX(加速度入力!$B$56:$AV$206,ROWS($A$5:$A125),MATCH(C$4,加速度入力!$B$53:$AV$53,0)),1)</f>
        <v>3181.3</v>
      </c>
      <c r="D125" s="1">
        <f>ROUND(INDEX(加速度入力!$B$56:$AV$206,ROWS($A$5:$A125),MATCH(D$4,加速度入力!$B$53:$AV$53,0)),1)</f>
        <v>6397</v>
      </c>
      <c r="E125" s="1">
        <f>ROUND(INDEX(加速度入力!$B$56:$AV$206,ROWS($A$5:$A125),MATCH(E$4,加速度入力!$B$53:$AV$53,0)),1)</f>
        <v>18104.7</v>
      </c>
      <c r="F125" s="1">
        <f>ROUND(INDEX(加速度入力!$B$56:$AV$206,ROWS($A$5:$A125),MATCH(F$4,加速度入力!$B$53:$AV$53,0)),1)</f>
        <v>10079.6</v>
      </c>
    </row>
    <row r="126" spans="1:6" x14ac:dyDescent="0.25">
      <c r="A126" s="1">
        <f>加速度入力!B177</f>
        <v>121</v>
      </c>
      <c r="B126" s="1">
        <f>ROUND(INDEX(加速度入力!$B$56:$AV$206,ROWS($A$5:$A126),MATCH(B$4,加速度入力!$B$53:$AV$53,0)),1)</f>
        <v>11.7</v>
      </c>
      <c r="C126" s="1">
        <f>ROUND(INDEX(加速度入力!$B$56:$AV$206,ROWS($A$5:$A126),MATCH(C$4,加速度入力!$B$53:$AV$53,0)),1)</f>
        <v>3139.8</v>
      </c>
      <c r="D126" s="1">
        <f>ROUND(INDEX(加速度入力!$B$56:$AV$206,ROWS($A$5:$A126),MATCH(D$4,加速度入力!$B$53:$AV$53,0)),1)</f>
        <v>6291.7</v>
      </c>
      <c r="E126" s="1">
        <f>ROUND(INDEX(加速度入力!$B$56:$AV$206,ROWS($A$5:$A126),MATCH(E$4,加速度入力!$B$53:$AV$53,0)),1)</f>
        <v>17834.599999999999</v>
      </c>
      <c r="F126" s="1">
        <f>ROUND(INDEX(加速度入力!$B$56:$AV$206,ROWS($A$5:$A126),MATCH(F$4,加速度入力!$B$53:$AV$53,0)),1)</f>
        <v>9929.2000000000007</v>
      </c>
    </row>
    <row r="127" spans="1:6" x14ac:dyDescent="0.25">
      <c r="A127" s="1">
        <f>加速度入力!B178</f>
        <v>122</v>
      </c>
      <c r="B127" s="1">
        <f>ROUND(INDEX(加速度入力!$B$56:$AV$206,ROWS($A$5:$A127),MATCH(B$4,加速度入力!$B$53:$AV$53,0)),1)</f>
        <v>11.5</v>
      </c>
      <c r="C127" s="1">
        <f>ROUND(INDEX(加速度入力!$B$56:$AV$206,ROWS($A$5:$A127),MATCH(C$4,加速度入力!$B$53:$AV$53,0)),1)</f>
        <v>3099.3</v>
      </c>
      <c r="D127" s="1">
        <f>ROUND(INDEX(加速度入力!$B$56:$AV$206,ROWS($A$5:$A127),MATCH(D$4,加速度入力!$B$53:$AV$53,0)),1)</f>
        <v>6189</v>
      </c>
      <c r="E127" s="1">
        <f>ROUND(INDEX(加速度入力!$B$56:$AV$206,ROWS($A$5:$A127),MATCH(E$4,加速度入力!$B$53:$AV$53,0)),1)</f>
        <v>17570.599999999999</v>
      </c>
      <c r="F127" s="1">
        <f>ROUND(INDEX(加速度入力!$B$56:$AV$206,ROWS($A$5:$A127),MATCH(F$4,加速度入力!$B$53:$AV$53,0)),1)</f>
        <v>9782.2000000000007</v>
      </c>
    </row>
    <row r="128" spans="1:6" x14ac:dyDescent="0.25">
      <c r="A128" s="1">
        <f>加速度入力!B179</f>
        <v>123</v>
      </c>
      <c r="B128" s="1">
        <f>ROUND(INDEX(加速度入力!$B$56:$AV$206,ROWS($A$5:$A128),MATCH(B$4,加速度入力!$B$53:$AV$53,0)),1)</f>
        <v>11.3</v>
      </c>
      <c r="C128" s="1">
        <f>ROUND(INDEX(加速度入力!$B$56:$AV$206,ROWS($A$5:$A128),MATCH(C$4,加速度入力!$B$53:$AV$53,0)),1)</f>
        <v>3059.5</v>
      </c>
      <c r="D128" s="1">
        <f>ROUND(INDEX(加速度入力!$B$56:$AV$206,ROWS($A$5:$A128),MATCH(D$4,加速度入力!$B$53:$AV$53,0)),1)</f>
        <v>6088.8</v>
      </c>
      <c r="E128" s="1">
        <f>ROUND(INDEX(加速度入力!$B$56:$AV$206,ROWS($A$5:$A128),MATCH(E$4,加速度入力!$B$53:$AV$53,0)),1)</f>
        <v>17312.7</v>
      </c>
      <c r="F128" s="1">
        <f>ROUND(INDEX(加速度入力!$B$56:$AV$206,ROWS($A$5:$A128),MATCH(F$4,加速度入力!$B$53:$AV$53,0)),1)</f>
        <v>9638.6</v>
      </c>
    </row>
    <row r="129" spans="1:6" x14ac:dyDescent="0.25">
      <c r="A129" s="1">
        <f>加速度入力!B180</f>
        <v>124</v>
      </c>
      <c r="B129" s="1">
        <f>ROUND(INDEX(加速度入力!$B$56:$AV$206,ROWS($A$5:$A129),MATCH(B$4,加速度入力!$B$53:$AV$53,0)),1)</f>
        <v>11</v>
      </c>
      <c r="C129" s="1">
        <f>ROUND(INDEX(加速度入力!$B$56:$AV$206,ROWS($A$5:$A129),MATCH(C$4,加速度入力!$B$53:$AV$53,0)),1)</f>
        <v>3020.6</v>
      </c>
      <c r="D129" s="1">
        <f>ROUND(INDEX(加速度入力!$B$56:$AV$206,ROWS($A$5:$A129),MATCH(D$4,加速度入力!$B$53:$AV$53,0)),1)</f>
        <v>5991</v>
      </c>
      <c r="E129" s="1">
        <f>ROUND(INDEX(加速度入力!$B$56:$AV$206,ROWS($A$5:$A129),MATCH(E$4,加速度入力!$B$53:$AV$53,0)),1)</f>
        <v>17060.599999999999</v>
      </c>
      <c r="F129" s="1">
        <f>ROUND(INDEX(加速度入力!$B$56:$AV$206,ROWS($A$5:$A129),MATCH(F$4,加速度入力!$B$53:$AV$53,0)),1)</f>
        <v>9498.2999999999993</v>
      </c>
    </row>
    <row r="130" spans="1:6" x14ac:dyDescent="0.25">
      <c r="A130" s="1">
        <f>加速度入力!B181</f>
        <v>125</v>
      </c>
      <c r="B130" s="1">
        <f>ROUND(INDEX(加速度入力!$B$56:$AV$206,ROWS($A$5:$A130),MATCH(B$4,加速度入力!$B$53:$AV$53,0)),1)</f>
        <v>10.8</v>
      </c>
      <c r="C130" s="1">
        <f>ROUND(INDEX(加速度入力!$B$56:$AV$206,ROWS($A$5:$A130),MATCH(C$4,加速度入力!$B$53:$AV$53,0)),1)</f>
        <v>2982.6</v>
      </c>
      <c r="D130" s="1">
        <f>ROUND(INDEX(加速度入力!$B$56:$AV$206,ROWS($A$5:$A130),MATCH(D$4,加速度入力!$B$53:$AV$53,0)),1)</f>
        <v>5895.5</v>
      </c>
      <c r="E130" s="1">
        <f>ROUND(INDEX(加速度入力!$B$56:$AV$206,ROWS($A$5:$A130),MATCH(E$4,加速度入力!$B$53:$AV$53,0)),1)</f>
        <v>16814.099999999999</v>
      </c>
      <c r="F130" s="1">
        <f>ROUND(INDEX(加速度入力!$B$56:$AV$206,ROWS($A$5:$A130),MATCH(F$4,加速度入力!$B$53:$AV$53,0)),1)</f>
        <v>9361.1</v>
      </c>
    </row>
    <row r="131" spans="1:6" x14ac:dyDescent="0.25">
      <c r="A131" s="1">
        <f>加速度入力!B182</f>
        <v>126</v>
      </c>
      <c r="B131" s="1">
        <f>ROUND(INDEX(加速度入力!$B$56:$AV$206,ROWS($A$5:$A131),MATCH(B$4,加速度入力!$B$53:$AV$53,0)),1)</f>
        <v>10.6</v>
      </c>
      <c r="C131" s="1">
        <f>ROUND(INDEX(加速度入力!$B$56:$AV$206,ROWS($A$5:$A131),MATCH(C$4,加速度入力!$B$53:$AV$53,0)),1)</f>
        <v>2945.2</v>
      </c>
      <c r="D131" s="1">
        <f>ROUND(INDEX(加速度入力!$B$56:$AV$206,ROWS($A$5:$A131),MATCH(D$4,加速度入力!$B$53:$AV$53,0)),1)</f>
        <v>5802.3</v>
      </c>
      <c r="E131" s="1">
        <f>ROUND(INDEX(加速度入力!$B$56:$AV$206,ROWS($A$5:$A131),MATCH(E$4,加速度入力!$B$53:$AV$53,0)),1)</f>
        <v>16573.099999999999</v>
      </c>
      <c r="F131" s="1">
        <f>ROUND(INDEX(加速度入力!$B$56:$AV$206,ROWS($A$5:$A131),MATCH(F$4,加速度入力!$B$53:$AV$53,0)),1)</f>
        <v>9226.9</v>
      </c>
    </row>
    <row r="132" spans="1:6" x14ac:dyDescent="0.25">
      <c r="A132" s="1">
        <f>加速度入力!B183</f>
        <v>127</v>
      </c>
      <c r="B132" s="1">
        <f>ROUND(INDEX(加速度入力!$B$56:$AV$206,ROWS($A$5:$A132),MATCH(B$4,加速度入力!$B$53:$AV$53,0)),1)</f>
        <v>10.4</v>
      </c>
      <c r="C132" s="1">
        <f>ROUND(INDEX(加速度入力!$B$56:$AV$206,ROWS($A$5:$A132),MATCH(C$4,加速度入力!$B$53:$AV$53,0)),1)</f>
        <v>2908.7</v>
      </c>
      <c r="D132" s="1">
        <f>ROUND(INDEX(加速度入力!$B$56:$AV$206,ROWS($A$5:$A132),MATCH(D$4,加速度入力!$B$53:$AV$53,0)),1)</f>
        <v>5711.3</v>
      </c>
      <c r="E132" s="1">
        <f>ROUND(INDEX(加速度入力!$B$56:$AV$206,ROWS($A$5:$A132),MATCH(E$4,加速度入力!$B$53:$AV$53,0)),1)</f>
        <v>16337.5</v>
      </c>
      <c r="F132" s="1">
        <f>ROUND(INDEX(加速度入力!$B$56:$AV$206,ROWS($A$5:$A132),MATCH(F$4,加速度入力!$B$53:$AV$53,0)),1)</f>
        <v>9095.7000000000007</v>
      </c>
    </row>
    <row r="133" spans="1:6" x14ac:dyDescent="0.25">
      <c r="A133" s="1">
        <f>加速度入力!B184</f>
        <v>128</v>
      </c>
      <c r="B133" s="1">
        <f>ROUND(INDEX(加速度入力!$B$56:$AV$206,ROWS($A$5:$A133),MATCH(B$4,加速度入力!$B$53:$AV$53,0)),1)</f>
        <v>10.199999999999999</v>
      </c>
      <c r="C133" s="1">
        <f>ROUND(INDEX(加速度入力!$B$56:$AV$206,ROWS($A$5:$A133),MATCH(C$4,加速度入力!$B$53:$AV$53,0)),1)</f>
        <v>2872.9</v>
      </c>
      <c r="D133" s="1">
        <f>ROUND(INDEX(加速度入力!$B$56:$AV$206,ROWS($A$5:$A133),MATCH(D$4,加速度入力!$B$53:$AV$53,0)),1)</f>
        <v>5622.4</v>
      </c>
      <c r="E133" s="1">
        <f>ROUND(INDEX(加速度入力!$B$56:$AV$206,ROWS($A$5:$A133),MATCH(E$4,加速度入力!$B$53:$AV$53,0)),1)</f>
        <v>16107</v>
      </c>
      <c r="F133" s="1">
        <f>ROUND(INDEX(加速度入力!$B$56:$AV$206,ROWS($A$5:$A133),MATCH(F$4,加速度入力!$B$53:$AV$53,0)),1)</f>
        <v>8967.4</v>
      </c>
    </row>
    <row r="134" spans="1:6" x14ac:dyDescent="0.25">
      <c r="A134" s="1">
        <f>加速度入力!B185</f>
        <v>129</v>
      </c>
      <c r="B134" s="1">
        <f>ROUND(INDEX(加速度入力!$B$56:$AV$206,ROWS($A$5:$A134),MATCH(B$4,加速度入力!$B$53:$AV$53,0)),1)</f>
        <v>10</v>
      </c>
      <c r="C134" s="1">
        <f>ROUND(INDEX(加速度入力!$B$56:$AV$206,ROWS($A$5:$A134),MATCH(C$4,加速度入力!$B$53:$AV$53,0)),1)</f>
        <v>2837.8</v>
      </c>
      <c r="D134" s="1">
        <f>ROUND(INDEX(加速度入力!$B$56:$AV$206,ROWS($A$5:$A134),MATCH(D$4,加速度入力!$B$53:$AV$53,0)),1)</f>
        <v>5535.6</v>
      </c>
      <c r="E134" s="1">
        <f>ROUND(INDEX(加速度入力!$B$56:$AV$206,ROWS($A$5:$A134),MATCH(E$4,加速度入力!$B$53:$AV$53,0)),1)</f>
        <v>15881.5</v>
      </c>
      <c r="F134" s="1">
        <f>ROUND(INDEX(加速度入力!$B$56:$AV$206,ROWS($A$5:$A134),MATCH(F$4,加速度入力!$B$53:$AV$53,0)),1)</f>
        <v>8841.7999999999993</v>
      </c>
    </row>
    <row r="135" spans="1:6" x14ac:dyDescent="0.25">
      <c r="A135" s="1">
        <f>加速度入力!B186</f>
        <v>130</v>
      </c>
      <c r="B135" s="1">
        <f>ROUND(INDEX(加速度入力!$B$56:$AV$206,ROWS($A$5:$A135),MATCH(B$4,加速度入力!$B$53:$AV$53,0)),1)</f>
        <v>9.8000000000000007</v>
      </c>
      <c r="C135" s="1">
        <f>ROUND(INDEX(加速度入力!$B$56:$AV$206,ROWS($A$5:$A135),MATCH(C$4,加速度入力!$B$53:$AV$53,0)),1)</f>
        <v>2803.3</v>
      </c>
      <c r="D135" s="1">
        <f>ROUND(INDEX(加速度入力!$B$56:$AV$206,ROWS($A$5:$A135),MATCH(D$4,加速度入力!$B$53:$AV$53,0)),1)</f>
        <v>5450.7</v>
      </c>
      <c r="E135" s="1">
        <f>ROUND(INDEX(加速度入力!$B$56:$AV$206,ROWS($A$5:$A135),MATCH(E$4,加速度入力!$B$53:$AV$53,0)),1)</f>
        <v>15660.9</v>
      </c>
      <c r="F135" s="1">
        <f>ROUND(INDEX(加速度入力!$B$56:$AV$206,ROWS($A$5:$A135),MATCH(F$4,加速度入力!$B$53:$AV$53,0)),1)</f>
        <v>8719</v>
      </c>
    </row>
    <row r="136" spans="1:6" x14ac:dyDescent="0.25">
      <c r="A136" s="1">
        <f>加速度入力!B187</f>
        <v>131</v>
      </c>
      <c r="B136" s="1">
        <f>ROUND(INDEX(加速度入力!$B$56:$AV$206,ROWS($A$5:$A136),MATCH(B$4,加速度入力!$B$53:$AV$53,0)),1)</f>
        <v>9.6</v>
      </c>
      <c r="C136" s="1">
        <f>ROUND(INDEX(加速度入力!$B$56:$AV$206,ROWS($A$5:$A136),MATCH(C$4,加速度入力!$B$53:$AV$53,0)),1)</f>
        <v>2769.6</v>
      </c>
      <c r="D136" s="1">
        <f>ROUND(INDEX(加速度入力!$B$56:$AV$206,ROWS($A$5:$A136),MATCH(D$4,加速度入力!$B$53:$AV$53,0)),1)</f>
        <v>5367.8</v>
      </c>
      <c r="E136" s="1">
        <f>ROUND(INDEX(加速度入力!$B$56:$AV$206,ROWS($A$5:$A136),MATCH(E$4,加速度入力!$B$53:$AV$53,0)),1)</f>
        <v>15444.9</v>
      </c>
      <c r="F136" s="1">
        <f>ROUND(INDEX(加速度入力!$B$56:$AV$206,ROWS($A$5:$A136),MATCH(F$4,加速度入力!$B$53:$AV$53,0)),1)</f>
        <v>8598.7999999999993</v>
      </c>
    </row>
    <row r="137" spans="1:6" x14ac:dyDescent="0.25">
      <c r="A137" s="1">
        <f>加速度入力!B188</f>
        <v>132</v>
      </c>
      <c r="B137" s="1">
        <f>ROUND(INDEX(加速度入力!$B$56:$AV$206,ROWS($A$5:$A137),MATCH(B$4,加速度入力!$B$53:$AV$53,0)),1)</f>
        <v>9.4</v>
      </c>
      <c r="C137" s="1">
        <f>ROUND(INDEX(加速度入力!$B$56:$AV$206,ROWS($A$5:$A137),MATCH(C$4,加速度入力!$B$53:$AV$53,0)),1)</f>
        <v>2736.5</v>
      </c>
      <c r="D137" s="1">
        <f>ROUND(INDEX(加速度入力!$B$56:$AV$206,ROWS($A$5:$A137),MATCH(D$4,加速度入力!$B$53:$AV$53,0)),1)</f>
        <v>5286.8</v>
      </c>
      <c r="E137" s="1">
        <f>ROUND(INDEX(加速度入力!$B$56:$AV$206,ROWS($A$5:$A137),MATCH(E$4,加速度入力!$B$53:$AV$53,0)),1)</f>
        <v>15233.6</v>
      </c>
      <c r="F137" s="1">
        <f>ROUND(INDEX(加速度入力!$B$56:$AV$206,ROWS($A$5:$A137),MATCH(F$4,加速度入力!$B$53:$AV$53,0)),1)</f>
        <v>8481.1</v>
      </c>
    </row>
    <row r="138" spans="1:6" x14ac:dyDescent="0.25">
      <c r="A138" s="1">
        <f>加速度入力!B189</f>
        <v>133</v>
      </c>
      <c r="B138" s="1">
        <f>ROUND(INDEX(加速度入力!$B$56:$AV$206,ROWS($A$5:$A138),MATCH(B$4,加速度入力!$B$53:$AV$53,0)),1)</f>
        <v>9.3000000000000007</v>
      </c>
      <c r="C138" s="1">
        <f>ROUND(INDEX(加速度入力!$B$56:$AV$206,ROWS($A$5:$A138),MATCH(C$4,加速度入力!$B$53:$AV$53,0)),1)</f>
        <v>2704.1</v>
      </c>
      <c r="D138" s="1">
        <f>ROUND(INDEX(加速度入力!$B$56:$AV$206,ROWS($A$5:$A138),MATCH(D$4,加速度入力!$B$53:$AV$53,0)),1)</f>
        <v>5207.6000000000004</v>
      </c>
      <c r="E138" s="1">
        <f>ROUND(INDEX(加速度入力!$B$56:$AV$206,ROWS($A$5:$A138),MATCH(E$4,加速度入力!$B$53:$AV$53,0)),1)</f>
        <v>15026.8</v>
      </c>
      <c r="F138" s="1">
        <f>ROUND(INDEX(加速度入力!$B$56:$AV$206,ROWS($A$5:$A138),MATCH(F$4,加速度入力!$B$53:$AV$53,0)),1)</f>
        <v>8366</v>
      </c>
    </row>
    <row r="139" spans="1:6" x14ac:dyDescent="0.25">
      <c r="A139" s="1">
        <f>加速度入力!B190</f>
        <v>134</v>
      </c>
      <c r="B139" s="1">
        <f>ROUND(INDEX(加速度入力!$B$56:$AV$206,ROWS($A$5:$A139),MATCH(B$4,加速度入力!$B$53:$AV$53,0)),1)</f>
        <v>9.1</v>
      </c>
      <c r="C139" s="1">
        <f>ROUND(INDEX(加速度入力!$B$56:$AV$206,ROWS($A$5:$A139),MATCH(C$4,加速度入力!$B$53:$AV$53,0)),1)</f>
        <v>2672.3</v>
      </c>
      <c r="D139" s="1">
        <f>ROUND(INDEX(加速度入力!$B$56:$AV$206,ROWS($A$5:$A139),MATCH(D$4,加速度入力!$B$53:$AV$53,0)),1)</f>
        <v>5130.2</v>
      </c>
      <c r="E139" s="1">
        <f>ROUND(INDEX(加速度入力!$B$56:$AV$206,ROWS($A$5:$A139),MATCH(E$4,加速度入力!$B$53:$AV$53,0)),1)</f>
        <v>14824.2</v>
      </c>
      <c r="F139" s="1">
        <f>ROUND(INDEX(加速度入力!$B$56:$AV$206,ROWS($A$5:$A139),MATCH(F$4,加速度入力!$B$53:$AV$53,0)),1)</f>
        <v>8253.2000000000007</v>
      </c>
    </row>
    <row r="140" spans="1:6" x14ac:dyDescent="0.25">
      <c r="A140" s="1">
        <f>加速度入力!B191</f>
        <v>135</v>
      </c>
      <c r="B140" s="1">
        <f>ROUND(INDEX(加速度入力!$B$56:$AV$206,ROWS($A$5:$A140),MATCH(B$4,加速度入力!$B$53:$AV$53,0)),1)</f>
        <v>8.9</v>
      </c>
      <c r="C140" s="1">
        <f>ROUND(INDEX(加速度入力!$B$56:$AV$206,ROWS($A$5:$A140),MATCH(C$4,加速度入力!$B$53:$AV$53,0)),1)</f>
        <v>2641.1</v>
      </c>
      <c r="D140" s="1">
        <f>ROUND(INDEX(加速度入力!$B$56:$AV$206,ROWS($A$5:$A140),MATCH(D$4,加速度入力!$B$53:$AV$53,0)),1)</f>
        <v>5054.3999999999996</v>
      </c>
      <c r="E140" s="1">
        <f>ROUND(INDEX(加速度入力!$B$56:$AV$206,ROWS($A$5:$A140),MATCH(E$4,加速度入力!$B$53:$AV$53,0)),1)</f>
        <v>14625.9</v>
      </c>
      <c r="F140" s="1">
        <f>ROUND(INDEX(加速度入力!$B$56:$AV$206,ROWS($A$5:$A140),MATCH(F$4,加速度入力!$B$53:$AV$53,0)),1)</f>
        <v>8142.8</v>
      </c>
    </row>
    <row r="141" spans="1:6" x14ac:dyDescent="0.25">
      <c r="A141" s="1">
        <f>加速度入力!B192</f>
        <v>136</v>
      </c>
      <c r="B141" s="1">
        <f>ROUND(INDEX(加速度入力!$B$56:$AV$206,ROWS($A$5:$A141),MATCH(B$4,加速度入力!$B$53:$AV$53,0)),1)</f>
        <v>8.8000000000000007</v>
      </c>
      <c r="C141" s="1">
        <f>ROUND(INDEX(加速度入力!$B$56:$AV$206,ROWS($A$5:$A141),MATCH(C$4,加速度入力!$B$53:$AV$53,0)),1)</f>
        <v>2610.4</v>
      </c>
      <c r="D141" s="1">
        <f>ROUND(INDEX(加速度入力!$B$56:$AV$206,ROWS($A$5:$A141),MATCH(D$4,加速度入力!$B$53:$AV$53,0)),1)</f>
        <v>4980.3999999999996</v>
      </c>
      <c r="E141" s="1">
        <f>ROUND(INDEX(加速度入力!$B$56:$AV$206,ROWS($A$5:$A141),MATCH(E$4,加速度入力!$B$53:$AV$53,0)),1)</f>
        <v>14431.6</v>
      </c>
      <c r="F141" s="1">
        <f>ROUND(INDEX(加速度入力!$B$56:$AV$206,ROWS($A$5:$A141),MATCH(F$4,加速度入力!$B$53:$AV$53,0)),1)</f>
        <v>8034.6</v>
      </c>
    </row>
    <row r="142" spans="1:6" x14ac:dyDescent="0.25">
      <c r="A142" s="1">
        <f>加速度入力!B193</f>
        <v>137</v>
      </c>
      <c r="B142" s="1">
        <f>ROUND(INDEX(加速度入力!$B$56:$AV$206,ROWS($A$5:$A142),MATCH(B$4,加速度入力!$B$53:$AV$53,0)),1)</f>
        <v>8.6</v>
      </c>
      <c r="C142" s="1">
        <f>ROUND(INDEX(加速度入力!$B$56:$AV$206,ROWS($A$5:$A142),MATCH(C$4,加速度入力!$B$53:$AV$53,0)),1)</f>
        <v>2580.4</v>
      </c>
      <c r="D142" s="1">
        <f>ROUND(INDEX(加速度入力!$B$56:$AV$206,ROWS($A$5:$A142),MATCH(D$4,加速度入力!$B$53:$AV$53,0)),1)</f>
        <v>4907.8999999999996</v>
      </c>
      <c r="E142" s="1">
        <f>ROUND(INDEX(加速度入力!$B$56:$AV$206,ROWS($A$5:$A142),MATCH(E$4,加速度入力!$B$53:$AV$53,0)),1)</f>
        <v>14241.3</v>
      </c>
      <c r="F142" s="1">
        <f>ROUND(INDEX(加速度入力!$B$56:$AV$206,ROWS($A$5:$A142),MATCH(F$4,加速度入力!$B$53:$AV$53,0)),1)</f>
        <v>7928.7</v>
      </c>
    </row>
    <row r="143" spans="1:6" x14ac:dyDescent="0.25">
      <c r="A143" s="1">
        <f>加速度入力!B194</f>
        <v>138</v>
      </c>
      <c r="B143" s="1">
        <f>ROUND(INDEX(加速度入力!$B$56:$AV$206,ROWS($A$5:$A143),MATCH(B$4,加速度入力!$B$53:$AV$53,0)),1)</f>
        <v>8.4</v>
      </c>
      <c r="C143" s="1">
        <f>ROUND(INDEX(加速度入力!$B$56:$AV$206,ROWS($A$5:$A143),MATCH(C$4,加速度入力!$B$53:$AV$53,0)),1)</f>
        <v>2550.9</v>
      </c>
      <c r="D143" s="1">
        <f>ROUND(INDEX(加速度入力!$B$56:$AV$206,ROWS($A$5:$A143),MATCH(D$4,加速度入力!$B$53:$AV$53,0)),1)</f>
        <v>4837.1000000000004</v>
      </c>
      <c r="E143" s="1">
        <f>ROUND(INDEX(加速度入力!$B$56:$AV$206,ROWS($A$5:$A143),MATCH(E$4,加速度入力!$B$53:$AV$53,0)),1)</f>
        <v>14054.9</v>
      </c>
      <c r="F143" s="1">
        <f>ROUND(INDEX(加速度入力!$B$56:$AV$206,ROWS($A$5:$A143),MATCH(F$4,加速度入力!$B$53:$AV$53,0)),1)</f>
        <v>7824.9</v>
      </c>
    </row>
    <row r="144" spans="1:6" x14ac:dyDescent="0.25">
      <c r="A144" s="1">
        <f>加速度入力!B195</f>
        <v>139</v>
      </c>
      <c r="B144" s="1">
        <f>ROUND(INDEX(加速度入力!$B$56:$AV$206,ROWS($A$5:$A144),MATCH(B$4,加速度入力!$B$53:$AV$53,0)),1)</f>
        <v>8.3000000000000007</v>
      </c>
      <c r="C144" s="1">
        <f>ROUND(INDEX(加速度入力!$B$56:$AV$206,ROWS($A$5:$A144),MATCH(C$4,加速度入力!$B$53:$AV$53,0)),1)</f>
        <v>2522</v>
      </c>
      <c r="D144" s="1">
        <f>ROUND(INDEX(加速度入力!$B$56:$AV$206,ROWS($A$5:$A144),MATCH(D$4,加速度入力!$B$53:$AV$53,0)),1)</f>
        <v>4767.7</v>
      </c>
      <c r="E144" s="1">
        <f>ROUND(INDEX(加速度入力!$B$56:$AV$206,ROWS($A$5:$A144),MATCH(E$4,加速度入力!$B$53:$AV$53,0)),1)</f>
        <v>13872.3</v>
      </c>
      <c r="F144" s="1">
        <f>ROUND(INDEX(加速度入力!$B$56:$AV$206,ROWS($A$5:$A144),MATCH(F$4,加速度入力!$B$53:$AV$53,0)),1)</f>
        <v>7723.2</v>
      </c>
    </row>
    <row r="145" spans="1:6" x14ac:dyDescent="0.25">
      <c r="A145" s="1">
        <f>加速度入力!B196</f>
        <v>140</v>
      </c>
      <c r="B145" s="1">
        <f>ROUND(INDEX(加速度入力!$B$56:$AV$206,ROWS($A$5:$A145),MATCH(B$4,加速度入力!$B$53:$AV$53,0)),1)</f>
        <v>8.1</v>
      </c>
      <c r="C145" s="1">
        <f>ROUND(INDEX(加速度入力!$B$56:$AV$206,ROWS($A$5:$A145),MATCH(C$4,加速度入力!$B$53:$AV$53,0)),1)</f>
        <v>2493.6</v>
      </c>
      <c r="D145" s="1">
        <f>ROUND(INDEX(加速度入力!$B$56:$AV$206,ROWS($A$5:$A145),MATCH(D$4,加速度入力!$B$53:$AV$53,0)),1)</f>
        <v>4699.8999999999996</v>
      </c>
      <c r="E145" s="1">
        <f>ROUND(INDEX(加速度入力!$B$56:$AV$206,ROWS($A$5:$A145),MATCH(E$4,加速度入力!$B$53:$AV$53,0)),1)</f>
        <v>13693.3</v>
      </c>
      <c r="F145" s="1">
        <f>ROUND(INDEX(加速度入力!$B$56:$AV$206,ROWS($A$5:$A145),MATCH(F$4,加速度入力!$B$53:$AV$53,0)),1)</f>
        <v>7623.6</v>
      </c>
    </row>
    <row r="146" spans="1:6" x14ac:dyDescent="0.25">
      <c r="A146" s="1">
        <f>加速度入力!B197</f>
        <v>141</v>
      </c>
      <c r="B146" s="1">
        <f>ROUND(INDEX(加速度入力!$B$56:$AV$206,ROWS($A$5:$A146),MATCH(B$4,加速度入力!$B$53:$AV$53,0)),1)</f>
        <v>8</v>
      </c>
      <c r="C146" s="1">
        <f>ROUND(INDEX(加速度入力!$B$56:$AV$206,ROWS($A$5:$A146),MATCH(C$4,加速度入力!$B$53:$AV$53,0)),1)</f>
        <v>2465.6999999999998</v>
      </c>
      <c r="D146" s="1">
        <f>ROUND(INDEX(加速度入力!$B$56:$AV$206,ROWS($A$5:$A146),MATCH(D$4,加速度入力!$B$53:$AV$53,0)),1)</f>
        <v>4633.3999999999996</v>
      </c>
      <c r="E146" s="1">
        <f>ROUND(INDEX(加速度入力!$B$56:$AV$206,ROWS($A$5:$A146),MATCH(E$4,加速度入力!$B$53:$AV$53,0)),1)</f>
        <v>13517.9</v>
      </c>
      <c r="F146" s="1">
        <f>ROUND(INDEX(加速度入力!$B$56:$AV$206,ROWS($A$5:$A146),MATCH(F$4,加速度入力!$B$53:$AV$53,0)),1)</f>
        <v>7525.9</v>
      </c>
    </row>
    <row r="147" spans="1:6" x14ac:dyDescent="0.25">
      <c r="A147" s="1">
        <f>加速度入力!B198</f>
        <v>142</v>
      </c>
      <c r="B147" s="1">
        <f>ROUND(INDEX(加速度入力!$B$56:$AV$206,ROWS($A$5:$A147),MATCH(B$4,加速度入力!$B$53:$AV$53,0)),1)</f>
        <v>7.9</v>
      </c>
      <c r="C147" s="1">
        <f>ROUND(INDEX(加速度入力!$B$56:$AV$206,ROWS($A$5:$A147),MATCH(C$4,加速度入力!$B$53:$AV$53,0)),1)</f>
        <v>2438.3000000000002</v>
      </c>
      <c r="D147" s="1">
        <f>ROUND(INDEX(加速度入力!$B$56:$AV$206,ROWS($A$5:$A147),MATCH(D$4,加速度入力!$B$53:$AV$53,0)),1)</f>
        <v>4568.3999999999996</v>
      </c>
      <c r="E147" s="1">
        <f>ROUND(INDEX(加速度入力!$B$56:$AV$206,ROWS($A$5:$A147),MATCH(E$4,加速度入力!$B$53:$AV$53,0)),1)</f>
        <v>13345.9</v>
      </c>
      <c r="F147" s="1">
        <f>ROUND(INDEX(加速度入力!$B$56:$AV$206,ROWS($A$5:$A147),MATCH(F$4,加速度入力!$B$53:$AV$53,0)),1)</f>
        <v>7430.2</v>
      </c>
    </row>
    <row r="148" spans="1:6" x14ac:dyDescent="0.25">
      <c r="A148" s="1">
        <f>加速度入力!B199</f>
        <v>143</v>
      </c>
      <c r="B148" s="1">
        <f>ROUND(INDEX(加速度入力!$B$56:$AV$206,ROWS($A$5:$A148),MATCH(B$4,加速度入力!$B$53:$AV$53,0)),1)</f>
        <v>7.7</v>
      </c>
      <c r="C148" s="1">
        <f>ROUND(INDEX(加速度入力!$B$56:$AV$206,ROWS($A$5:$A148),MATCH(C$4,加速度入力!$B$53:$AV$53,0)),1)</f>
        <v>2411.4</v>
      </c>
      <c r="D148" s="1">
        <f>ROUND(INDEX(加速度入力!$B$56:$AV$206,ROWS($A$5:$A148),MATCH(D$4,加速度入力!$B$53:$AV$53,0)),1)</f>
        <v>4504.7</v>
      </c>
      <c r="E148" s="1">
        <f>ROUND(INDEX(加速度入力!$B$56:$AV$206,ROWS($A$5:$A148),MATCH(E$4,加速度入力!$B$53:$AV$53,0)),1)</f>
        <v>13177.3</v>
      </c>
      <c r="F148" s="1">
        <f>ROUND(INDEX(加速度入力!$B$56:$AV$206,ROWS($A$5:$A148),MATCH(F$4,加速度入力!$B$53:$AV$53,0)),1)</f>
        <v>7336.3</v>
      </c>
    </row>
    <row r="149" spans="1:6" x14ac:dyDescent="0.25">
      <c r="A149" s="1">
        <f>加速度入力!B200</f>
        <v>144</v>
      </c>
      <c r="B149" s="1">
        <f>ROUND(INDEX(加速度入力!$B$56:$AV$206,ROWS($A$5:$A149),MATCH(B$4,加速度入力!$B$53:$AV$53,0)),1)</f>
        <v>7.6</v>
      </c>
      <c r="C149" s="1">
        <f>ROUND(INDEX(加速度入力!$B$56:$AV$206,ROWS($A$5:$A149),MATCH(C$4,加速度入力!$B$53:$AV$53,0)),1)</f>
        <v>2385</v>
      </c>
      <c r="D149" s="1">
        <f>ROUND(INDEX(加速度入力!$B$56:$AV$206,ROWS($A$5:$A149),MATCH(D$4,加速度入力!$B$53:$AV$53,0)),1)</f>
        <v>4442.3999999999996</v>
      </c>
      <c r="E149" s="1">
        <f>ROUND(INDEX(加速度入力!$B$56:$AV$206,ROWS($A$5:$A149),MATCH(E$4,加速度入力!$B$53:$AV$53,0)),1)</f>
        <v>13012</v>
      </c>
      <c r="F149" s="1">
        <f>ROUND(INDEX(加速度入力!$B$56:$AV$206,ROWS($A$5:$A149),MATCH(F$4,加速度入力!$B$53:$AV$53,0)),1)</f>
        <v>7244.3</v>
      </c>
    </row>
    <row r="150" spans="1:6" x14ac:dyDescent="0.25">
      <c r="A150" s="1">
        <f>加速度入力!B201</f>
        <v>145</v>
      </c>
      <c r="B150" s="1">
        <f>ROUND(INDEX(加速度入力!$B$56:$AV$206,ROWS($A$5:$A150),MATCH(B$4,加速度入力!$B$53:$AV$53,0)),1)</f>
        <v>7.5</v>
      </c>
      <c r="C150" s="1">
        <f>ROUND(INDEX(加速度入力!$B$56:$AV$206,ROWS($A$5:$A150),MATCH(C$4,加速度入力!$B$53:$AV$53,0)),1)</f>
        <v>2359.1</v>
      </c>
      <c r="D150" s="1">
        <f>ROUND(INDEX(加速度入力!$B$56:$AV$206,ROWS($A$5:$A150),MATCH(D$4,加速度入力!$B$53:$AV$53,0)),1)</f>
        <v>4381.3</v>
      </c>
      <c r="E150" s="1">
        <f>ROUND(INDEX(加速度入力!$B$56:$AV$206,ROWS($A$5:$A150),MATCH(E$4,加速度入力!$B$53:$AV$53,0)),1)</f>
        <v>12849.9</v>
      </c>
      <c r="F150" s="1">
        <f>ROUND(INDEX(加速度入力!$B$56:$AV$206,ROWS($A$5:$A150),MATCH(F$4,加速度入力!$B$53:$AV$53,0)),1)</f>
        <v>7154</v>
      </c>
    </row>
    <row r="151" spans="1:6" x14ac:dyDescent="0.25">
      <c r="A151" s="1">
        <f>加速度入力!B202</f>
        <v>146</v>
      </c>
      <c r="B151" s="1">
        <f>ROUND(INDEX(加速度入力!$B$56:$AV$206,ROWS($A$5:$A151),MATCH(B$4,加速度入力!$B$53:$AV$53,0)),1)</f>
        <v>7.3</v>
      </c>
      <c r="C151" s="1">
        <f>ROUND(INDEX(加速度入力!$B$56:$AV$206,ROWS($A$5:$A151),MATCH(C$4,加速度入力!$B$53:$AV$53,0)),1)</f>
        <v>2333.6</v>
      </c>
      <c r="D151" s="1">
        <f>ROUND(INDEX(加速度入力!$B$56:$AV$206,ROWS($A$5:$A151),MATCH(D$4,加速度入力!$B$53:$AV$53,0)),1)</f>
        <v>4321.5</v>
      </c>
      <c r="E151" s="1">
        <f>ROUND(INDEX(加速度入力!$B$56:$AV$206,ROWS($A$5:$A151),MATCH(E$4,加速度入力!$B$53:$AV$53,0)),1)</f>
        <v>12690.9</v>
      </c>
      <c r="F151" s="1">
        <f>ROUND(INDEX(加速度入力!$B$56:$AV$206,ROWS($A$5:$A151),MATCH(F$4,加速度入力!$B$53:$AV$53,0)),1)</f>
        <v>7065.5</v>
      </c>
    </row>
    <row r="152" spans="1:6" x14ac:dyDescent="0.25">
      <c r="A152" s="1">
        <f>加速度入力!B203</f>
        <v>147</v>
      </c>
      <c r="B152" s="1">
        <f>ROUND(INDEX(加速度入力!$B$56:$AV$206,ROWS($A$5:$A152),MATCH(B$4,加速度入力!$B$53:$AV$53,0)),1)</f>
        <v>7.2</v>
      </c>
      <c r="C152" s="1">
        <f>ROUND(INDEX(加速度入力!$B$56:$AV$206,ROWS($A$5:$A152),MATCH(C$4,加速度入力!$B$53:$AV$53,0)),1)</f>
        <v>2308.6</v>
      </c>
      <c r="D152" s="1">
        <f>ROUND(INDEX(加速度入力!$B$56:$AV$206,ROWS($A$5:$A152),MATCH(D$4,加速度入力!$B$53:$AV$53,0)),1)</f>
        <v>4262.8999999999996</v>
      </c>
      <c r="E152" s="1">
        <f>ROUND(INDEX(加速度入力!$B$56:$AV$206,ROWS($A$5:$A152),MATCH(E$4,加速度入力!$B$53:$AV$53,0)),1)</f>
        <v>12534.9</v>
      </c>
      <c r="F152" s="1">
        <f>ROUND(INDEX(加速度入力!$B$56:$AV$206,ROWS($A$5:$A152),MATCH(F$4,加速度入力!$B$53:$AV$53,0)),1)</f>
        <v>6978.7</v>
      </c>
    </row>
    <row r="153" spans="1:6" x14ac:dyDescent="0.25">
      <c r="A153" s="1">
        <f>加速度入力!B204</f>
        <v>148</v>
      </c>
      <c r="B153" s="1">
        <f>ROUND(INDEX(加速度入力!$B$56:$AV$206,ROWS($A$5:$A153),MATCH(B$4,加速度入力!$B$53:$AV$53,0)),1)</f>
        <v>7.1</v>
      </c>
      <c r="C153" s="1">
        <f>ROUND(INDEX(加速度入力!$B$56:$AV$206,ROWS($A$5:$A153),MATCH(C$4,加速度入力!$B$53:$AV$53,0)),1)</f>
        <v>2284</v>
      </c>
      <c r="D153" s="1">
        <f>ROUND(INDEX(加速度入力!$B$56:$AV$206,ROWS($A$5:$A153),MATCH(D$4,加速度入力!$B$53:$AV$53,0)),1)</f>
        <v>4205.5</v>
      </c>
      <c r="E153" s="1">
        <f>ROUND(INDEX(加速度入力!$B$56:$AV$206,ROWS($A$5:$A153),MATCH(E$4,加速度入力!$B$53:$AV$53,0)),1)</f>
        <v>12381.9</v>
      </c>
      <c r="F153" s="1">
        <f>ROUND(INDEX(加速度入力!$B$56:$AV$206,ROWS($A$5:$A153),MATCH(F$4,加速度入力!$B$53:$AV$53,0)),1)</f>
        <v>6893.5</v>
      </c>
    </row>
    <row r="154" spans="1:6" x14ac:dyDescent="0.25">
      <c r="A154" s="1">
        <f>加速度入力!B205</f>
        <v>149</v>
      </c>
      <c r="B154" s="1">
        <f>ROUND(INDEX(加速度入力!$B$56:$AV$206,ROWS($A$5:$A154),MATCH(B$4,加速度入力!$B$53:$AV$53,0)),1)</f>
        <v>7</v>
      </c>
      <c r="C154" s="1">
        <f>ROUND(INDEX(加速度入力!$B$56:$AV$206,ROWS($A$5:$A154),MATCH(C$4,加速度入力!$B$53:$AV$53,0)),1)</f>
        <v>2259.8000000000002</v>
      </c>
      <c r="D154" s="1">
        <f>ROUND(INDEX(加速度入力!$B$56:$AV$206,ROWS($A$5:$A154),MATCH(D$4,加速度入力!$B$53:$AV$53,0)),1)</f>
        <v>4149.2</v>
      </c>
      <c r="E154" s="1">
        <f>ROUND(INDEX(加速度入力!$B$56:$AV$206,ROWS($A$5:$A154),MATCH(E$4,加速度入力!$B$53:$AV$53,0)),1)</f>
        <v>12231.7</v>
      </c>
      <c r="F154" s="1">
        <f>ROUND(INDEX(加速度入力!$B$56:$AV$206,ROWS($A$5:$A154),MATCH(F$4,加速度入力!$B$53:$AV$53,0)),1)</f>
        <v>6809.9</v>
      </c>
    </row>
    <row r="155" spans="1:6" x14ac:dyDescent="0.25">
      <c r="A155" s="1">
        <f>加速度入力!B206</f>
        <v>150</v>
      </c>
      <c r="B155" s="1">
        <f>ROUND(INDEX(加速度入力!$B$56:$AV$206,ROWS($A$5:$A155),MATCH(B$4,加速度入力!$B$53:$AV$53,0)),1)</f>
        <v>6.9</v>
      </c>
      <c r="C155" s="1">
        <f>ROUND(INDEX(加速度入力!$B$56:$AV$206,ROWS($A$5:$A155),MATCH(C$4,加速度入力!$B$53:$AV$53,0)),1)</f>
        <v>2236.1</v>
      </c>
      <c r="D155" s="1">
        <f>ROUND(INDEX(加速度入力!$B$56:$AV$206,ROWS($A$5:$A155),MATCH(D$4,加速度入力!$B$53:$AV$53,0)),1)</f>
        <v>4094.1</v>
      </c>
      <c r="E155" s="1">
        <f>ROUND(INDEX(加速度入力!$B$56:$AV$206,ROWS($A$5:$A155),MATCH(E$4,加速度入力!$B$53:$AV$53,0)),1)</f>
        <v>12084.4</v>
      </c>
      <c r="F155" s="1">
        <f>ROUND(INDEX(加速度入力!$B$56:$AV$206,ROWS($A$5:$A155),MATCH(F$4,加速度入力!$B$53:$AV$53,0)),1)</f>
        <v>6727.8</v>
      </c>
    </row>
  </sheetData>
  <phoneticPr fontId="3"/>
  <pageMargins left="0.7" right="0.7" top="0.75" bottom="0.75" header="0.3" footer="0.3"/>
  <pageSetup paperSize="8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FF0000"/>
  </sheetPr>
  <dimension ref="A1:F155"/>
  <sheetViews>
    <sheetView workbookViewId="0">
      <pane ySplit="2" topLeftCell="A42" activePane="bottomLeft" state="frozen"/>
      <selection sqref="A1:A1048576"/>
      <selection pane="bottomLeft" activeCell="B2" sqref="B2"/>
    </sheetView>
  </sheetViews>
  <sheetFormatPr defaultColWidth="9.125" defaultRowHeight="10.199999999999999" x14ac:dyDescent="0.25"/>
  <cols>
    <col min="1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108</v>
      </c>
    </row>
    <row r="3" spans="1:6" x14ac:dyDescent="0.25">
      <c r="A3" s="1" t="s">
        <v>82</v>
      </c>
      <c r="B3" s="1">
        <v>1</v>
      </c>
      <c r="C3" s="1">
        <v>2</v>
      </c>
      <c r="D3" s="1">
        <v>3</v>
      </c>
      <c r="E3" s="1">
        <v>4</v>
      </c>
      <c r="F3" s="1">
        <v>5</v>
      </c>
    </row>
    <row r="4" spans="1:6" x14ac:dyDescent="0.25">
      <c r="A4" s="1" t="s">
        <v>82</v>
      </c>
      <c r="B4" s="1" t="str">
        <f>"p"&amp;B3&amp;$B2</f>
        <v>p1c</v>
      </c>
      <c r="C4" s="1" t="str">
        <f t="shared" ref="C4:F4" si="0">"p"&amp;C3&amp;$B2</f>
        <v>p2c</v>
      </c>
      <c r="D4" s="1" t="str">
        <f t="shared" si="0"/>
        <v>p3c</v>
      </c>
      <c r="E4" s="1" t="str">
        <f t="shared" si="0"/>
        <v>p4c</v>
      </c>
      <c r="F4" s="1" t="str">
        <f t="shared" si="0"/>
        <v>p5c</v>
      </c>
    </row>
    <row r="5" spans="1:6" x14ac:dyDescent="0.25">
      <c r="A5" s="1">
        <f>加速度入力!B56</f>
        <v>0</v>
      </c>
      <c r="B5" s="1">
        <f>ROUND(INDEX(加速度入力!$B$56:$AV$206,ROWS($A$5:$A5),MATCH(B$4,加速度入力!$B$53:$AV$53,0)),1)</f>
        <v>27.4</v>
      </c>
      <c r="C5" s="1">
        <f>ROUND(INDEX(加速度入力!$B$56:$AV$206,ROWS($A$5:$A5),MATCH(C$4,加速度入力!$B$53:$AV$53,0)),1)</f>
        <v>59.6</v>
      </c>
      <c r="D5" s="1">
        <f>ROUND(INDEX(加速度入力!$B$56:$AV$206,ROWS($A$5:$A5),MATCH(D$4,加速度入力!$B$53:$AV$53,0)),1)</f>
        <v>90</v>
      </c>
      <c r="E5" s="1">
        <f>ROUND(INDEX(加速度入力!$B$56:$AV$206,ROWS($A$5:$A5),MATCH(E$4,加速度入力!$B$53:$AV$53,0)),1)</f>
        <v>118.8</v>
      </c>
      <c r="F5" s="1">
        <f>ROUND(INDEX(加速度入力!$B$56:$AV$206,ROWS($A$5:$A5),MATCH(F$4,加速度入力!$B$53:$AV$53,0)),1)</f>
        <v>90.1</v>
      </c>
    </row>
    <row r="6" spans="1:6" x14ac:dyDescent="0.25">
      <c r="A6" s="1">
        <f>加速度入力!B57</f>
        <v>1</v>
      </c>
      <c r="B6" s="1">
        <f>ROUND(INDEX(加速度入力!$B$56:$AV$206,ROWS($A$5:$A6),MATCH(B$4,加速度入力!$B$53:$AV$53,0)),1)</f>
        <v>27.4</v>
      </c>
      <c r="C6" s="1">
        <f>ROUND(INDEX(加速度入力!$B$56:$AV$206,ROWS($A$5:$A6),MATCH(C$4,加速度入力!$B$53:$AV$53,0)),1)</f>
        <v>59.6</v>
      </c>
      <c r="D6" s="1">
        <f>ROUND(INDEX(加速度入力!$B$56:$AV$206,ROWS($A$5:$A6),MATCH(D$4,加速度入力!$B$53:$AV$53,0)),1)</f>
        <v>90</v>
      </c>
      <c r="E6" s="1">
        <f>ROUND(INDEX(加速度入力!$B$56:$AV$206,ROWS($A$5:$A6),MATCH(E$4,加速度入力!$B$53:$AV$53,0)),1)</f>
        <v>118.8</v>
      </c>
      <c r="F6" s="1">
        <f>ROUND(INDEX(加速度入力!$B$56:$AV$206,ROWS($A$5:$A6),MATCH(F$4,加速度入力!$B$53:$AV$53,0)),1)</f>
        <v>90.1</v>
      </c>
    </row>
    <row r="7" spans="1:6" x14ac:dyDescent="0.25">
      <c r="A7" s="1">
        <f>加速度入力!B58</f>
        <v>2</v>
      </c>
      <c r="B7" s="1">
        <f>ROUND(INDEX(加速度入力!$B$56:$AV$206,ROWS($A$5:$A7),MATCH(B$4,加速度入力!$B$53:$AV$53,0)),1)</f>
        <v>27.4</v>
      </c>
      <c r="C7" s="1">
        <f>ROUND(INDEX(加速度入力!$B$56:$AV$206,ROWS($A$5:$A7),MATCH(C$4,加速度入力!$B$53:$AV$53,0)),1)</f>
        <v>59.6</v>
      </c>
      <c r="D7" s="1">
        <f>ROUND(INDEX(加速度入力!$B$56:$AV$206,ROWS($A$5:$A7),MATCH(D$4,加速度入力!$B$53:$AV$53,0)),1)</f>
        <v>90</v>
      </c>
      <c r="E7" s="1">
        <f>ROUND(INDEX(加速度入力!$B$56:$AV$206,ROWS($A$5:$A7),MATCH(E$4,加速度入力!$B$53:$AV$53,0)),1)</f>
        <v>118.8</v>
      </c>
      <c r="F7" s="1">
        <f>ROUND(INDEX(加速度入力!$B$56:$AV$206,ROWS($A$5:$A7),MATCH(F$4,加速度入力!$B$53:$AV$53,0)),1)</f>
        <v>90.1</v>
      </c>
    </row>
    <row r="8" spans="1:6" x14ac:dyDescent="0.25">
      <c r="A8" s="1">
        <f>加速度入力!B59</f>
        <v>3</v>
      </c>
      <c r="B8" s="1">
        <f>ROUND(INDEX(加速度入力!$B$56:$AV$206,ROWS($A$5:$A8),MATCH(B$4,加速度入力!$B$53:$AV$53,0)),1)</f>
        <v>27.4</v>
      </c>
      <c r="C8" s="1">
        <f>ROUND(INDEX(加速度入力!$B$56:$AV$206,ROWS($A$5:$A8),MATCH(C$4,加速度入力!$B$53:$AV$53,0)),1)</f>
        <v>59.6</v>
      </c>
      <c r="D8" s="1">
        <f>ROUND(INDEX(加速度入力!$B$56:$AV$206,ROWS($A$5:$A8),MATCH(D$4,加速度入力!$B$53:$AV$53,0)),1)</f>
        <v>90</v>
      </c>
      <c r="E8" s="1">
        <f>ROUND(INDEX(加速度入力!$B$56:$AV$206,ROWS($A$5:$A8),MATCH(E$4,加速度入力!$B$53:$AV$53,0)),1)</f>
        <v>118.8</v>
      </c>
      <c r="F8" s="1">
        <f>ROUND(INDEX(加速度入力!$B$56:$AV$206,ROWS($A$5:$A8),MATCH(F$4,加速度入力!$B$53:$AV$53,0)),1)</f>
        <v>90.1</v>
      </c>
    </row>
    <row r="9" spans="1:6" x14ac:dyDescent="0.25">
      <c r="A9" s="1">
        <f>加速度入力!B60</f>
        <v>4</v>
      </c>
      <c r="B9" s="1">
        <f>ROUND(INDEX(加速度入力!$B$56:$AV$206,ROWS($A$5:$A9),MATCH(B$4,加速度入力!$B$53:$AV$53,0)),1)</f>
        <v>27.4</v>
      </c>
      <c r="C9" s="1">
        <f>ROUND(INDEX(加速度入力!$B$56:$AV$206,ROWS($A$5:$A9),MATCH(C$4,加速度入力!$B$53:$AV$53,0)),1)</f>
        <v>59.6</v>
      </c>
      <c r="D9" s="1">
        <f>ROUND(INDEX(加速度入力!$B$56:$AV$206,ROWS($A$5:$A9),MATCH(D$4,加速度入力!$B$53:$AV$53,0)),1)</f>
        <v>90</v>
      </c>
      <c r="E9" s="1">
        <f>ROUND(INDEX(加速度入力!$B$56:$AV$206,ROWS($A$5:$A9),MATCH(E$4,加速度入力!$B$53:$AV$53,0)),1)</f>
        <v>118.8</v>
      </c>
      <c r="F9" s="1">
        <f>ROUND(INDEX(加速度入力!$B$56:$AV$206,ROWS($A$5:$A9),MATCH(F$4,加速度入力!$B$53:$AV$53,0)),1)</f>
        <v>90.1</v>
      </c>
    </row>
    <row r="10" spans="1:6" x14ac:dyDescent="0.25">
      <c r="A10" s="1">
        <f>加速度入力!B61</f>
        <v>5</v>
      </c>
      <c r="B10" s="1">
        <f>ROUND(INDEX(加速度入力!$B$56:$AV$206,ROWS($A$5:$A10),MATCH(B$4,加速度入力!$B$53:$AV$53,0)),1)</f>
        <v>27.4</v>
      </c>
      <c r="C10" s="1">
        <f>ROUND(INDEX(加速度入力!$B$56:$AV$206,ROWS($A$5:$A10),MATCH(C$4,加速度入力!$B$53:$AV$53,0)),1)</f>
        <v>59.6</v>
      </c>
      <c r="D10" s="1">
        <f>ROUND(INDEX(加速度入力!$B$56:$AV$206,ROWS($A$5:$A10),MATCH(D$4,加速度入力!$B$53:$AV$53,0)),1)</f>
        <v>90</v>
      </c>
      <c r="E10" s="1">
        <f>ROUND(INDEX(加速度入力!$B$56:$AV$206,ROWS($A$5:$A10),MATCH(E$4,加速度入力!$B$53:$AV$53,0)),1)</f>
        <v>118.8</v>
      </c>
      <c r="F10" s="1">
        <f>ROUND(INDEX(加速度入力!$B$56:$AV$206,ROWS($A$5:$A10),MATCH(F$4,加速度入力!$B$53:$AV$53,0)),1)</f>
        <v>90.1</v>
      </c>
    </row>
    <row r="11" spans="1:6" x14ac:dyDescent="0.25">
      <c r="A11" s="1">
        <f>加速度入力!B62</f>
        <v>6</v>
      </c>
      <c r="B11" s="1">
        <f>ROUND(INDEX(加速度入力!$B$56:$AV$206,ROWS($A$5:$A11),MATCH(B$4,加速度入力!$B$53:$AV$53,0)),1)</f>
        <v>27.4</v>
      </c>
      <c r="C11" s="1">
        <f>ROUND(INDEX(加速度入力!$B$56:$AV$206,ROWS($A$5:$A11),MATCH(C$4,加速度入力!$B$53:$AV$53,0)),1)</f>
        <v>59.6</v>
      </c>
      <c r="D11" s="1">
        <f>ROUND(INDEX(加速度入力!$B$56:$AV$206,ROWS($A$5:$A11),MATCH(D$4,加速度入力!$B$53:$AV$53,0)),1)</f>
        <v>90</v>
      </c>
      <c r="E11" s="1">
        <f>ROUND(INDEX(加速度入力!$B$56:$AV$206,ROWS($A$5:$A11),MATCH(E$4,加速度入力!$B$53:$AV$53,0)),1)</f>
        <v>118.8</v>
      </c>
      <c r="F11" s="1">
        <f>ROUND(INDEX(加速度入力!$B$56:$AV$206,ROWS($A$5:$A11),MATCH(F$4,加速度入力!$B$53:$AV$53,0)),1)</f>
        <v>90.1</v>
      </c>
    </row>
    <row r="12" spans="1:6" x14ac:dyDescent="0.25">
      <c r="A12" s="1">
        <f>加速度入力!B63</f>
        <v>7</v>
      </c>
      <c r="B12" s="1">
        <f>ROUND(INDEX(加速度入力!$B$56:$AV$206,ROWS($A$5:$A12),MATCH(B$4,加速度入力!$B$53:$AV$53,0)),1)</f>
        <v>27.4</v>
      </c>
      <c r="C12" s="1">
        <f>ROUND(INDEX(加速度入力!$B$56:$AV$206,ROWS($A$5:$A12),MATCH(C$4,加速度入力!$B$53:$AV$53,0)),1)</f>
        <v>59.6</v>
      </c>
      <c r="D12" s="1">
        <f>ROUND(INDEX(加速度入力!$B$56:$AV$206,ROWS($A$5:$A12),MATCH(D$4,加速度入力!$B$53:$AV$53,0)),1)</f>
        <v>90</v>
      </c>
      <c r="E12" s="1">
        <f>ROUND(INDEX(加速度入力!$B$56:$AV$206,ROWS($A$5:$A12),MATCH(E$4,加速度入力!$B$53:$AV$53,0)),1)</f>
        <v>118.8</v>
      </c>
      <c r="F12" s="1">
        <f>ROUND(INDEX(加速度入力!$B$56:$AV$206,ROWS($A$5:$A12),MATCH(F$4,加速度入力!$B$53:$AV$53,0)),1)</f>
        <v>90.1</v>
      </c>
    </row>
    <row r="13" spans="1:6" x14ac:dyDescent="0.25">
      <c r="A13" s="1">
        <f>加速度入力!B64</f>
        <v>8</v>
      </c>
      <c r="B13" s="1">
        <f>ROUND(INDEX(加速度入力!$B$56:$AV$206,ROWS($A$5:$A13),MATCH(B$4,加速度入力!$B$53:$AV$53,0)),1)</f>
        <v>27.3</v>
      </c>
      <c r="C13" s="1">
        <f>ROUND(INDEX(加速度入力!$B$56:$AV$206,ROWS($A$5:$A13),MATCH(C$4,加速度入力!$B$53:$AV$53,0)),1)</f>
        <v>59.6</v>
      </c>
      <c r="D13" s="1">
        <f>ROUND(INDEX(加速度入力!$B$56:$AV$206,ROWS($A$5:$A13),MATCH(D$4,加速度入力!$B$53:$AV$53,0)),1)</f>
        <v>90</v>
      </c>
      <c r="E13" s="1">
        <f>ROUND(INDEX(加速度入力!$B$56:$AV$206,ROWS($A$5:$A13),MATCH(E$4,加速度入力!$B$53:$AV$53,0)),1)</f>
        <v>118.8</v>
      </c>
      <c r="F13" s="1">
        <f>ROUND(INDEX(加速度入力!$B$56:$AV$206,ROWS($A$5:$A13),MATCH(F$4,加速度入力!$B$53:$AV$53,0)),1)</f>
        <v>90.1</v>
      </c>
    </row>
    <row r="14" spans="1:6" x14ac:dyDescent="0.25">
      <c r="A14" s="1">
        <f>加速度入力!B65</f>
        <v>9</v>
      </c>
      <c r="B14" s="1">
        <f>ROUND(INDEX(加速度入力!$B$56:$AV$206,ROWS($A$5:$A14),MATCH(B$4,加速度入力!$B$53:$AV$53,0)),1)</f>
        <v>24.3</v>
      </c>
      <c r="C14" s="1">
        <f>ROUND(INDEX(加速度入力!$B$56:$AV$206,ROWS($A$5:$A14),MATCH(C$4,加速度入力!$B$53:$AV$53,0)),1)</f>
        <v>59.6</v>
      </c>
      <c r="D14" s="1">
        <f>ROUND(INDEX(加速度入力!$B$56:$AV$206,ROWS($A$5:$A14),MATCH(D$4,加速度入力!$B$53:$AV$53,0)),1)</f>
        <v>90</v>
      </c>
      <c r="E14" s="1">
        <f>ROUND(INDEX(加速度入力!$B$56:$AV$206,ROWS($A$5:$A14),MATCH(E$4,加速度入力!$B$53:$AV$53,0)),1)</f>
        <v>118.8</v>
      </c>
      <c r="F14" s="1">
        <f>ROUND(INDEX(加速度入力!$B$56:$AV$206,ROWS($A$5:$A14),MATCH(F$4,加速度入力!$B$53:$AV$53,0)),1)</f>
        <v>90.1</v>
      </c>
    </row>
    <row r="15" spans="1:6" x14ac:dyDescent="0.25">
      <c r="A15" s="1">
        <f>加速度入力!B66</f>
        <v>10</v>
      </c>
      <c r="B15" s="1">
        <f>ROUND(INDEX(加速度入力!$B$56:$AV$206,ROWS($A$5:$A15),MATCH(B$4,加速度入力!$B$53:$AV$53,0)),1)</f>
        <v>21.9</v>
      </c>
      <c r="C15" s="1">
        <f>ROUND(INDEX(加速度入力!$B$56:$AV$206,ROWS($A$5:$A15),MATCH(C$4,加速度入力!$B$53:$AV$53,0)),1)</f>
        <v>59.6</v>
      </c>
      <c r="D15" s="1">
        <f>ROUND(INDEX(加速度入力!$B$56:$AV$206,ROWS($A$5:$A15),MATCH(D$4,加速度入力!$B$53:$AV$53,0)),1)</f>
        <v>90</v>
      </c>
      <c r="E15" s="1">
        <f>ROUND(INDEX(加速度入力!$B$56:$AV$206,ROWS($A$5:$A15),MATCH(E$4,加速度入力!$B$53:$AV$53,0)),1)</f>
        <v>118.8</v>
      </c>
      <c r="F15" s="1">
        <f>ROUND(INDEX(加速度入力!$B$56:$AV$206,ROWS($A$5:$A15),MATCH(F$4,加速度入力!$B$53:$AV$53,0)),1)</f>
        <v>90.1</v>
      </c>
    </row>
    <row r="16" spans="1:6" x14ac:dyDescent="0.25">
      <c r="A16" s="1">
        <f>加速度入力!B67</f>
        <v>11</v>
      </c>
      <c r="B16" s="1">
        <f>ROUND(INDEX(加速度入力!$B$56:$AV$206,ROWS($A$5:$A16),MATCH(B$4,加速度入力!$B$53:$AV$53,0)),1)</f>
        <v>19.899999999999999</v>
      </c>
      <c r="C16" s="1">
        <f>ROUND(INDEX(加速度入力!$B$56:$AV$206,ROWS($A$5:$A16),MATCH(C$4,加速度入力!$B$53:$AV$53,0)),1)</f>
        <v>59.6</v>
      </c>
      <c r="D16" s="1">
        <f>ROUND(INDEX(加速度入力!$B$56:$AV$206,ROWS($A$5:$A16),MATCH(D$4,加速度入力!$B$53:$AV$53,0)),1)</f>
        <v>90</v>
      </c>
      <c r="E16" s="1">
        <f>ROUND(INDEX(加速度入力!$B$56:$AV$206,ROWS($A$5:$A16),MATCH(E$4,加速度入力!$B$53:$AV$53,0)),1)</f>
        <v>118.8</v>
      </c>
      <c r="F16" s="1">
        <f>ROUND(INDEX(加速度入力!$B$56:$AV$206,ROWS($A$5:$A16),MATCH(F$4,加速度入力!$B$53:$AV$53,0)),1)</f>
        <v>90.1</v>
      </c>
    </row>
    <row r="17" spans="1:6" x14ac:dyDescent="0.25">
      <c r="A17" s="1">
        <f>加速度入力!B68</f>
        <v>12</v>
      </c>
      <c r="B17" s="1">
        <f>ROUND(INDEX(加速度入力!$B$56:$AV$206,ROWS($A$5:$A17),MATCH(B$4,加速度入力!$B$53:$AV$53,0)),1)</f>
        <v>18.2</v>
      </c>
      <c r="C17" s="1">
        <f>ROUND(INDEX(加速度入力!$B$56:$AV$206,ROWS($A$5:$A17),MATCH(C$4,加速度入力!$B$53:$AV$53,0)),1)</f>
        <v>59.6</v>
      </c>
      <c r="D17" s="1">
        <f>ROUND(INDEX(加速度入力!$B$56:$AV$206,ROWS($A$5:$A17),MATCH(D$4,加速度入力!$B$53:$AV$53,0)),1)</f>
        <v>90</v>
      </c>
      <c r="E17" s="1">
        <f>ROUND(INDEX(加速度入力!$B$56:$AV$206,ROWS($A$5:$A17),MATCH(E$4,加速度入力!$B$53:$AV$53,0)),1)</f>
        <v>118.8</v>
      </c>
      <c r="F17" s="1">
        <f>ROUND(INDEX(加速度入力!$B$56:$AV$206,ROWS($A$5:$A17),MATCH(F$4,加速度入力!$B$53:$AV$53,0)),1)</f>
        <v>90.1</v>
      </c>
    </row>
    <row r="18" spans="1:6" x14ac:dyDescent="0.25">
      <c r="A18" s="1">
        <f>加速度入力!B69</f>
        <v>13</v>
      </c>
      <c r="B18" s="1">
        <f>ROUND(INDEX(加速度入力!$B$56:$AV$206,ROWS($A$5:$A18),MATCH(B$4,加速度入力!$B$53:$AV$53,0)),1)</f>
        <v>16.8</v>
      </c>
      <c r="C18" s="1">
        <f>ROUND(INDEX(加速度入力!$B$56:$AV$206,ROWS($A$5:$A18),MATCH(C$4,加速度入力!$B$53:$AV$53,0)),1)</f>
        <v>59.6</v>
      </c>
      <c r="D18" s="1">
        <f>ROUND(INDEX(加速度入力!$B$56:$AV$206,ROWS($A$5:$A18),MATCH(D$4,加速度入力!$B$53:$AV$53,0)),1)</f>
        <v>90</v>
      </c>
      <c r="E18" s="1">
        <f>ROUND(INDEX(加速度入力!$B$56:$AV$206,ROWS($A$5:$A18),MATCH(E$4,加速度入力!$B$53:$AV$53,0)),1)</f>
        <v>118.8</v>
      </c>
      <c r="F18" s="1">
        <f>ROUND(INDEX(加速度入力!$B$56:$AV$206,ROWS($A$5:$A18),MATCH(F$4,加速度入力!$B$53:$AV$53,0)),1)</f>
        <v>90.1</v>
      </c>
    </row>
    <row r="19" spans="1:6" x14ac:dyDescent="0.25">
      <c r="A19" s="1">
        <f>加速度入力!B70</f>
        <v>14</v>
      </c>
      <c r="B19" s="1">
        <f>ROUND(INDEX(加速度入力!$B$56:$AV$206,ROWS($A$5:$A19),MATCH(B$4,加速度入力!$B$53:$AV$53,0)),1)</f>
        <v>15.6</v>
      </c>
      <c r="C19" s="1">
        <f>ROUND(INDEX(加速度入力!$B$56:$AV$206,ROWS($A$5:$A19),MATCH(C$4,加速度入力!$B$53:$AV$53,0)),1)</f>
        <v>59.6</v>
      </c>
      <c r="D19" s="1">
        <f>ROUND(INDEX(加速度入力!$B$56:$AV$206,ROWS($A$5:$A19),MATCH(D$4,加速度入力!$B$53:$AV$53,0)),1)</f>
        <v>90</v>
      </c>
      <c r="E19" s="1">
        <f>ROUND(INDEX(加速度入力!$B$56:$AV$206,ROWS($A$5:$A19),MATCH(E$4,加速度入力!$B$53:$AV$53,0)),1)</f>
        <v>118.8</v>
      </c>
      <c r="F19" s="1">
        <f>ROUND(INDEX(加速度入力!$B$56:$AV$206,ROWS($A$5:$A19),MATCH(F$4,加速度入力!$B$53:$AV$53,0)),1)</f>
        <v>90.1</v>
      </c>
    </row>
    <row r="20" spans="1:6" x14ac:dyDescent="0.25">
      <c r="A20" s="1">
        <f>加速度入力!B71</f>
        <v>15</v>
      </c>
      <c r="B20" s="1">
        <f>ROUND(INDEX(加速度入力!$B$56:$AV$206,ROWS($A$5:$A20),MATCH(B$4,加速度入力!$B$53:$AV$53,0)),1)</f>
        <v>14.6</v>
      </c>
      <c r="C20" s="1">
        <f>ROUND(INDEX(加速度入力!$B$56:$AV$206,ROWS($A$5:$A20),MATCH(C$4,加速度入力!$B$53:$AV$53,0)),1)</f>
        <v>59.6</v>
      </c>
      <c r="D20" s="1">
        <f>ROUND(INDEX(加速度入力!$B$56:$AV$206,ROWS($A$5:$A20),MATCH(D$4,加速度入力!$B$53:$AV$53,0)),1)</f>
        <v>90</v>
      </c>
      <c r="E20" s="1">
        <f>ROUND(INDEX(加速度入力!$B$56:$AV$206,ROWS($A$5:$A20),MATCH(E$4,加速度入力!$B$53:$AV$53,0)),1)</f>
        <v>118.8</v>
      </c>
      <c r="F20" s="1">
        <f>ROUND(INDEX(加速度入力!$B$56:$AV$206,ROWS($A$5:$A20),MATCH(F$4,加速度入力!$B$53:$AV$53,0)),1)</f>
        <v>90.1</v>
      </c>
    </row>
    <row r="21" spans="1:6" x14ac:dyDescent="0.25">
      <c r="A21" s="1">
        <f>加速度入力!B72</f>
        <v>16</v>
      </c>
      <c r="B21" s="1">
        <f>ROUND(INDEX(加速度入力!$B$56:$AV$206,ROWS($A$5:$A21),MATCH(B$4,加速度入力!$B$53:$AV$53,0)),1)</f>
        <v>13.7</v>
      </c>
      <c r="C21" s="1">
        <f>ROUND(INDEX(加速度入力!$B$56:$AV$206,ROWS($A$5:$A21),MATCH(C$4,加速度入力!$B$53:$AV$53,0)),1)</f>
        <v>59.6</v>
      </c>
      <c r="D21" s="1">
        <f>ROUND(INDEX(加速度入力!$B$56:$AV$206,ROWS($A$5:$A21),MATCH(D$4,加速度入力!$B$53:$AV$53,0)),1)</f>
        <v>90</v>
      </c>
      <c r="E21" s="1">
        <f>ROUND(INDEX(加速度入力!$B$56:$AV$206,ROWS($A$5:$A21),MATCH(E$4,加速度入力!$B$53:$AV$53,0)),1)</f>
        <v>118.8</v>
      </c>
      <c r="F21" s="1">
        <f>ROUND(INDEX(加速度入力!$B$56:$AV$206,ROWS($A$5:$A21),MATCH(F$4,加速度入力!$B$53:$AV$53,0)),1)</f>
        <v>90.1</v>
      </c>
    </row>
    <row r="22" spans="1:6" x14ac:dyDescent="0.25">
      <c r="A22" s="1">
        <f>加速度入力!B73</f>
        <v>17</v>
      </c>
      <c r="B22" s="1">
        <f>ROUND(INDEX(加速度入力!$B$56:$AV$206,ROWS($A$5:$A22),MATCH(B$4,加速度入力!$B$53:$AV$53,0)),1)</f>
        <v>12.9</v>
      </c>
      <c r="C22" s="1">
        <f>ROUND(INDEX(加速度入力!$B$56:$AV$206,ROWS($A$5:$A22),MATCH(C$4,加速度入力!$B$53:$AV$53,0)),1)</f>
        <v>59.6</v>
      </c>
      <c r="D22" s="1">
        <f>ROUND(INDEX(加速度入力!$B$56:$AV$206,ROWS($A$5:$A22),MATCH(D$4,加速度入力!$B$53:$AV$53,0)),1)</f>
        <v>90</v>
      </c>
      <c r="E22" s="1">
        <f>ROUND(INDEX(加速度入力!$B$56:$AV$206,ROWS($A$5:$A22),MATCH(E$4,加速度入力!$B$53:$AV$53,0)),1)</f>
        <v>118.8</v>
      </c>
      <c r="F22" s="1">
        <f>ROUND(INDEX(加速度入力!$B$56:$AV$206,ROWS($A$5:$A22),MATCH(F$4,加速度入力!$B$53:$AV$53,0)),1)</f>
        <v>90.1</v>
      </c>
    </row>
    <row r="23" spans="1:6" x14ac:dyDescent="0.25">
      <c r="A23" s="1">
        <f>加速度入力!B74</f>
        <v>18</v>
      </c>
      <c r="B23" s="1">
        <f>ROUND(INDEX(加速度入力!$B$56:$AV$206,ROWS($A$5:$A23),MATCH(B$4,加速度入力!$B$53:$AV$53,0)),1)</f>
        <v>12.1</v>
      </c>
      <c r="C23" s="1">
        <f>ROUND(INDEX(加速度入力!$B$56:$AV$206,ROWS($A$5:$A23),MATCH(C$4,加速度入力!$B$53:$AV$53,0)),1)</f>
        <v>59.6</v>
      </c>
      <c r="D23" s="1">
        <f>ROUND(INDEX(加速度入力!$B$56:$AV$206,ROWS($A$5:$A23),MATCH(D$4,加速度入力!$B$53:$AV$53,0)),1)</f>
        <v>90</v>
      </c>
      <c r="E23" s="1">
        <f>ROUND(INDEX(加速度入力!$B$56:$AV$206,ROWS($A$5:$A23),MATCH(E$4,加速度入力!$B$53:$AV$53,0)),1)</f>
        <v>118.8</v>
      </c>
      <c r="F23" s="1">
        <f>ROUND(INDEX(加速度入力!$B$56:$AV$206,ROWS($A$5:$A23),MATCH(F$4,加速度入力!$B$53:$AV$53,0)),1)</f>
        <v>90.1</v>
      </c>
    </row>
    <row r="24" spans="1:6" x14ac:dyDescent="0.25">
      <c r="A24" s="1">
        <f>加速度入力!B75</f>
        <v>19</v>
      </c>
      <c r="B24" s="1">
        <f>ROUND(INDEX(加速度入力!$B$56:$AV$206,ROWS($A$5:$A24),MATCH(B$4,加速度入力!$B$53:$AV$53,0)),1)</f>
        <v>11.5</v>
      </c>
      <c r="C24" s="1">
        <f>ROUND(INDEX(加速度入力!$B$56:$AV$206,ROWS($A$5:$A24),MATCH(C$4,加速度入力!$B$53:$AV$53,0)),1)</f>
        <v>59.6</v>
      </c>
      <c r="D24" s="1">
        <f>ROUND(INDEX(加速度入力!$B$56:$AV$206,ROWS($A$5:$A24),MATCH(D$4,加速度入力!$B$53:$AV$53,0)),1)</f>
        <v>90</v>
      </c>
      <c r="E24" s="1">
        <f>ROUND(INDEX(加速度入力!$B$56:$AV$206,ROWS($A$5:$A24),MATCH(E$4,加速度入力!$B$53:$AV$53,0)),1)</f>
        <v>118.8</v>
      </c>
      <c r="F24" s="1">
        <f>ROUND(INDEX(加速度入力!$B$56:$AV$206,ROWS($A$5:$A24),MATCH(F$4,加速度入力!$B$53:$AV$53,0)),1)</f>
        <v>90.1</v>
      </c>
    </row>
    <row r="25" spans="1:6" x14ac:dyDescent="0.25">
      <c r="A25" s="1">
        <f>加速度入力!B76</f>
        <v>20</v>
      </c>
      <c r="B25" s="1">
        <f>ROUND(INDEX(加速度入力!$B$56:$AV$206,ROWS($A$5:$A25),MATCH(B$4,加速度入力!$B$53:$AV$53,0)),1)</f>
        <v>10.9</v>
      </c>
      <c r="C25" s="1">
        <f>ROUND(INDEX(加速度入力!$B$56:$AV$206,ROWS($A$5:$A25),MATCH(C$4,加速度入力!$B$53:$AV$53,0)),1)</f>
        <v>59.6</v>
      </c>
      <c r="D25" s="1">
        <f>ROUND(INDEX(加速度入力!$B$56:$AV$206,ROWS($A$5:$A25),MATCH(D$4,加速度入力!$B$53:$AV$53,0)),1)</f>
        <v>90</v>
      </c>
      <c r="E25" s="1">
        <f>ROUND(INDEX(加速度入力!$B$56:$AV$206,ROWS($A$5:$A25),MATCH(E$4,加速度入力!$B$53:$AV$53,0)),1)</f>
        <v>118.8</v>
      </c>
      <c r="F25" s="1">
        <f>ROUND(INDEX(加速度入力!$B$56:$AV$206,ROWS($A$5:$A25),MATCH(F$4,加速度入力!$B$53:$AV$53,0)),1)</f>
        <v>90.1</v>
      </c>
    </row>
    <row r="26" spans="1:6" x14ac:dyDescent="0.25">
      <c r="A26" s="1">
        <f>加速度入力!B77</f>
        <v>21</v>
      </c>
      <c r="B26" s="1">
        <f>ROUND(INDEX(加速度入力!$B$56:$AV$206,ROWS($A$5:$A26),MATCH(B$4,加速度入力!$B$53:$AV$53,0)),1)</f>
        <v>10.4</v>
      </c>
      <c r="C26" s="1">
        <f>ROUND(INDEX(加速度入力!$B$56:$AV$206,ROWS($A$5:$A26),MATCH(C$4,加速度入力!$B$53:$AV$53,0)),1)</f>
        <v>59.6</v>
      </c>
      <c r="D26" s="1">
        <f>ROUND(INDEX(加速度入力!$B$56:$AV$206,ROWS($A$5:$A26),MATCH(D$4,加速度入力!$B$53:$AV$53,0)),1)</f>
        <v>90</v>
      </c>
      <c r="E26" s="1">
        <f>ROUND(INDEX(加速度入力!$B$56:$AV$206,ROWS($A$5:$A26),MATCH(E$4,加速度入力!$B$53:$AV$53,0)),1)</f>
        <v>118.8</v>
      </c>
      <c r="F26" s="1">
        <f>ROUND(INDEX(加速度入力!$B$56:$AV$206,ROWS($A$5:$A26),MATCH(F$4,加速度入力!$B$53:$AV$53,0)),1)</f>
        <v>90.1</v>
      </c>
    </row>
    <row r="27" spans="1:6" x14ac:dyDescent="0.25">
      <c r="A27" s="1">
        <f>加速度入力!B78</f>
        <v>22</v>
      </c>
      <c r="B27" s="1">
        <f>ROUND(INDEX(加速度入力!$B$56:$AV$206,ROWS($A$5:$A27),MATCH(B$4,加速度入力!$B$53:$AV$53,0)),1)</f>
        <v>9.9</v>
      </c>
      <c r="C27" s="1">
        <f>ROUND(INDEX(加速度入力!$B$56:$AV$206,ROWS($A$5:$A27),MATCH(C$4,加速度入力!$B$53:$AV$53,0)),1)</f>
        <v>59.6</v>
      </c>
      <c r="D27" s="1">
        <f>ROUND(INDEX(加速度入力!$B$56:$AV$206,ROWS($A$5:$A27),MATCH(D$4,加速度入力!$B$53:$AV$53,0)),1)</f>
        <v>90</v>
      </c>
      <c r="E27" s="1">
        <f>ROUND(INDEX(加速度入力!$B$56:$AV$206,ROWS($A$5:$A27),MATCH(E$4,加速度入力!$B$53:$AV$53,0)),1)</f>
        <v>118.8</v>
      </c>
      <c r="F27" s="1">
        <f>ROUND(INDEX(加速度入力!$B$56:$AV$206,ROWS($A$5:$A27),MATCH(F$4,加速度入力!$B$53:$AV$53,0)),1)</f>
        <v>90.1</v>
      </c>
    </row>
    <row r="28" spans="1:6" x14ac:dyDescent="0.25">
      <c r="A28" s="1">
        <f>加速度入力!B79</f>
        <v>23</v>
      </c>
      <c r="B28" s="1">
        <f>ROUND(INDEX(加速度入力!$B$56:$AV$206,ROWS($A$5:$A28),MATCH(B$4,加速度入力!$B$53:$AV$53,0)),1)</f>
        <v>9.5</v>
      </c>
      <c r="C28" s="1">
        <f>ROUND(INDEX(加速度入力!$B$56:$AV$206,ROWS($A$5:$A28),MATCH(C$4,加速度入力!$B$53:$AV$53,0)),1)</f>
        <v>59.6</v>
      </c>
      <c r="D28" s="1">
        <f>ROUND(INDEX(加速度入力!$B$56:$AV$206,ROWS($A$5:$A28),MATCH(D$4,加速度入力!$B$53:$AV$53,0)),1)</f>
        <v>90</v>
      </c>
      <c r="E28" s="1">
        <f>ROUND(INDEX(加速度入力!$B$56:$AV$206,ROWS($A$5:$A28),MATCH(E$4,加速度入力!$B$53:$AV$53,0)),1)</f>
        <v>118.8</v>
      </c>
      <c r="F28" s="1">
        <f>ROUND(INDEX(加速度入力!$B$56:$AV$206,ROWS($A$5:$A28),MATCH(F$4,加速度入力!$B$53:$AV$53,0)),1)</f>
        <v>90.1</v>
      </c>
    </row>
    <row r="29" spans="1:6" x14ac:dyDescent="0.25">
      <c r="A29" s="1">
        <f>加速度入力!B80</f>
        <v>24</v>
      </c>
      <c r="B29" s="1">
        <f>ROUND(INDEX(加速度入力!$B$56:$AV$206,ROWS($A$5:$A29),MATCH(B$4,加速度入力!$B$53:$AV$53,0)),1)</f>
        <v>9.1</v>
      </c>
      <c r="C29" s="1">
        <f>ROUND(INDEX(加速度入力!$B$56:$AV$206,ROWS($A$5:$A29),MATCH(C$4,加速度入力!$B$53:$AV$53,0)),1)</f>
        <v>59.6</v>
      </c>
      <c r="D29" s="1">
        <f>ROUND(INDEX(加速度入力!$B$56:$AV$206,ROWS($A$5:$A29),MATCH(D$4,加速度入力!$B$53:$AV$53,0)),1)</f>
        <v>90</v>
      </c>
      <c r="E29" s="1">
        <f>ROUND(INDEX(加速度入力!$B$56:$AV$206,ROWS($A$5:$A29),MATCH(E$4,加速度入力!$B$53:$AV$53,0)),1)</f>
        <v>118.8</v>
      </c>
      <c r="F29" s="1">
        <f>ROUND(INDEX(加速度入力!$B$56:$AV$206,ROWS($A$5:$A29),MATCH(F$4,加速度入力!$B$53:$AV$53,0)),1)</f>
        <v>90.1</v>
      </c>
    </row>
    <row r="30" spans="1:6" x14ac:dyDescent="0.25">
      <c r="A30" s="1">
        <f>加速度入力!B81</f>
        <v>25</v>
      </c>
      <c r="B30" s="1">
        <f>ROUND(INDEX(加速度入力!$B$56:$AV$206,ROWS($A$5:$A30),MATCH(B$4,加速度入力!$B$53:$AV$53,0)),1)</f>
        <v>8.6999999999999993</v>
      </c>
      <c r="C30" s="1">
        <f>ROUND(INDEX(加速度入力!$B$56:$AV$206,ROWS($A$5:$A30),MATCH(C$4,加速度入力!$B$53:$AV$53,0)),1)</f>
        <v>59.6</v>
      </c>
      <c r="D30" s="1">
        <f>ROUND(INDEX(加速度入力!$B$56:$AV$206,ROWS($A$5:$A30),MATCH(D$4,加速度入力!$B$53:$AV$53,0)),1)</f>
        <v>90</v>
      </c>
      <c r="E30" s="1">
        <f>ROUND(INDEX(加速度入力!$B$56:$AV$206,ROWS($A$5:$A30),MATCH(E$4,加速度入力!$B$53:$AV$53,0)),1)</f>
        <v>118.8</v>
      </c>
      <c r="F30" s="1">
        <f>ROUND(INDEX(加速度入力!$B$56:$AV$206,ROWS($A$5:$A30),MATCH(F$4,加速度入力!$B$53:$AV$53,0)),1)</f>
        <v>90.1</v>
      </c>
    </row>
    <row r="31" spans="1:6" x14ac:dyDescent="0.25">
      <c r="A31" s="1">
        <f>加速度入力!B82</f>
        <v>26</v>
      </c>
      <c r="B31" s="1">
        <f>ROUND(INDEX(加速度入力!$B$56:$AV$206,ROWS($A$5:$A31),MATCH(B$4,加速度入力!$B$53:$AV$53,0)),1)</f>
        <v>8.4</v>
      </c>
      <c r="C31" s="1">
        <f>ROUND(INDEX(加速度入力!$B$56:$AV$206,ROWS($A$5:$A31),MATCH(C$4,加速度入力!$B$53:$AV$53,0)),1)</f>
        <v>59.6</v>
      </c>
      <c r="D31" s="1">
        <f>ROUND(INDEX(加速度入力!$B$56:$AV$206,ROWS($A$5:$A31),MATCH(D$4,加速度入力!$B$53:$AV$53,0)),1)</f>
        <v>90</v>
      </c>
      <c r="E31" s="1">
        <f>ROUND(INDEX(加速度入力!$B$56:$AV$206,ROWS($A$5:$A31),MATCH(E$4,加速度入力!$B$53:$AV$53,0)),1)</f>
        <v>118.8</v>
      </c>
      <c r="F31" s="1">
        <f>ROUND(INDEX(加速度入力!$B$56:$AV$206,ROWS($A$5:$A31),MATCH(F$4,加速度入力!$B$53:$AV$53,0)),1)</f>
        <v>90.1</v>
      </c>
    </row>
    <row r="32" spans="1:6" x14ac:dyDescent="0.25">
      <c r="A32" s="1">
        <f>加速度入力!B83</f>
        <v>27</v>
      </c>
      <c r="B32" s="1">
        <f>ROUND(INDEX(加速度入力!$B$56:$AV$206,ROWS($A$5:$A32),MATCH(B$4,加速度入力!$B$53:$AV$53,0)),1)</f>
        <v>8.1</v>
      </c>
      <c r="C32" s="1">
        <f>ROUND(INDEX(加速度入力!$B$56:$AV$206,ROWS($A$5:$A32),MATCH(C$4,加速度入力!$B$53:$AV$53,0)),1)</f>
        <v>59.6</v>
      </c>
      <c r="D32" s="1">
        <f>ROUND(INDEX(加速度入力!$B$56:$AV$206,ROWS($A$5:$A32),MATCH(D$4,加速度入力!$B$53:$AV$53,0)),1)</f>
        <v>90</v>
      </c>
      <c r="E32" s="1">
        <f>ROUND(INDEX(加速度入力!$B$56:$AV$206,ROWS($A$5:$A32),MATCH(E$4,加速度入力!$B$53:$AV$53,0)),1)</f>
        <v>118.8</v>
      </c>
      <c r="F32" s="1">
        <f>ROUND(INDEX(加速度入力!$B$56:$AV$206,ROWS($A$5:$A32),MATCH(F$4,加速度入力!$B$53:$AV$53,0)),1)</f>
        <v>90.1</v>
      </c>
    </row>
    <row r="33" spans="1:6" x14ac:dyDescent="0.25">
      <c r="A33" s="1">
        <f>加速度入力!B84</f>
        <v>28</v>
      </c>
      <c r="B33" s="1">
        <f>ROUND(INDEX(加速度入力!$B$56:$AV$206,ROWS($A$5:$A33),MATCH(B$4,加速度入力!$B$53:$AV$53,0)),1)</f>
        <v>7.8</v>
      </c>
      <c r="C33" s="1">
        <f>ROUND(INDEX(加速度入力!$B$56:$AV$206,ROWS($A$5:$A33),MATCH(C$4,加速度入力!$B$53:$AV$53,0)),1)</f>
        <v>59.6</v>
      </c>
      <c r="D33" s="1">
        <f>ROUND(INDEX(加速度入力!$B$56:$AV$206,ROWS($A$5:$A33),MATCH(D$4,加速度入力!$B$53:$AV$53,0)),1)</f>
        <v>90</v>
      </c>
      <c r="E33" s="1">
        <f>ROUND(INDEX(加速度入力!$B$56:$AV$206,ROWS($A$5:$A33),MATCH(E$4,加速度入力!$B$53:$AV$53,0)),1)</f>
        <v>118.8</v>
      </c>
      <c r="F33" s="1">
        <f>ROUND(INDEX(加速度入力!$B$56:$AV$206,ROWS($A$5:$A33),MATCH(F$4,加速度入力!$B$53:$AV$53,0)),1)</f>
        <v>90.1</v>
      </c>
    </row>
    <row r="34" spans="1:6" x14ac:dyDescent="0.25">
      <c r="A34" s="1">
        <f>加速度入力!B85</f>
        <v>29</v>
      </c>
      <c r="B34" s="1">
        <f>ROUND(INDEX(加速度入力!$B$56:$AV$206,ROWS($A$5:$A34),MATCH(B$4,加速度入力!$B$53:$AV$53,0)),1)</f>
        <v>7.5</v>
      </c>
      <c r="C34" s="1">
        <f>ROUND(INDEX(加速度入力!$B$56:$AV$206,ROWS($A$5:$A34),MATCH(C$4,加速度入力!$B$53:$AV$53,0)),1)</f>
        <v>59</v>
      </c>
      <c r="D34" s="1">
        <f>ROUND(INDEX(加速度入力!$B$56:$AV$206,ROWS($A$5:$A34),MATCH(D$4,加速度入力!$B$53:$AV$53,0)),1)</f>
        <v>90</v>
      </c>
      <c r="E34" s="1">
        <f>ROUND(INDEX(加速度入力!$B$56:$AV$206,ROWS($A$5:$A34),MATCH(E$4,加速度入力!$B$53:$AV$53,0)),1)</f>
        <v>118.8</v>
      </c>
      <c r="F34" s="1">
        <f>ROUND(INDEX(加速度入力!$B$56:$AV$206,ROWS($A$5:$A34),MATCH(F$4,加速度入力!$B$53:$AV$53,0)),1)</f>
        <v>90.1</v>
      </c>
    </row>
    <row r="35" spans="1:6" x14ac:dyDescent="0.25">
      <c r="A35" s="1">
        <f>加速度入力!B86</f>
        <v>30</v>
      </c>
      <c r="B35" s="1">
        <f>ROUND(INDEX(加速度入力!$B$56:$AV$206,ROWS($A$5:$A35),MATCH(B$4,加速度入力!$B$53:$AV$53,0)),1)</f>
        <v>7.3</v>
      </c>
      <c r="C35" s="1">
        <f>ROUND(INDEX(加速度入力!$B$56:$AV$206,ROWS($A$5:$A35),MATCH(C$4,加速度入力!$B$53:$AV$53,0)),1)</f>
        <v>57</v>
      </c>
      <c r="D35" s="1">
        <f>ROUND(INDEX(加速度入力!$B$56:$AV$206,ROWS($A$5:$A35),MATCH(D$4,加速度入力!$B$53:$AV$53,0)),1)</f>
        <v>90</v>
      </c>
      <c r="E35" s="1">
        <f>ROUND(INDEX(加速度入力!$B$56:$AV$206,ROWS($A$5:$A35),MATCH(E$4,加速度入力!$B$53:$AV$53,0)),1)</f>
        <v>118.8</v>
      </c>
      <c r="F35" s="1">
        <f>ROUND(INDEX(加速度入力!$B$56:$AV$206,ROWS($A$5:$A35),MATCH(F$4,加速度入力!$B$53:$AV$53,0)),1)</f>
        <v>90.1</v>
      </c>
    </row>
    <row r="36" spans="1:6" x14ac:dyDescent="0.25">
      <c r="A36" s="1">
        <f>加速度入力!B87</f>
        <v>31</v>
      </c>
      <c r="B36" s="1">
        <f>ROUND(INDEX(加速度入力!$B$56:$AV$206,ROWS($A$5:$A36),MATCH(B$4,加速度入力!$B$53:$AV$53,0)),1)</f>
        <v>7</v>
      </c>
      <c r="C36" s="1">
        <f>ROUND(INDEX(加速度入力!$B$56:$AV$206,ROWS($A$5:$A36),MATCH(C$4,加速度入力!$B$53:$AV$53,0)),1)</f>
        <v>55.2</v>
      </c>
      <c r="D36" s="1">
        <f>ROUND(INDEX(加速度入力!$B$56:$AV$206,ROWS($A$5:$A36),MATCH(D$4,加速度入力!$B$53:$AV$53,0)),1)</f>
        <v>90</v>
      </c>
      <c r="E36" s="1">
        <f>ROUND(INDEX(加速度入力!$B$56:$AV$206,ROWS($A$5:$A36),MATCH(E$4,加速度入力!$B$53:$AV$53,0)),1)</f>
        <v>118.8</v>
      </c>
      <c r="F36" s="1">
        <f>ROUND(INDEX(加速度入力!$B$56:$AV$206,ROWS($A$5:$A36),MATCH(F$4,加速度入力!$B$53:$AV$53,0)),1)</f>
        <v>90.1</v>
      </c>
    </row>
    <row r="37" spans="1:6" x14ac:dyDescent="0.25">
      <c r="A37" s="1">
        <f>加速度入力!B88</f>
        <v>32</v>
      </c>
      <c r="B37" s="1">
        <f>ROUND(INDEX(加速度入力!$B$56:$AV$206,ROWS($A$5:$A37),MATCH(B$4,加速度入力!$B$53:$AV$53,0)),1)</f>
        <v>6.8</v>
      </c>
      <c r="C37" s="1">
        <f>ROUND(INDEX(加速度入力!$B$56:$AV$206,ROWS($A$5:$A37),MATCH(C$4,加速度入力!$B$53:$AV$53,0)),1)</f>
        <v>53.4</v>
      </c>
      <c r="D37" s="1">
        <f>ROUND(INDEX(加速度入力!$B$56:$AV$206,ROWS($A$5:$A37),MATCH(D$4,加速度入力!$B$53:$AV$53,0)),1)</f>
        <v>90</v>
      </c>
      <c r="E37" s="1">
        <f>ROUND(INDEX(加速度入力!$B$56:$AV$206,ROWS($A$5:$A37),MATCH(E$4,加速度入力!$B$53:$AV$53,0)),1)</f>
        <v>118.8</v>
      </c>
      <c r="F37" s="1">
        <f>ROUND(INDEX(加速度入力!$B$56:$AV$206,ROWS($A$5:$A37),MATCH(F$4,加速度入力!$B$53:$AV$53,0)),1)</f>
        <v>90.1</v>
      </c>
    </row>
    <row r="38" spans="1:6" x14ac:dyDescent="0.25">
      <c r="A38" s="1">
        <f>加速度入力!B89</f>
        <v>33</v>
      </c>
      <c r="B38" s="1">
        <f>ROUND(INDEX(加速度入力!$B$56:$AV$206,ROWS($A$5:$A38),MATCH(B$4,加速度入力!$B$53:$AV$53,0)),1)</f>
        <v>6.6</v>
      </c>
      <c r="C38" s="1">
        <f>ROUND(INDEX(加速度入力!$B$56:$AV$206,ROWS($A$5:$A38),MATCH(C$4,加速度入力!$B$53:$AV$53,0)),1)</f>
        <v>51.8</v>
      </c>
      <c r="D38" s="1">
        <f>ROUND(INDEX(加速度入力!$B$56:$AV$206,ROWS($A$5:$A38),MATCH(D$4,加速度入力!$B$53:$AV$53,0)),1)</f>
        <v>90</v>
      </c>
      <c r="E38" s="1">
        <f>ROUND(INDEX(加速度入力!$B$56:$AV$206,ROWS($A$5:$A38),MATCH(E$4,加速度入力!$B$53:$AV$53,0)),1)</f>
        <v>118.8</v>
      </c>
      <c r="F38" s="1">
        <f>ROUND(INDEX(加速度入力!$B$56:$AV$206,ROWS($A$5:$A38),MATCH(F$4,加速度入力!$B$53:$AV$53,0)),1)</f>
        <v>90.1</v>
      </c>
    </row>
    <row r="39" spans="1:6" x14ac:dyDescent="0.25">
      <c r="A39" s="1">
        <f>加速度入力!B90</f>
        <v>34</v>
      </c>
      <c r="B39" s="1">
        <f>ROUND(INDEX(加速度入力!$B$56:$AV$206,ROWS($A$5:$A39),MATCH(B$4,加速度入力!$B$53:$AV$53,0)),1)</f>
        <v>6.4</v>
      </c>
      <c r="C39" s="1">
        <f>ROUND(INDEX(加速度入力!$B$56:$AV$206,ROWS($A$5:$A39),MATCH(C$4,加速度入力!$B$53:$AV$53,0)),1)</f>
        <v>50.3</v>
      </c>
      <c r="D39" s="1">
        <f>ROUND(INDEX(加速度入力!$B$56:$AV$206,ROWS($A$5:$A39),MATCH(D$4,加速度入力!$B$53:$AV$53,0)),1)</f>
        <v>90</v>
      </c>
      <c r="E39" s="1">
        <f>ROUND(INDEX(加速度入力!$B$56:$AV$206,ROWS($A$5:$A39),MATCH(E$4,加速度入力!$B$53:$AV$53,0)),1)</f>
        <v>118.8</v>
      </c>
      <c r="F39" s="1">
        <f>ROUND(INDEX(加速度入力!$B$56:$AV$206,ROWS($A$5:$A39),MATCH(F$4,加速度入力!$B$53:$AV$53,0)),1)</f>
        <v>90.1</v>
      </c>
    </row>
    <row r="40" spans="1:6" x14ac:dyDescent="0.25">
      <c r="A40" s="1">
        <f>加速度入力!B91</f>
        <v>35</v>
      </c>
      <c r="B40" s="1">
        <f>ROUND(INDEX(加速度入力!$B$56:$AV$206,ROWS($A$5:$A40),MATCH(B$4,加速度入力!$B$53:$AV$53,0)),1)</f>
        <v>6.2</v>
      </c>
      <c r="C40" s="1">
        <f>ROUND(INDEX(加速度入力!$B$56:$AV$206,ROWS($A$5:$A40),MATCH(C$4,加速度入力!$B$53:$AV$53,0)),1)</f>
        <v>48.9</v>
      </c>
      <c r="D40" s="1">
        <f>ROUND(INDEX(加速度入力!$B$56:$AV$206,ROWS($A$5:$A40),MATCH(D$4,加速度入力!$B$53:$AV$53,0)),1)</f>
        <v>90</v>
      </c>
      <c r="E40" s="1">
        <f>ROUND(INDEX(加速度入力!$B$56:$AV$206,ROWS($A$5:$A40),MATCH(E$4,加速度入力!$B$53:$AV$53,0)),1)</f>
        <v>118.8</v>
      </c>
      <c r="F40" s="1">
        <f>ROUND(INDEX(加速度入力!$B$56:$AV$206,ROWS($A$5:$A40),MATCH(F$4,加速度入力!$B$53:$AV$53,0)),1)</f>
        <v>90.1</v>
      </c>
    </row>
    <row r="41" spans="1:6" x14ac:dyDescent="0.25">
      <c r="A41" s="1">
        <f>加速度入力!B92</f>
        <v>36</v>
      </c>
      <c r="B41" s="1">
        <f>ROUND(INDEX(加速度入力!$B$56:$AV$206,ROWS($A$5:$A41),MATCH(B$4,加速度入力!$B$53:$AV$53,0)),1)</f>
        <v>6.1</v>
      </c>
      <c r="C41" s="1">
        <f>ROUND(INDEX(加速度入力!$B$56:$AV$206,ROWS($A$5:$A41),MATCH(C$4,加速度入力!$B$53:$AV$53,0)),1)</f>
        <v>47.5</v>
      </c>
      <c r="D41" s="1">
        <f>ROUND(INDEX(加速度入力!$B$56:$AV$206,ROWS($A$5:$A41),MATCH(D$4,加速度入力!$B$53:$AV$53,0)),1)</f>
        <v>90</v>
      </c>
      <c r="E41" s="1">
        <f>ROUND(INDEX(加速度入力!$B$56:$AV$206,ROWS($A$5:$A41),MATCH(E$4,加速度入力!$B$53:$AV$53,0)),1)</f>
        <v>118.8</v>
      </c>
      <c r="F41" s="1">
        <f>ROUND(INDEX(加速度入力!$B$56:$AV$206,ROWS($A$5:$A41),MATCH(F$4,加速度入力!$B$53:$AV$53,0)),1)</f>
        <v>90.1</v>
      </c>
    </row>
    <row r="42" spans="1:6" x14ac:dyDescent="0.25">
      <c r="A42" s="1">
        <f>加速度入力!B93</f>
        <v>37</v>
      </c>
      <c r="B42" s="1">
        <f>ROUND(INDEX(加速度入力!$B$56:$AV$206,ROWS($A$5:$A42),MATCH(B$4,加速度入力!$B$53:$AV$53,0)),1)</f>
        <v>5.9</v>
      </c>
      <c r="C42" s="1">
        <f>ROUND(INDEX(加速度入力!$B$56:$AV$206,ROWS($A$5:$A42),MATCH(C$4,加速度入力!$B$53:$AV$53,0)),1)</f>
        <v>46.2</v>
      </c>
      <c r="D42" s="1">
        <f>ROUND(INDEX(加速度入力!$B$56:$AV$206,ROWS($A$5:$A42),MATCH(D$4,加速度入力!$B$53:$AV$53,0)),1)</f>
        <v>90</v>
      </c>
      <c r="E42" s="1">
        <f>ROUND(INDEX(加速度入力!$B$56:$AV$206,ROWS($A$5:$A42),MATCH(E$4,加速度入力!$B$53:$AV$53,0)),1)</f>
        <v>118.8</v>
      </c>
      <c r="F42" s="1">
        <f>ROUND(INDEX(加速度入力!$B$56:$AV$206,ROWS($A$5:$A42),MATCH(F$4,加速度入力!$B$53:$AV$53,0)),1)</f>
        <v>90.1</v>
      </c>
    </row>
    <row r="43" spans="1:6" x14ac:dyDescent="0.25">
      <c r="A43" s="1">
        <f>加速度入力!B94</f>
        <v>38</v>
      </c>
      <c r="B43" s="1">
        <f>ROUND(INDEX(加速度入力!$B$56:$AV$206,ROWS($A$5:$A43),MATCH(B$4,加速度入力!$B$53:$AV$53,0)),1)</f>
        <v>5.8</v>
      </c>
      <c r="C43" s="1">
        <f>ROUND(INDEX(加速度入力!$B$56:$AV$206,ROWS($A$5:$A43),MATCH(C$4,加速度入力!$B$53:$AV$53,0)),1)</f>
        <v>45</v>
      </c>
      <c r="D43" s="1">
        <f>ROUND(INDEX(加速度入力!$B$56:$AV$206,ROWS($A$5:$A43),MATCH(D$4,加速度入力!$B$53:$AV$53,0)),1)</f>
        <v>90</v>
      </c>
      <c r="E43" s="1">
        <f>ROUND(INDEX(加速度入力!$B$56:$AV$206,ROWS($A$5:$A43),MATCH(E$4,加速度入力!$B$53:$AV$53,0)),1)</f>
        <v>118.8</v>
      </c>
      <c r="F43" s="1">
        <f>ROUND(INDEX(加速度入力!$B$56:$AV$206,ROWS($A$5:$A43),MATCH(F$4,加速度入力!$B$53:$AV$53,0)),1)</f>
        <v>90.1</v>
      </c>
    </row>
    <row r="44" spans="1:6" x14ac:dyDescent="0.25">
      <c r="A44" s="1">
        <f>加速度入力!B95</f>
        <v>39</v>
      </c>
      <c r="B44" s="1">
        <f>ROUND(INDEX(加速度入力!$B$56:$AV$206,ROWS($A$5:$A44),MATCH(B$4,加速度入力!$B$53:$AV$53,0)),1)</f>
        <v>5.6</v>
      </c>
      <c r="C44" s="1">
        <f>ROUND(INDEX(加速度入力!$B$56:$AV$206,ROWS($A$5:$A44),MATCH(C$4,加速度入力!$B$53:$AV$53,0)),1)</f>
        <v>43.8</v>
      </c>
      <c r="D44" s="1">
        <f>ROUND(INDEX(加速度入力!$B$56:$AV$206,ROWS($A$5:$A44),MATCH(D$4,加速度入力!$B$53:$AV$53,0)),1)</f>
        <v>90</v>
      </c>
      <c r="E44" s="1">
        <f>ROUND(INDEX(加速度入力!$B$56:$AV$206,ROWS($A$5:$A44),MATCH(E$4,加速度入力!$B$53:$AV$53,0)),1)</f>
        <v>118.8</v>
      </c>
      <c r="F44" s="1">
        <f>ROUND(INDEX(加速度入力!$B$56:$AV$206,ROWS($A$5:$A44),MATCH(F$4,加速度入力!$B$53:$AV$53,0)),1)</f>
        <v>90.1</v>
      </c>
    </row>
    <row r="45" spans="1:6" x14ac:dyDescent="0.25">
      <c r="A45" s="1">
        <f>加速度入力!B96</f>
        <v>40</v>
      </c>
      <c r="B45" s="1">
        <f>ROUND(INDEX(加速度入力!$B$56:$AV$206,ROWS($A$5:$A45),MATCH(B$4,加速度入力!$B$53:$AV$53,0)),1)</f>
        <v>5.5</v>
      </c>
      <c r="C45" s="1">
        <f>ROUND(INDEX(加速度入力!$B$56:$AV$206,ROWS($A$5:$A45),MATCH(C$4,加速度入力!$B$53:$AV$53,0)),1)</f>
        <v>42.7</v>
      </c>
      <c r="D45" s="1">
        <f>ROUND(INDEX(加速度入力!$B$56:$AV$206,ROWS($A$5:$A45),MATCH(D$4,加速度入力!$B$53:$AV$53,0)),1)</f>
        <v>90</v>
      </c>
      <c r="E45" s="1">
        <f>ROUND(INDEX(加速度入力!$B$56:$AV$206,ROWS($A$5:$A45),MATCH(E$4,加速度入力!$B$53:$AV$53,0)),1)</f>
        <v>118.8</v>
      </c>
      <c r="F45" s="1">
        <f>ROUND(INDEX(加速度入力!$B$56:$AV$206,ROWS($A$5:$A45),MATCH(F$4,加速度入力!$B$53:$AV$53,0)),1)</f>
        <v>90.1</v>
      </c>
    </row>
    <row r="46" spans="1:6" x14ac:dyDescent="0.25">
      <c r="A46" s="1">
        <f>加速度入力!B97</f>
        <v>41</v>
      </c>
      <c r="B46" s="1">
        <f>ROUND(INDEX(加速度入力!$B$56:$AV$206,ROWS($A$5:$A46),MATCH(B$4,加速度入力!$B$53:$AV$53,0)),1)</f>
        <v>5.3</v>
      </c>
      <c r="C46" s="1">
        <f>ROUND(INDEX(加速度入力!$B$56:$AV$206,ROWS($A$5:$A46),MATCH(C$4,加速度入力!$B$53:$AV$53,0)),1)</f>
        <v>41.7</v>
      </c>
      <c r="D46" s="1">
        <f>ROUND(INDEX(加速度入力!$B$56:$AV$206,ROWS($A$5:$A46),MATCH(D$4,加速度入力!$B$53:$AV$53,0)),1)</f>
        <v>90</v>
      </c>
      <c r="E46" s="1">
        <f>ROUND(INDEX(加速度入力!$B$56:$AV$206,ROWS($A$5:$A46),MATCH(E$4,加速度入力!$B$53:$AV$53,0)),1)</f>
        <v>118.8</v>
      </c>
      <c r="F46" s="1">
        <f>ROUND(INDEX(加速度入力!$B$56:$AV$206,ROWS($A$5:$A46),MATCH(F$4,加速度入力!$B$53:$AV$53,0)),1)</f>
        <v>90.1</v>
      </c>
    </row>
    <row r="47" spans="1:6" x14ac:dyDescent="0.25">
      <c r="A47" s="1">
        <f>加速度入力!B98</f>
        <v>42</v>
      </c>
      <c r="B47" s="1">
        <f>ROUND(INDEX(加速度入力!$B$56:$AV$206,ROWS($A$5:$A47),MATCH(B$4,加速度入力!$B$53:$AV$53,0)),1)</f>
        <v>5.2</v>
      </c>
      <c r="C47" s="1">
        <f>ROUND(INDEX(加速度入力!$B$56:$AV$206,ROWS($A$5:$A47),MATCH(C$4,加速度入力!$B$53:$AV$53,0)),1)</f>
        <v>40.700000000000003</v>
      </c>
      <c r="D47" s="1">
        <f>ROUND(INDEX(加速度入力!$B$56:$AV$206,ROWS($A$5:$A47),MATCH(D$4,加速度入力!$B$53:$AV$53,0)),1)</f>
        <v>90</v>
      </c>
      <c r="E47" s="1">
        <f>ROUND(INDEX(加速度入力!$B$56:$AV$206,ROWS($A$5:$A47),MATCH(E$4,加速度入力!$B$53:$AV$53,0)),1)</f>
        <v>118.8</v>
      </c>
      <c r="F47" s="1">
        <f>ROUND(INDEX(加速度入力!$B$56:$AV$206,ROWS($A$5:$A47),MATCH(F$4,加速度入力!$B$53:$AV$53,0)),1)</f>
        <v>90.1</v>
      </c>
    </row>
    <row r="48" spans="1:6" x14ac:dyDescent="0.25">
      <c r="A48" s="1">
        <f>加速度入力!B99</f>
        <v>43</v>
      </c>
      <c r="B48" s="1">
        <f>ROUND(INDEX(加速度入力!$B$56:$AV$206,ROWS($A$5:$A48),MATCH(B$4,加速度入力!$B$53:$AV$53,0)),1)</f>
        <v>5.0999999999999996</v>
      </c>
      <c r="C48" s="1">
        <f>ROUND(INDEX(加速度入力!$B$56:$AV$206,ROWS($A$5:$A48),MATCH(C$4,加速度入力!$B$53:$AV$53,0)),1)</f>
        <v>39.799999999999997</v>
      </c>
      <c r="D48" s="1">
        <f>ROUND(INDEX(加速度入力!$B$56:$AV$206,ROWS($A$5:$A48),MATCH(D$4,加速度入力!$B$53:$AV$53,0)),1)</f>
        <v>90</v>
      </c>
      <c r="E48" s="1">
        <f>ROUND(INDEX(加速度入力!$B$56:$AV$206,ROWS($A$5:$A48),MATCH(E$4,加速度入力!$B$53:$AV$53,0)),1)</f>
        <v>118.8</v>
      </c>
      <c r="F48" s="1">
        <f>ROUND(INDEX(加速度入力!$B$56:$AV$206,ROWS($A$5:$A48),MATCH(F$4,加速度入力!$B$53:$AV$53,0)),1)</f>
        <v>90.1</v>
      </c>
    </row>
    <row r="49" spans="1:6" x14ac:dyDescent="0.25">
      <c r="A49" s="1">
        <f>加速度入力!B100</f>
        <v>44</v>
      </c>
      <c r="B49" s="1">
        <f>ROUND(INDEX(加速度入力!$B$56:$AV$206,ROWS($A$5:$A49),MATCH(B$4,加速度入力!$B$53:$AV$53,0)),1)</f>
        <v>5</v>
      </c>
      <c r="C49" s="1">
        <f>ROUND(INDEX(加速度入力!$B$56:$AV$206,ROWS($A$5:$A49),MATCH(C$4,加速度入力!$B$53:$AV$53,0)),1)</f>
        <v>38.9</v>
      </c>
      <c r="D49" s="1">
        <f>ROUND(INDEX(加速度入力!$B$56:$AV$206,ROWS($A$5:$A49),MATCH(D$4,加速度入力!$B$53:$AV$53,0)),1)</f>
        <v>90</v>
      </c>
      <c r="E49" s="1">
        <f>ROUND(INDEX(加速度入力!$B$56:$AV$206,ROWS($A$5:$A49),MATCH(E$4,加速度入力!$B$53:$AV$53,0)),1)</f>
        <v>118.8</v>
      </c>
      <c r="F49" s="1">
        <f>ROUND(INDEX(加速度入力!$B$56:$AV$206,ROWS($A$5:$A49),MATCH(F$4,加速度入力!$B$53:$AV$53,0)),1)</f>
        <v>90.1</v>
      </c>
    </row>
    <row r="50" spans="1:6" x14ac:dyDescent="0.25">
      <c r="A50" s="1">
        <f>加速度入力!B101</f>
        <v>45</v>
      </c>
      <c r="B50" s="1">
        <f>ROUND(INDEX(加速度入力!$B$56:$AV$206,ROWS($A$5:$A50),MATCH(B$4,加速度入力!$B$53:$AV$53,0)),1)</f>
        <v>4.9000000000000004</v>
      </c>
      <c r="C50" s="1">
        <f>ROUND(INDEX(加速度入力!$B$56:$AV$206,ROWS($A$5:$A50),MATCH(C$4,加速度入力!$B$53:$AV$53,0)),1)</f>
        <v>38</v>
      </c>
      <c r="D50" s="1">
        <f>ROUND(INDEX(加速度入力!$B$56:$AV$206,ROWS($A$5:$A50),MATCH(D$4,加速度入力!$B$53:$AV$53,0)),1)</f>
        <v>90</v>
      </c>
      <c r="E50" s="1">
        <f>ROUND(INDEX(加速度入力!$B$56:$AV$206,ROWS($A$5:$A50),MATCH(E$4,加速度入力!$B$53:$AV$53,0)),1)</f>
        <v>118.8</v>
      </c>
      <c r="F50" s="1">
        <f>ROUND(INDEX(加速度入力!$B$56:$AV$206,ROWS($A$5:$A50),MATCH(F$4,加速度入力!$B$53:$AV$53,0)),1)</f>
        <v>90.1</v>
      </c>
    </row>
    <row r="51" spans="1:6" x14ac:dyDescent="0.25">
      <c r="A51" s="1">
        <f>加速度入力!B102</f>
        <v>46</v>
      </c>
      <c r="B51" s="1">
        <f>ROUND(INDEX(加速度入力!$B$56:$AV$206,ROWS($A$5:$A51),MATCH(B$4,加速度入力!$B$53:$AV$53,0)),1)</f>
        <v>4.8</v>
      </c>
      <c r="C51" s="1">
        <f>ROUND(INDEX(加速度入力!$B$56:$AV$206,ROWS($A$5:$A51),MATCH(C$4,加速度入力!$B$53:$AV$53,0)),1)</f>
        <v>37.200000000000003</v>
      </c>
      <c r="D51" s="1">
        <f>ROUND(INDEX(加速度入力!$B$56:$AV$206,ROWS($A$5:$A51),MATCH(D$4,加速度入力!$B$53:$AV$53,0)),1)</f>
        <v>90</v>
      </c>
      <c r="E51" s="1">
        <f>ROUND(INDEX(加速度入力!$B$56:$AV$206,ROWS($A$5:$A51),MATCH(E$4,加速度入力!$B$53:$AV$53,0)),1)</f>
        <v>118.8</v>
      </c>
      <c r="F51" s="1">
        <f>ROUND(INDEX(加速度入力!$B$56:$AV$206,ROWS($A$5:$A51),MATCH(F$4,加速度入力!$B$53:$AV$53,0)),1)</f>
        <v>90.1</v>
      </c>
    </row>
    <row r="52" spans="1:6" x14ac:dyDescent="0.25">
      <c r="A52" s="1">
        <f>加速度入力!B103</f>
        <v>47</v>
      </c>
      <c r="B52" s="1">
        <f>ROUND(INDEX(加速度入力!$B$56:$AV$206,ROWS($A$5:$A52),MATCH(B$4,加速度入力!$B$53:$AV$53,0)),1)</f>
        <v>4.5999999999999996</v>
      </c>
      <c r="C52" s="1">
        <f>ROUND(INDEX(加速度入力!$B$56:$AV$206,ROWS($A$5:$A52),MATCH(C$4,加速度入力!$B$53:$AV$53,0)),1)</f>
        <v>36.4</v>
      </c>
      <c r="D52" s="1">
        <f>ROUND(INDEX(加速度入力!$B$56:$AV$206,ROWS($A$5:$A52),MATCH(D$4,加速度入力!$B$53:$AV$53,0)),1)</f>
        <v>90</v>
      </c>
      <c r="E52" s="1">
        <f>ROUND(INDEX(加速度入力!$B$56:$AV$206,ROWS($A$5:$A52),MATCH(E$4,加速度入力!$B$53:$AV$53,0)),1)</f>
        <v>118.8</v>
      </c>
      <c r="F52" s="1">
        <f>ROUND(INDEX(加速度入力!$B$56:$AV$206,ROWS($A$5:$A52),MATCH(F$4,加速度入力!$B$53:$AV$53,0)),1)</f>
        <v>90.1</v>
      </c>
    </row>
    <row r="53" spans="1:6" x14ac:dyDescent="0.25">
      <c r="A53" s="1">
        <f>加速度入力!B104</f>
        <v>48</v>
      </c>
      <c r="B53" s="1">
        <f>ROUND(INDEX(加速度入力!$B$56:$AV$206,ROWS($A$5:$A53),MATCH(B$4,加速度入力!$B$53:$AV$53,0)),1)</f>
        <v>4.5999999999999996</v>
      </c>
      <c r="C53" s="1">
        <f>ROUND(INDEX(加速度入力!$B$56:$AV$206,ROWS($A$5:$A53),MATCH(C$4,加速度入力!$B$53:$AV$53,0)),1)</f>
        <v>35.6</v>
      </c>
      <c r="D53" s="1">
        <f>ROUND(INDEX(加速度入力!$B$56:$AV$206,ROWS($A$5:$A53),MATCH(D$4,加速度入力!$B$53:$AV$53,0)),1)</f>
        <v>90</v>
      </c>
      <c r="E53" s="1">
        <f>ROUND(INDEX(加速度入力!$B$56:$AV$206,ROWS($A$5:$A53),MATCH(E$4,加速度入力!$B$53:$AV$53,0)),1)</f>
        <v>118.8</v>
      </c>
      <c r="F53" s="1">
        <f>ROUND(INDEX(加速度入力!$B$56:$AV$206,ROWS($A$5:$A53),MATCH(F$4,加速度入力!$B$53:$AV$53,0)),1)</f>
        <v>90.1</v>
      </c>
    </row>
    <row r="54" spans="1:6" x14ac:dyDescent="0.25">
      <c r="A54" s="1">
        <f>加速度入力!B105</f>
        <v>49</v>
      </c>
      <c r="B54" s="1">
        <f>ROUND(INDEX(加速度入力!$B$56:$AV$206,ROWS($A$5:$A54),MATCH(B$4,加速度入力!$B$53:$AV$53,0)),1)</f>
        <v>4.5</v>
      </c>
      <c r="C54" s="1">
        <f>ROUND(INDEX(加速度入力!$B$56:$AV$206,ROWS($A$5:$A54),MATCH(C$4,加速度入力!$B$53:$AV$53,0)),1)</f>
        <v>34.9</v>
      </c>
      <c r="D54" s="1">
        <f>ROUND(INDEX(加速度入力!$B$56:$AV$206,ROWS($A$5:$A54),MATCH(D$4,加速度入力!$B$53:$AV$53,0)),1)</f>
        <v>90</v>
      </c>
      <c r="E54" s="1">
        <f>ROUND(INDEX(加速度入力!$B$56:$AV$206,ROWS($A$5:$A54),MATCH(E$4,加速度入力!$B$53:$AV$53,0)),1)</f>
        <v>118.8</v>
      </c>
      <c r="F54" s="1">
        <f>ROUND(INDEX(加速度入力!$B$56:$AV$206,ROWS($A$5:$A54),MATCH(F$4,加速度入力!$B$53:$AV$53,0)),1)</f>
        <v>90.1</v>
      </c>
    </row>
    <row r="55" spans="1:6" x14ac:dyDescent="0.25">
      <c r="A55" s="1">
        <f>加速度入力!B106</f>
        <v>50</v>
      </c>
      <c r="B55" s="1">
        <f>ROUND(INDEX(加速度入力!$B$56:$AV$206,ROWS($A$5:$A55),MATCH(B$4,加速度入力!$B$53:$AV$53,0)),1)</f>
        <v>4.4000000000000004</v>
      </c>
      <c r="C55" s="1">
        <f>ROUND(INDEX(加速度入力!$B$56:$AV$206,ROWS($A$5:$A55),MATCH(C$4,加速度入力!$B$53:$AV$53,0)),1)</f>
        <v>34.200000000000003</v>
      </c>
      <c r="D55" s="1">
        <f>ROUND(INDEX(加速度入力!$B$56:$AV$206,ROWS($A$5:$A55),MATCH(D$4,加速度入力!$B$53:$AV$53,0)),1)</f>
        <v>90</v>
      </c>
      <c r="E55" s="1">
        <f>ROUND(INDEX(加速度入力!$B$56:$AV$206,ROWS($A$5:$A55),MATCH(E$4,加速度入力!$B$53:$AV$53,0)),1)</f>
        <v>118.8</v>
      </c>
      <c r="F55" s="1">
        <f>ROUND(INDEX(加速度入力!$B$56:$AV$206,ROWS($A$5:$A55),MATCH(F$4,加速度入力!$B$53:$AV$53,0)),1)</f>
        <v>90.1</v>
      </c>
    </row>
    <row r="56" spans="1:6" x14ac:dyDescent="0.25">
      <c r="A56" s="1">
        <f>加速度入力!B107</f>
        <v>51</v>
      </c>
      <c r="B56" s="1">
        <f>ROUND(INDEX(加速度入力!$B$56:$AV$206,ROWS($A$5:$A56),MATCH(B$4,加速度入力!$B$53:$AV$53,0)),1)</f>
        <v>4.3</v>
      </c>
      <c r="C56" s="1">
        <f>ROUND(INDEX(加速度入力!$B$56:$AV$206,ROWS($A$5:$A56),MATCH(C$4,加速度入力!$B$53:$AV$53,0)),1)</f>
        <v>33.5</v>
      </c>
      <c r="D56" s="1">
        <f>ROUND(INDEX(加速度入力!$B$56:$AV$206,ROWS($A$5:$A56),MATCH(D$4,加速度入力!$B$53:$AV$53,0)),1)</f>
        <v>90</v>
      </c>
      <c r="E56" s="1">
        <f>ROUND(INDEX(加速度入力!$B$56:$AV$206,ROWS($A$5:$A56),MATCH(E$4,加速度入力!$B$53:$AV$53,0)),1)</f>
        <v>118.8</v>
      </c>
      <c r="F56" s="1">
        <f>ROUND(INDEX(加速度入力!$B$56:$AV$206,ROWS($A$5:$A56),MATCH(F$4,加速度入力!$B$53:$AV$53,0)),1)</f>
        <v>90.1</v>
      </c>
    </row>
    <row r="57" spans="1:6" x14ac:dyDescent="0.25">
      <c r="A57" s="1">
        <f>加速度入力!B108</f>
        <v>52</v>
      </c>
      <c r="B57" s="1">
        <f>ROUND(INDEX(加速度入力!$B$56:$AV$206,ROWS($A$5:$A57),MATCH(B$4,加速度入力!$B$53:$AV$53,0)),1)</f>
        <v>4.2</v>
      </c>
      <c r="C57" s="1">
        <f>ROUND(INDEX(加速度入力!$B$56:$AV$206,ROWS($A$5:$A57),MATCH(C$4,加速度入力!$B$53:$AV$53,0)),1)</f>
        <v>32.9</v>
      </c>
      <c r="D57" s="1">
        <f>ROUND(INDEX(加速度入力!$B$56:$AV$206,ROWS($A$5:$A57),MATCH(D$4,加速度入力!$B$53:$AV$53,0)),1)</f>
        <v>90</v>
      </c>
      <c r="E57" s="1">
        <f>ROUND(INDEX(加速度入力!$B$56:$AV$206,ROWS($A$5:$A57),MATCH(E$4,加速度入力!$B$53:$AV$53,0)),1)</f>
        <v>118.8</v>
      </c>
      <c r="F57" s="1">
        <f>ROUND(INDEX(加速度入力!$B$56:$AV$206,ROWS($A$5:$A57),MATCH(F$4,加速度入力!$B$53:$AV$53,0)),1)</f>
        <v>90.1</v>
      </c>
    </row>
    <row r="58" spans="1:6" x14ac:dyDescent="0.25">
      <c r="A58" s="1">
        <f>加速度入力!B109</f>
        <v>53</v>
      </c>
      <c r="B58" s="1">
        <f>ROUND(INDEX(加速度入力!$B$56:$AV$206,ROWS($A$5:$A58),MATCH(B$4,加速度入力!$B$53:$AV$53,0)),1)</f>
        <v>4.0999999999999996</v>
      </c>
      <c r="C58" s="1">
        <f>ROUND(INDEX(加速度入力!$B$56:$AV$206,ROWS($A$5:$A58),MATCH(C$4,加速度入力!$B$53:$AV$53,0)),1)</f>
        <v>32.299999999999997</v>
      </c>
      <c r="D58" s="1">
        <f>ROUND(INDEX(加速度入力!$B$56:$AV$206,ROWS($A$5:$A58),MATCH(D$4,加速度入力!$B$53:$AV$53,0)),1)</f>
        <v>90</v>
      </c>
      <c r="E58" s="1">
        <f>ROUND(INDEX(加速度入力!$B$56:$AV$206,ROWS($A$5:$A58),MATCH(E$4,加速度入力!$B$53:$AV$53,0)),1)</f>
        <v>118.8</v>
      </c>
      <c r="F58" s="1">
        <f>ROUND(INDEX(加速度入力!$B$56:$AV$206,ROWS($A$5:$A58),MATCH(F$4,加速度入力!$B$53:$AV$53,0)),1)</f>
        <v>90.1</v>
      </c>
    </row>
    <row r="59" spans="1:6" x14ac:dyDescent="0.25">
      <c r="A59" s="1">
        <f>加速度入力!B110</f>
        <v>54</v>
      </c>
      <c r="B59" s="1">
        <f>ROUND(INDEX(加速度入力!$B$56:$AV$206,ROWS($A$5:$A59),MATCH(B$4,加速度入力!$B$53:$AV$53,0)),1)</f>
        <v>4</v>
      </c>
      <c r="C59" s="1">
        <f>ROUND(INDEX(加速度入力!$B$56:$AV$206,ROWS($A$5:$A59),MATCH(C$4,加速度入力!$B$53:$AV$53,0)),1)</f>
        <v>31.7</v>
      </c>
      <c r="D59" s="1">
        <f>ROUND(INDEX(加速度入力!$B$56:$AV$206,ROWS($A$5:$A59),MATCH(D$4,加速度入力!$B$53:$AV$53,0)),1)</f>
        <v>90</v>
      </c>
      <c r="E59" s="1">
        <f>ROUND(INDEX(加速度入力!$B$56:$AV$206,ROWS($A$5:$A59),MATCH(E$4,加速度入力!$B$53:$AV$53,0)),1)</f>
        <v>118.8</v>
      </c>
      <c r="F59" s="1">
        <f>ROUND(INDEX(加速度入力!$B$56:$AV$206,ROWS($A$5:$A59),MATCH(F$4,加速度入力!$B$53:$AV$53,0)),1)</f>
        <v>90.1</v>
      </c>
    </row>
    <row r="60" spans="1:6" x14ac:dyDescent="0.25">
      <c r="A60" s="1">
        <f>加速度入力!B111</f>
        <v>55</v>
      </c>
      <c r="B60" s="1">
        <f>ROUND(INDEX(加速度入力!$B$56:$AV$206,ROWS($A$5:$A60),MATCH(B$4,加速度入力!$B$53:$AV$53,0)),1)</f>
        <v>4</v>
      </c>
      <c r="C60" s="1">
        <f>ROUND(INDEX(加速度入力!$B$56:$AV$206,ROWS($A$5:$A60),MATCH(C$4,加速度入力!$B$53:$AV$53,0)),1)</f>
        <v>31.1</v>
      </c>
      <c r="D60" s="1">
        <f>ROUND(INDEX(加速度入力!$B$56:$AV$206,ROWS($A$5:$A60),MATCH(D$4,加速度入力!$B$53:$AV$53,0)),1)</f>
        <v>90</v>
      </c>
      <c r="E60" s="1">
        <f>ROUND(INDEX(加速度入力!$B$56:$AV$206,ROWS($A$5:$A60),MATCH(E$4,加速度入力!$B$53:$AV$53,0)),1)</f>
        <v>118.8</v>
      </c>
      <c r="F60" s="1">
        <f>ROUND(INDEX(加速度入力!$B$56:$AV$206,ROWS($A$5:$A60),MATCH(F$4,加速度入力!$B$53:$AV$53,0)),1)</f>
        <v>90.1</v>
      </c>
    </row>
    <row r="61" spans="1:6" x14ac:dyDescent="0.25">
      <c r="A61" s="1">
        <f>加速度入力!B112</f>
        <v>56</v>
      </c>
      <c r="B61" s="1">
        <f>ROUND(INDEX(加速度入力!$B$56:$AV$206,ROWS($A$5:$A61),MATCH(B$4,加速度入力!$B$53:$AV$53,0)),1)</f>
        <v>3.9</v>
      </c>
      <c r="C61" s="1">
        <f>ROUND(INDEX(加速度入力!$B$56:$AV$206,ROWS($A$5:$A61),MATCH(C$4,加速度入力!$B$53:$AV$53,0)),1)</f>
        <v>30.5</v>
      </c>
      <c r="D61" s="1">
        <f>ROUND(INDEX(加速度入力!$B$56:$AV$206,ROWS($A$5:$A61),MATCH(D$4,加速度入力!$B$53:$AV$53,0)),1)</f>
        <v>90</v>
      </c>
      <c r="E61" s="1">
        <f>ROUND(INDEX(加速度入力!$B$56:$AV$206,ROWS($A$5:$A61),MATCH(E$4,加速度入力!$B$53:$AV$53,0)),1)</f>
        <v>118.8</v>
      </c>
      <c r="F61" s="1">
        <f>ROUND(INDEX(加速度入力!$B$56:$AV$206,ROWS($A$5:$A61),MATCH(F$4,加速度入力!$B$53:$AV$53,0)),1)</f>
        <v>90.1</v>
      </c>
    </row>
    <row r="62" spans="1:6" x14ac:dyDescent="0.25">
      <c r="A62" s="1">
        <f>加速度入力!B113</f>
        <v>57</v>
      </c>
      <c r="B62" s="1">
        <f>ROUND(INDEX(加速度入力!$B$56:$AV$206,ROWS($A$5:$A62),MATCH(B$4,加速度入力!$B$53:$AV$53,0)),1)</f>
        <v>3.8</v>
      </c>
      <c r="C62" s="1">
        <f>ROUND(INDEX(加速度入力!$B$56:$AV$206,ROWS($A$5:$A62),MATCH(C$4,加速度入力!$B$53:$AV$53,0)),1)</f>
        <v>30</v>
      </c>
      <c r="D62" s="1">
        <f>ROUND(INDEX(加速度入力!$B$56:$AV$206,ROWS($A$5:$A62),MATCH(D$4,加速度入力!$B$53:$AV$53,0)),1)</f>
        <v>90</v>
      </c>
      <c r="E62" s="1">
        <f>ROUND(INDEX(加速度入力!$B$56:$AV$206,ROWS($A$5:$A62),MATCH(E$4,加速度入力!$B$53:$AV$53,0)),1)</f>
        <v>118.8</v>
      </c>
      <c r="F62" s="1">
        <f>ROUND(INDEX(加速度入力!$B$56:$AV$206,ROWS($A$5:$A62),MATCH(F$4,加速度入力!$B$53:$AV$53,0)),1)</f>
        <v>90.1</v>
      </c>
    </row>
    <row r="63" spans="1:6" x14ac:dyDescent="0.25">
      <c r="A63" s="1">
        <f>加速度入力!B114</f>
        <v>58</v>
      </c>
      <c r="B63" s="1">
        <f>ROUND(INDEX(加速度入力!$B$56:$AV$206,ROWS($A$5:$A63),MATCH(B$4,加速度入力!$B$53:$AV$53,0)),1)</f>
        <v>3.8</v>
      </c>
      <c r="C63" s="1">
        <f>ROUND(INDEX(加速度入力!$B$56:$AV$206,ROWS($A$5:$A63),MATCH(C$4,加速度入力!$B$53:$AV$53,0)),1)</f>
        <v>29.5</v>
      </c>
      <c r="D63" s="1">
        <f>ROUND(INDEX(加速度入力!$B$56:$AV$206,ROWS($A$5:$A63),MATCH(D$4,加速度入力!$B$53:$AV$53,0)),1)</f>
        <v>90</v>
      </c>
      <c r="E63" s="1">
        <f>ROUND(INDEX(加速度入力!$B$56:$AV$206,ROWS($A$5:$A63),MATCH(E$4,加速度入力!$B$53:$AV$53,0)),1)</f>
        <v>118.8</v>
      </c>
      <c r="F63" s="1">
        <f>ROUND(INDEX(加速度入力!$B$56:$AV$206,ROWS($A$5:$A63),MATCH(F$4,加速度入力!$B$53:$AV$53,0)),1)</f>
        <v>90.1</v>
      </c>
    </row>
    <row r="64" spans="1:6" x14ac:dyDescent="0.25">
      <c r="A64" s="1">
        <f>加速度入力!B115</f>
        <v>59</v>
      </c>
      <c r="B64" s="1">
        <f>ROUND(INDEX(加速度入力!$B$56:$AV$206,ROWS($A$5:$A64),MATCH(B$4,加速度入力!$B$53:$AV$53,0)),1)</f>
        <v>3.7</v>
      </c>
      <c r="C64" s="1">
        <f>ROUND(INDEX(加速度入力!$B$56:$AV$206,ROWS($A$5:$A64),MATCH(C$4,加速度入力!$B$53:$AV$53,0)),1)</f>
        <v>29</v>
      </c>
      <c r="D64" s="1">
        <f>ROUND(INDEX(加速度入力!$B$56:$AV$206,ROWS($A$5:$A64),MATCH(D$4,加速度入力!$B$53:$AV$53,0)),1)</f>
        <v>90</v>
      </c>
      <c r="E64" s="1">
        <f>ROUND(INDEX(加速度入力!$B$56:$AV$206,ROWS($A$5:$A64),MATCH(E$4,加速度入力!$B$53:$AV$53,0)),1)</f>
        <v>118.8</v>
      </c>
      <c r="F64" s="1">
        <f>ROUND(INDEX(加速度入力!$B$56:$AV$206,ROWS($A$5:$A64),MATCH(F$4,加速度入力!$B$53:$AV$53,0)),1)</f>
        <v>90.1</v>
      </c>
    </row>
    <row r="65" spans="1:6" x14ac:dyDescent="0.25">
      <c r="A65" s="1">
        <f>加速度入力!B116</f>
        <v>60</v>
      </c>
      <c r="B65" s="1">
        <f>ROUND(INDEX(加速度入力!$B$56:$AV$206,ROWS($A$5:$A65),MATCH(B$4,加速度入力!$B$53:$AV$53,0)),1)</f>
        <v>3.6</v>
      </c>
      <c r="C65" s="1">
        <f>ROUND(INDEX(加速度入力!$B$56:$AV$206,ROWS($A$5:$A65),MATCH(C$4,加速度入力!$B$53:$AV$53,0)),1)</f>
        <v>28.5</v>
      </c>
      <c r="D65" s="1">
        <f>ROUND(INDEX(加速度入力!$B$56:$AV$206,ROWS($A$5:$A65),MATCH(D$4,加速度入力!$B$53:$AV$53,0)),1)</f>
        <v>90</v>
      </c>
      <c r="E65" s="1">
        <f>ROUND(INDEX(加速度入力!$B$56:$AV$206,ROWS($A$5:$A65),MATCH(E$4,加速度入力!$B$53:$AV$53,0)),1)</f>
        <v>118.8</v>
      </c>
      <c r="F65" s="1">
        <f>ROUND(INDEX(加速度入力!$B$56:$AV$206,ROWS($A$5:$A65),MATCH(F$4,加速度入力!$B$53:$AV$53,0)),1)</f>
        <v>90.1</v>
      </c>
    </row>
    <row r="66" spans="1:6" x14ac:dyDescent="0.25">
      <c r="A66" s="1">
        <f>加速度入力!B117</f>
        <v>61</v>
      </c>
      <c r="B66" s="1">
        <f>ROUND(INDEX(加速度入力!$B$56:$AV$206,ROWS($A$5:$A66),MATCH(B$4,加速度入力!$B$53:$AV$53,0)),1)</f>
        <v>3.6</v>
      </c>
      <c r="C66" s="1">
        <f>ROUND(INDEX(加速度入力!$B$56:$AV$206,ROWS($A$5:$A66),MATCH(C$4,加速度入力!$B$53:$AV$53,0)),1)</f>
        <v>28</v>
      </c>
      <c r="D66" s="1">
        <f>ROUND(INDEX(加速度入力!$B$56:$AV$206,ROWS($A$5:$A66),MATCH(D$4,加速度入力!$B$53:$AV$53,0)),1)</f>
        <v>89.3</v>
      </c>
      <c r="E66" s="1">
        <f>ROUND(INDEX(加速度入力!$B$56:$AV$206,ROWS($A$5:$A66),MATCH(E$4,加速度入力!$B$53:$AV$53,0)),1)</f>
        <v>118.8</v>
      </c>
      <c r="F66" s="1">
        <f>ROUND(INDEX(加速度入力!$B$56:$AV$206,ROWS($A$5:$A66),MATCH(F$4,加速度入力!$B$53:$AV$53,0)),1)</f>
        <v>90.1</v>
      </c>
    </row>
    <row r="67" spans="1:6" x14ac:dyDescent="0.25">
      <c r="A67" s="1">
        <f>加速度入力!B118</f>
        <v>62</v>
      </c>
      <c r="B67" s="1">
        <f>ROUND(INDEX(加速度入力!$B$56:$AV$206,ROWS($A$5:$A67),MATCH(B$4,加速度入力!$B$53:$AV$53,0)),1)</f>
        <v>3.5</v>
      </c>
      <c r="C67" s="1">
        <f>ROUND(INDEX(加速度入力!$B$56:$AV$206,ROWS($A$5:$A67),MATCH(C$4,加速度入力!$B$53:$AV$53,0)),1)</f>
        <v>27.6</v>
      </c>
      <c r="D67" s="1">
        <f>ROUND(INDEX(加速度入力!$B$56:$AV$206,ROWS($A$5:$A67),MATCH(D$4,加速度入力!$B$53:$AV$53,0)),1)</f>
        <v>87.9</v>
      </c>
      <c r="E67" s="1">
        <f>ROUND(INDEX(加速度入力!$B$56:$AV$206,ROWS($A$5:$A67),MATCH(E$4,加速度入力!$B$53:$AV$53,0)),1)</f>
        <v>118.8</v>
      </c>
      <c r="F67" s="1">
        <f>ROUND(INDEX(加速度入力!$B$56:$AV$206,ROWS($A$5:$A67),MATCH(F$4,加速度入力!$B$53:$AV$53,0)),1)</f>
        <v>90.1</v>
      </c>
    </row>
    <row r="68" spans="1:6" x14ac:dyDescent="0.25">
      <c r="A68" s="1">
        <f>加速度入力!B119</f>
        <v>63</v>
      </c>
      <c r="B68" s="1">
        <f>ROUND(INDEX(加速度入力!$B$56:$AV$206,ROWS($A$5:$A68),MATCH(B$4,加速度入力!$B$53:$AV$53,0)),1)</f>
        <v>3.5</v>
      </c>
      <c r="C68" s="1">
        <f>ROUND(INDEX(加速度入力!$B$56:$AV$206,ROWS($A$5:$A68),MATCH(C$4,加速度入力!$B$53:$AV$53,0)),1)</f>
        <v>27.1</v>
      </c>
      <c r="D68" s="1">
        <f>ROUND(INDEX(加速度入力!$B$56:$AV$206,ROWS($A$5:$A68),MATCH(D$4,加速度入力!$B$53:$AV$53,0)),1)</f>
        <v>86.5</v>
      </c>
      <c r="E68" s="1">
        <f>ROUND(INDEX(加速度入力!$B$56:$AV$206,ROWS($A$5:$A68),MATCH(E$4,加速度入力!$B$53:$AV$53,0)),1)</f>
        <v>118.8</v>
      </c>
      <c r="F68" s="1">
        <f>ROUND(INDEX(加速度入力!$B$56:$AV$206,ROWS($A$5:$A68),MATCH(F$4,加速度入力!$B$53:$AV$53,0)),1)</f>
        <v>90.1</v>
      </c>
    </row>
    <row r="69" spans="1:6" x14ac:dyDescent="0.25">
      <c r="A69" s="1">
        <f>加速度入力!B120</f>
        <v>64</v>
      </c>
      <c r="B69" s="1">
        <f>ROUND(INDEX(加速度入力!$B$56:$AV$206,ROWS($A$5:$A69),MATCH(B$4,加速度入力!$B$53:$AV$53,0)),1)</f>
        <v>3.4</v>
      </c>
      <c r="C69" s="1">
        <f>ROUND(INDEX(加速度入力!$B$56:$AV$206,ROWS($A$5:$A69),MATCH(C$4,加速度入力!$B$53:$AV$53,0)),1)</f>
        <v>26.7</v>
      </c>
      <c r="D69" s="1">
        <f>ROUND(INDEX(加速度入力!$B$56:$AV$206,ROWS($A$5:$A69),MATCH(D$4,加速度入力!$B$53:$AV$53,0)),1)</f>
        <v>85.1</v>
      </c>
      <c r="E69" s="1">
        <f>ROUND(INDEX(加速度入力!$B$56:$AV$206,ROWS($A$5:$A69),MATCH(E$4,加速度入力!$B$53:$AV$53,0)),1)</f>
        <v>118.8</v>
      </c>
      <c r="F69" s="1">
        <f>ROUND(INDEX(加速度入力!$B$56:$AV$206,ROWS($A$5:$A69),MATCH(F$4,加速度入力!$B$53:$AV$53,0)),1)</f>
        <v>90.1</v>
      </c>
    </row>
    <row r="70" spans="1:6" x14ac:dyDescent="0.25">
      <c r="A70" s="1">
        <f>加速度入力!B121</f>
        <v>65</v>
      </c>
      <c r="B70" s="1">
        <f>ROUND(INDEX(加速度入力!$B$56:$AV$206,ROWS($A$5:$A70),MATCH(B$4,加速度入力!$B$53:$AV$53,0)),1)</f>
        <v>3.4</v>
      </c>
      <c r="C70" s="1">
        <f>ROUND(INDEX(加速度入力!$B$56:$AV$206,ROWS($A$5:$A70),MATCH(C$4,加速度入力!$B$53:$AV$53,0)),1)</f>
        <v>26.3</v>
      </c>
      <c r="D70" s="1">
        <f>ROUND(INDEX(加速度入力!$B$56:$AV$206,ROWS($A$5:$A70),MATCH(D$4,加速度入力!$B$53:$AV$53,0)),1)</f>
        <v>83.8</v>
      </c>
      <c r="E70" s="1">
        <f>ROUND(INDEX(加速度入力!$B$56:$AV$206,ROWS($A$5:$A70),MATCH(E$4,加速度入力!$B$53:$AV$53,0)),1)</f>
        <v>118.8</v>
      </c>
      <c r="F70" s="1">
        <f>ROUND(INDEX(加速度入力!$B$56:$AV$206,ROWS($A$5:$A70),MATCH(F$4,加速度入力!$B$53:$AV$53,0)),1)</f>
        <v>90.1</v>
      </c>
    </row>
    <row r="71" spans="1:6" x14ac:dyDescent="0.25">
      <c r="A71" s="1">
        <f>加速度入力!B122</f>
        <v>66</v>
      </c>
      <c r="B71" s="1">
        <f>ROUND(INDEX(加速度入力!$B$56:$AV$206,ROWS($A$5:$A71),MATCH(B$4,加速度入力!$B$53:$AV$53,0)),1)</f>
        <v>3.3</v>
      </c>
      <c r="C71" s="1">
        <f>ROUND(INDEX(加速度入力!$B$56:$AV$206,ROWS($A$5:$A71),MATCH(C$4,加速度入力!$B$53:$AV$53,0)),1)</f>
        <v>25.9</v>
      </c>
      <c r="D71" s="1">
        <f>ROUND(INDEX(加速度入力!$B$56:$AV$206,ROWS($A$5:$A71),MATCH(D$4,加速度入力!$B$53:$AV$53,0)),1)</f>
        <v>82.6</v>
      </c>
      <c r="E71" s="1">
        <f>ROUND(INDEX(加速度入力!$B$56:$AV$206,ROWS($A$5:$A71),MATCH(E$4,加速度入力!$B$53:$AV$53,0)),1)</f>
        <v>118.8</v>
      </c>
      <c r="F71" s="1">
        <f>ROUND(INDEX(加速度入力!$B$56:$AV$206,ROWS($A$5:$A71),MATCH(F$4,加速度入力!$B$53:$AV$53,0)),1)</f>
        <v>90.1</v>
      </c>
    </row>
    <row r="72" spans="1:6" x14ac:dyDescent="0.25">
      <c r="A72" s="1">
        <f>加速度入力!B123</f>
        <v>67</v>
      </c>
      <c r="B72" s="1">
        <f>ROUND(INDEX(加速度入力!$B$56:$AV$206,ROWS($A$5:$A72),MATCH(B$4,加速度入力!$B$53:$AV$53,0)),1)</f>
        <v>3.3</v>
      </c>
      <c r="C72" s="1">
        <f>ROUND(INDEX(加速度入力!$B$56:$AV$206,ROWS($A$5:$A72),MATCH(C$4,加速度入力!$B$53:$AV$53,0)),1)</f>
        <v>25.5</v>
      </c>
      <c r="D72" s="1">
        <f>ROUND(INDEX(加速度入力!$B$56:$AV$206,ROWS($A$5:$A72),MATCH(D$4,加速度入力!$B$53:$AV$53,0)),1)</f>
        <v>81.3</v>
      </c>
      <c r="E72" s="1">
        <f>ROUND(INDEX(加速度入力!$B$56:$AV$206,ROWS($A$5:$A72),MATCH(E$4,加速度入力!$B$53:$AV$53,0)),1)</f>
        <v>118.8</v>
      </c>
      <c r="F72" s="1">
        <f>ROUND(INDEX(加速度入力!$B$56:$AV$206,ROWS($A$5:$A72),MATCH(F$4,加速度入力!$B$53:$AV$53,0)),1)</f>
        <v>90.1</v>
      </c>
    </row>
    <row r="73" spans="1:6" x14ac:dyDescent="0.25">
      <c r="A73" s="1">
        <f>加速度入力!B124</f>
        <v>68</v>
      </c>
      <c r="B73" s="1">
        <f>ROUND(INDEX(加速度入力!$B$56:$AV$206,ROWS($A$5:$A73),MATCH(B$4,加速度入力!$B$53:$AV$53,0)),1)</f>
        <v>3.2</v>
      </c>
      <c r="C73" s="1">
        <f>ROUND(INDEX(加速度入力!$B$56:$AV$206,ROWS($A$5:$A73),MATCH(C$4,加速度入力!$B$53:$AV$53,0)),1)</f>
        <v>25.1</v>
      </c>
      <c r="D73" s="1">
        <f>ROUND(INDEX(加速度入力!$B$56:$AV$206,ROWS($A$5:$A73),MATCH(D$4,加速度入力!$B$53:$AV$53,0)),1)</f>
        <v>80.099999999999994</v>
      </c>
      <c r="E73" s="1">
        <f>ROUND(INDEX(加速度入力!$B$56:$AV$206,ROWS($A$5:$A73),MATCH(E$4,加速度入力!$B$53:$AV$53,0)),1)</f>
        <v>118.8</v>
      </c>
      <c r="F73" s="1">
        <f>ROUND(INDEX(加速度入力!$B$56:$AV$206,ROWS($A$5:$A73),MATCH(F$4,加速度入力!$B$53:$AV$53,0)),1)</f>
        <v>90.1</v>
      </c>
    </row>
    <row r="74" spans="1:6" x14ac:dyDescent="0.25">
      <c r="A74" s="1">
        <f>加速度入力!B125</f>
        <v>69</v>
      </c>
      <c r="B74" s="1">
        <f>ROUND(INDEX(加速度入力!$B$56:$AV$206,ROWS($A$5:$A74),MATCH(B$4,加速度入力!$B$53:$AV$53,0)),1)</f>
        <v>3.2</v>
      </c>
      <c r="C74" s="1">
        <f>ROUND(INDEX(加速度入力!$B$56:$AV$206,ROWS($A$5:$A74),MATCH(C$4,加速度入力!$B$53:$AV$53,0)),1)</f>
        <v>24.8</v>
      </c>
      <c r="D74" s="1">
        <f>ROUND(INDEX(加速度入力!$B$56:$AV$206,ROWS($A$5:$A74),MATCH(D$4,加速度入力!$B$53:$AV$53,0)),1)</f>
        <v>79</v>
      </c>
      <c r="E74" s="1">
        <f>ROUND(INDEX(加速度入力!$B$56:$AV$206,ROWS($A$5:$A74),MATCH(E$4,加速度入力!$B$53:$AV$53,0)),1)</f>
        <v>118.8</v>
      </c>
      <c r="F74" s="1">
        <f>ROUND(INDEX(加速度入力!$B$56:$AV$206,ROWS($A$5:$A74),MATCH(F$4,加速度入力!$B$53:$AV$53,0)),1)</f>
        <v>90.1</v>
      </c>
    </row>
    <row r="75" spans="1:6" x14ac:dyDescent="0.25">
      <c r="A75" s="1">
        <f>加速度入力!B126</f>
        <v>70</v>
      </c>
      <c r="B75" s="1">
        <f>ROUND(INDEX(加速度入力!$B$56:$AV$206,ROWS($A$5:$A75),MATCH(B$4,加速度入力!$B$53:$AV$53,0)),1)</f>
        <v>3.1</v>
      </c>
      <c r="C75" s="1">
        <f>ROUND(INDEX(加速度入力!$B$56:$AV$206,ROWS($A$5:$A75),MATCH(C$4,加速度入力!$B$53:$AV$53,0)),1)</f>
        <v>24.4</v>
      </c>
      <c r="D75" s="1">
        <f>ROUND(INDEX(加速度入力!$B$56:$AV$206,ROWS($A$5:$A75),MATCH(D$4,加速度入力!$B$53:$AV$53,0)),1)</f>
        <v>77.8</v>
      </c>
      <c r="E75" s="1">
        <f>ROUND(INDEX(加速度入力!$B$56:$AV$206,ROWS($A$5:$A75),MATCH(E$4,加速度入力!$B$53:$AV$53,0)),1)</f>
        <v>118.8</v>
      </c>
      <c r="F75" s="1">
        <f>ROUND(INDEX(加速度入力!$B$56:$AV$206,ROWS($A$5:$A75),MATCH(F$4,加速度入力!$B$53:$AV$53,0)),1)</f>
        <v>90.1</v>
      </c>
    </row>
    <row r="76" spans="1:6" x14ac:dyDescent="0.25">
      <c r="A76" s="1">
        <f>加速度入力!B127</f>
        <v>71</v>
      </c>
      <c r="B76" s="1">
        <f>ROUND(INDEX(加速度入力!$B$56:$AV$206,ROWS($A$5:$A76),MATCH(B$4,加速度入力!$B$53:$AV$53,0)),1)</f>
        <v>3.1</v>
      </c>
      <c r="C76" s="1">
        <f>ROUND(INDEX(加速度入力!$B$56:$AV$206,ROWS($A$5:$A76),MATCH(C$4,加速度入力!$B$53:$AV$53,0)),1)</f>
        <v>24.1</v>
      </c>
      <c r="D76" s="1">
        <f>ROUND(INDEX(加速度入力!$B$56:$AV$206,ROWS($A$5:$A76),MATCH(D$4,加速度入力!$B$53:$AV$53,0)),1)</f>
        <v>76.7</v>
      </c>
      <c r="E76" s="1">
        <f>ROUND(INDEX(加速度入力!$B$56:$AV$206,ROWS($A$5:$A76),MATCH(E$4,加速度入力!$B$53:$AV$53,0)),1)</f>
        <v>118.8</v>
      </c>
      <c r="F76" s="1">
        <f>ROUND(INDEX(加速度入力!$B$56:$AV$206,ROWS($A$5:$A76),MATCH(F$4,加速度入力!$B$53:$AV$53,0)),1)</f>
        <v>90.1</v>
      </c>
    </row>
    <row r="77" spans="1:6" x14ac:dyDescent="0.25">
      <c r="A77" s="1">
        <f>加速度入力!B128</f>
        <v>72</v>
      </c>
      <c r="B77" s="1">
        <f>ROUND(INDEX(加速度入力!$B$56:$AV$206,ROWS($A$5:$A77),MATCH(B$4,加速度入力!$B$53:$AV$53,0)),1)</f>
        <v>3</v>
      </c>
      <c r="C77" s="1">
        <f>ROUND(INDEX(加速度入力!$B$56:$AV$206,ROWS($A$5:$A77),MATCH(C$4,加速度入力!$B$53:$AV$53,0)),1)</f>
        <v>23.7</v>
      </c>
      <c r="D77" s="1">
        <f>ROUND(INDEX(加速度入力!$B$56:$AV$206,ROWS($A$5:$A77),MATCH(D$4,加速度入力!$B$53:$AV$53,0)),1)</f>
        <v>75.7</v>
      </c>
      <c r="E77" s="1">
        <f>ROUND(INDEX(加速度入力!$B$56:$AV$206,ROWS($A$5:$A77),MATCH(E$4,加速度入力!$B$53:$AV$53,0)),1)</f>
        <v>118.8</v>
      </c>
      <c r="F77" s="1">
        <f>ROUND(INDEX(加速度入力!$B$56:$AV$206,ROWS($A$5:$A77),MATCH(F$4,加速度入力!$B$53:$AV$53,0)),1)</f>
        <v>90.1</v>
      </c>
    </row>
    <row r="78" spans="1:6" x14ac:dyDescent="0.25">
      <c r="A78" s="1">
        <f>加速度入力!B129</f>
        <v>73</v>
      </c>
      <c r="B78" s="1">
        <f>ROUND(INDEX(加速度入力!$B$56:$AV$206,ROWS($A$5:$A78),MATCH(B$4,加速度入力!$B$53:$AV$53,0)),1)</f>
        <v>3</v>
      </c>
      <c r="C78" s="1">
        <f>ROUND(INDEX(加速度入力!$B$56:$AV$206,ROWS($A$5:$A78),MATCH(C$4,加速度入力!$B$53:$AV$53,0)),1)</f>
        <v>23.4</v>
      </c>
      <c r="D78" s="1">
        <f>ROUND(INDEX(加速度入力!$B$56:$AV$206,ROWS($A$5:$A78),MATCH(D$4,加速度入力!$B$53:$AV$53,0)),1)</f>
        <v>74.599999999999994</v>
      </c>
      <c r="E78" s="1">
        <f>ROUND(INDEX(加速度入力!$B$56:$AV$206,ROWS($A$5:$A78),MATCH(E$4,加速度入力!$B$53:$AV$53,0)),1)</f>
        <v>118.8</v>
      </c>
      <c r="F78" s="1">
        <f>ROUND(INDEX(加速度入力!$B$56:$AV$206,ROWS($A$5:$A78),MATCH(F$4,加速度入力!$B$53:$AV$53,0)),1)</f>
        <v>90.1</v>
      </c>
    </row>
    <row r="79" spans="1:6" x14ac:dyDescent="0.25">
      <c r="A79" s="1">
        <f>加速度入力!B130</f>
        <v>74</v>
      </c>
      <c r="B79" s="1">
        <f>ROUND(INDEX(加速度入力!$B$56:$AV$206,ROWS($A$5:$A79),MATCH(B$4,加速度入力!$B$53:$AV$53,0)),1)</f>
        <v>3</v>
      </c>
      <c r="C79" s="1">
        <f>ROUND(INDEX(加速度入力!$B$56:$AV$206,ROWS($A$5:$A79),MATCH(C$4,加速度入力!$B$53:$AV$53,0)),1)</f>
        <v>23.1</v>
      </c>
      <c r="D79" s="1">
        <f>ROUND(INDEX(加速度入力!$B$56:$AV$206,ROWS($A$5:$A79),MATCH(D$4,加速度入力!$B$53:$AV$53,0)),1)</f>
        <v>73.599999999999994</v>
      </c>
      <c r="E79" s="1">
        <f>ROUND(INDEX(加速度入力!$B$56:$AV$206,ROWS($A$5:$A79),MATCH(E$4,加速度入力!$B$53:$AV$53,0)),1)</f>
        <v>118.8</v>
      </c>
      <c r="F79" s="1">
        <f>ROUND(INDEX(加速度入力!$B$56:$AV$206,ROWS($A$5:$A79),MATCH(F$4,加速度入力!$B$53:$AV$53,0)),1)</f>
        <v>89.2</v>
      </c>
    </row>
    <row r="80" spans="1:6" x14ac:dyDescent="0.25">
      <c r="A80" s="1">
        <f>加速度入力!B131</f>
        <v>75</v>
      </c>
      <c r="B80" s="1">
        <f>ROUND(INDEX(加速度入力!$B$56:$AV$206,ROWS($A$5:$A80),MATCH(B$4,加速度入力!$B$53:$AV$53,0)),1)</f>
        <v>2.9</v>
      </c>
      <c r="C80" s="1">
        <f>ROUND(INDEX(加速度入力!$B$56:$AV$206,ROWS($A$5:$A80),MATCH(C$4,加速度入力!$B$53:$AV$53,0)),1)</f>
        <v>22.8</v>
      </c>
      <c r="D80" s="1">
        <f>ROUND(INDEX(加速度入力!$B$56:$AV$206,ROWS($A$5:$A80),MATCH(D$4,加速度入力!$B$53:$AV$53,0)),1)</f>
        <v>72.599999999999994</v>
      </c>
      <c r="E80" s="1">
        <f>ROUND(INDEX(加速度入力!$B$56:$AV$206,ROWS($A$5:$A80),MATCH(E$4,加速度入力!$B$53:$AV$53,0)),1)</f>
        <v>118.8</v>
      </c>
      <c r="F80" s="1">
        <f>ROUND(INDEX(加速度入力!$B$56:$AV$206,ROWS($A$5:$A80),MATCH(F$4,加速度入力!$B$53:$AV$53,0)),1)</f>
        <v>88</v>
      </c>
    </row>
    <row r="81" spans="1:6" x14ac:dyDescent="0.25">
      <c r="A81" s="1">
        <f>加速度入力!B132</f>
        <v>76</v>
      </c>
      <c r="B81" s="1">
        <f>ROUND(INDEX(加速度入力!$B$56:$AV$206,ROWS($A$5:$A81),MATCH(B$4,加速度入力!$B$53:$AV$53,0)),1)</f>
        <v>2.9</v>
      </c>
      <c r="C81" s="1">
        <f>ROUND(INDEX(加速度入力!$B$56:$AV$206,ROWS($A$5:$A81),MATCH(C$4,加速度入力!$B$53:$AV$53,0)),1)</f>
        <v>22.5</v>
      </c>
      <c r="D81" s="1">
        <f>ROUND(INDEX(加速度入力!$B$56:$AV$206,ROWS($A$5:$A81),MATCH(D$4,加速度入力!$B$53:$AV$53,0)),1)</f>
        <v>71.7</v>
      </c>
      <c r="E81" s="1">
        <f>ROUND(INDEX(加速度入力!$B$56:$AV$206,ROWS($A$5:$A81),MATCH(E$4,加速度入力!$B$53:$AV$53,0)),1)</f>
        <v>118.8</v>
      </c>
      <c r="F81" s="1">
        <f>ROUND(INDEX(加速度入力!$B$56:$AV$206,ROWS($A$5:$A81),MATCH(F$4,加速度入力!$B$53:$AV$53,0)),1)</f>
        <v>86.9</v>
      </c>
    </row>
    <row r="82" spans="1:6" x14ac:dyDescent="0.25">
      <c r="A82" s="1">
        <f>加速度入力!B133</f>
        <v>77</v>
      </c>
      <c r="B82" s="1">
        <f>ROUND(INDEX(加速度入力!$B$56:$AV$206,ROWS($A$5:$A82),MATCH(B$4,加速度入力!$B$53:$AV$53,0)),1)</f>
        <v>2.8</v>
      </c>
      <c r="C82" s="1">
        <f>ROUND(INDEX(加速度入力!$B$56:$AV$206,ROWS($A$5:$A82),MATCH(C$4,加速度入力!$B$53:$AV$53,0)),1)</f>
        <v>22.2</v>
      </c>
      <c r="D82" s="1">
        <f>ROUND(INDEX(加速度入力!$B$56:$AV$206,ROWS($A$5:$A82),MATCH(D$4,加速度入力!$B$53:$AV$53,0)),1)</f>
        <v>70.8</v>
      </c>
      <c r="E82" s="1">
        <f>ROUND(INDEX(加速度入力!$B$56:$AV$206,ROWS($A$5:$A82),MATCH(E$4,加速度入力!$B$53:$AV$53,0)),1)</f>
        <v>118</v>
      </c>
      <c r="F82" s="1">
        <f>ROUND(INDEX(加速度入力!$B$56:$AV$206,ROWS($A$5:$A82),MATCH(F$4,加速度入力!$B$53:$AV$53,0)),1)</f>
        <v>85.7</v>
      </c>
    </row>
    <row r="83" spans="1:6" x14ac:dyDescent="0.25">
      <c r="A83" s="1">
        <f>加速度入力!B134</f>
        <v>78</v>
      </c>
      <c r="B83" s="1">
        <f>ROUND(INDEX(加速度入力!$B$56:$AV$206,ROWS($A$5:$A83),MATCH(B$4,加速度入力!$B$53:$AV$53,0)),1)</f>
        <v>2.8</v>
      </c>
      <c r="C83" s="1">
        <f>ROUND(INDEX(加速度入力!$B$56:$AV$206,ROWS($A$5:$A83),MATCH(C$4,加速度入力!$B$53:$AV$53,0)),1)</f>
        <v>21.9</v>
      </c>
      <c r="D83" s="1">
        <f>ROUND(INDEX(加速度入力!$B$56:$AV$206,ROWS($A$5:$A83),MATCH(D$4,加速度入力!$B$53:$AV$53,0)),1)</f>
        <v>69.900000000000006</v>
      </c>
      <c r="E83" s="1">
        <f>ROUND(INDEX(加速度入力!$B$56:$AV$206,ROWS($A$5:$A83),MATCH(E$4,加速度入力!$B$53:$AV$53,0)),1)</f>
        <v>116.5</v>
      </c>
      <c r="F83" s="1">
        <f>ROUND(INDEX(加速度入力!$B$56:$AV$206,ROWS($A$5:$A83),MATCH(F$4,加速度入力!$B$53:$AV$53,0)),1)</f>
        <v>84.6</v>
      </c>
    </row>
    <row r="84" spans="1:6" x14ac:dyDescent="0.25">
      <c r="A84" s="1">
        <f>加速度入力!B135</f>
        <v>79</v>
      </c>
      <c r="B84" s="1">
        <f>ROUND(INDEX(加速度入力!$B$56:$AV$206,ROWS($A$5:$A84),MATCH(B$4,加速度入力!$B$53:$AV$53,0)),1)</f>
        <v>2.8</v>
      </c>
      <c r="C84" s="1">
        <f>ROUND(INDEX(加速度入力!$B$56:$AV$206,ROWS($A$5:$A84),MATCH(C$4,加速度入力!$B$53:$AV$53,0)),1)</f>
        <v>21.6</v>
      </c>
      <c r="D84" s="1">
        <f>ROUND(INDEX(加速度入力!$B$56:$AV$206,ROWS($A$5:$A84),MATCH(D$4,加速度入力!$B$53:$AV$53,0)),1)</f>
        <v>69</v>
      </c>
      <c r="E84" s="1">
        <f>ROUND(INDEX(加速度入力!$B$56:$AV$206,ROWS($A$5:$A84),MATCH(E$4,加速度入力!$B$53:$AV$53,0)),1)</f>
        <v>115</v>
      </c>
      <c r="F84" s="1">
        <f>ROUND(INDEX(加速度入力!$B$56:$AV$206,ROWS($A$5:$A84),MATCH(F$4,加速度入力!$B$53:$AV$53,0)),1)</f>
        <v>83.6</v>
      </c>
    </row>
    <row r="85" spans="1:6" x14ac:dyDescent="0.25">
      <c r="A85" s="1">
        <f>加速度入力!B136</f>
        <v>80</v>
      </c>
      <c r="B85" s="1">
        <f>ROUND(INDEX(加速度入力!$B$56:$AV$206,ROWS($A$5:$A85),MATCH(B$4,加速度入力!$B$53:$AV$53,0)),1)</f>
        <v>2.7</v>
      </c>
      <c r="C85" s="1">
        <f>ROUND(INDEX(加速度入力!$B$56:$AV$206,ROWS($A$5:$A85),MATCH(C$4,加速度入力!$B$53:$AV$53,0)),1)</f>
        <v>21.4</v>
      </c>
      <c r="D85" s="1">
        <f>ROUND(INDEX(加速度入力!$B$56:$AV$206,ROWS($A$5:$A85),MATCH(D$4,加速度入力!$B$53:$AV$53,0)),1)</f>
        <v>68.099999999999994</v>
      </c>
      <c r="E85" s="1">
        <f>ROUND(INDEX(加速度入力!$B$56:$AV$206,ROWS($A$5:$A85),MATCH(E$4,加速度入力!$B$53:$AV$53,0)),1)</f>
        <v>113.5</v>
      </c>
      <c r="F85" s="1">
        <f>ROUND(INDEX(加速度入力!$B$56:$AV$206,ROWS($A$5:$A85),MATCH(F$4,加速度入力!$B$53:$AV$53,0)),1)</f>
        <v>82.5</v>
      </c>
    </row>
    <row r="86" spans="1:6" x14ac:dyDescent="0.25">
      <c r="A86" s="1">
        <f>加速度入力!B137</f>
        <v>81</v>
      </c>
      <c r="B86" s="1">
        <f>ROUND(INDEX(加速度入力!$B$56:$AV$206,ROWS($A$5:$A86),MATCH(B$4,加速度入力!$B$53:$AV$53,0)),1)</f>
        <v>2.7</v>
      </c>
      <c r="C86" s="1">
        <f>ROUND(INDEX(加速度入力!$B$56:$AV$206,ROWS($A$5:$A86),MATCH(C$4,加速度入力!$B$53:$AV$53,0)),1)</f>
        <v>21.1</v>
      </c>
      <c r="D86" s="1">
        <f>ROUND(INDEX(加速度入力!$B$56:$AV$206,ROWS($A$5:$A86),MATCH(D$4,加速度入力!$B$53:$AV$53,0)),1)</f>
        <v>67.3</v>
      </c>
      <c r="E86" s="1">
        <f>ROUND(INDEX(加速度入力!$B$56:$AV$206,ROWS($A$5:$A86),MATCH(E$4,加速度入力!$B$53:$AV$53,0)),1)</f>
        <v>112.1</v>
      </c>
      <c r="F86" s="1">
        <f>ROUND(INDEX(加速度入力!$B$56:$AV$206,ROWS($A$5:$A86),MATCH(F$4,加速度入力!$B$53:$AV$53,0)),1)</f>
        <v>81.5</v>
      </c>
    </row>
    <row r="87" spans="1:6" x14ac:dyDescent="0.25">
      <c r="A87" s="1">
        <f>加速度入力!B138</f>
        <v>82</v>
      </c>
      <c r="B87" s="1">
        <f>ROUND(INDEX(加速度入力!$B$56:$AV$206,ROWS($A$5:$A87),MATCH(B$4,加速度入力!$B$53:$AV$53,0)),1)</f>
        <v>2.7</v>
      </c>
      <c r="C87" s="1">
        <f>ROUND(INDEX(加速度入力!$B$56:$AV$206,ROWS($A$5:$A87),MATCH(C$4,加速度入力!$B$53:$AV$53,0)),1)</f>
        <v>20.9</v>
      </c>
      <c r="D87" s="1">
        <f>ROUND(INDEX(加速度入力!$B$56:$AV$206,ROWS($A$5:$A87),MATCH(D$4,加速度入力!$B$53:$AV$53,0)),1)</f>
        <v>66.400000000000006</v>
      </c>
      <c r="E87" s="1">
        <f>ROUND(INDEX(加速度入力!$B$56:$AV$206,ROWS($A$5:$A87),MATCH(E$4,加速度入力!$B$53:$AV$53,0)),1)</f>
        <v>110.8</v>
      </c>
      <c r="F87" s="1">
        <f>ROUND(INDEX(加速度入力!$B$56:$AV$206,ROWS($A$5:$A87),MATCH(F$4,加速度入力!$B$53:$AV$53,0)),1)</f>
        <v>80.5</v>
      </c>
    </row>
    <row r="88" spans="1:6" x14ac:dyDescent="0.25">
      <c r="A88" s="1">
        <f>加速度入力!B139</f>
        <v>83</v>
      </c>
      <c r="B88" s="1">
        <f>ROUND(INDEX(加速度入力!$B$56:$AV$206,ROWS($A$5:$A88),MATCH(B$4,加速度入力!$B$53:$AV$53,0)),1)</f>
        <v>2.6</v>
      </c>
      <c r="C88" s="1">
        <f>ROUND(INDEX(加速度入力!$B$56:$AV$206,ROWS($A$5:$A88),MATCH(C$4,加速度入力!$B$53:$AV$53,0)),1)</f>
        <v>20.6</v>
      </c>
      <c r="D88" s="1">
        <f>ROUND(INDEX(加速度入力!$B$56:$AV$206,ROWS($A$5:$A88),MATCH(D$4,加速度入力!$B$53:$AV$53,0)),1)</f>
        <v>65.599999999999994</v>
      </c>
      <c r="E88" s="1">
        <f>ROUND(INDEX(加速度入力!$B$56:$AV$206,ROWS($A$5:$A88),MATCH(E$4,加速度入力!$B$53:$AV$53,0)),1)</f>
        <v>109.4</v>
      </c>
      <c r="F88" s="1">
        <f>ROUND(INDEX(加速度入力!$B$56:$AV$206,ROWS($A$5:$A88),MATCH(F$4,加速度入力!$B$53:$AV$53,0)),1)</f>
        <v>79.5</v>
      </c>
    </row>
    <row r="89" spans="1:6" x14ac:dyDescent="0.25">
      <c r="A89" s="1">
        <f>加速度入力!B140</f>
        <v>84</v>
      </c>
      <c r="B89" s="1">
        <f>ROUND(INDEX(加速度入力!$B$56:$AV$206,ROWS($A$5:$A89),MATCH(B$4,加速度入力!$B$53:$AV$53,0)),1)</f>
        <v>2.6</v>
      </c>
      <c r="C89" s="1">
        <f>ROUND(INDEX(加速度入力!$B$56:$AV$206,ROWS($A$5:$A89),MATCH(C$4,加速度入力!$B$53:$AV$53,0)),1)</f>
        <v>20.399999999999999</v>
      </c>
      <c r="D89" s="1">
        <f>ROUND(INDEX(加速度入力!$B$56:$AV$206,ROWS($A$5:$A89),MATCH(D$4,加速度入力!$B$53:$AV$53,0)),1)</f>
        <v>64.900000000000006</v>
      </c>
      <c r="E89" s="1">
        <f>ROUND(INDEX(加速度入力!$B$56:$AV$206,ROWS($A$5:$A89),MATCH(E$4,加速度入力!$B$53:$AV$53,0)),1)</f>
        <v>108.1</v>
      </c>
      <c r="F89" s="1">
        <f>ROUND(INDEX(加速度入力!$B$56:$AV$206,ROWS($A$5:$A89),MATCH(F$4,加速度入力!$B$53:$AV$53,0)),1)</f>
        <v>78.599999999999994</v>
      </c>
    </row>
    <row r="90" spans="1:6" x14ac:dyDescent="0.25">
      <c r="A90" s="1">
        <f>加速度入力!B141</f>
        <v>85</v>
      </c>
      <c r="B90" s="1">
        <f>ROUND(INDEX(加速度入力!$B$56:$AV$206,ROWS($A$5:$A90),MATCH(B$4,加速度入力!$B$53:$AV$53,0)),1)</f>
        <v>2.6</v>
      </c>
      <c r="C90" s="1">
        <f>ROUND(INDEX(加速度入力!$B$56:$AV$206,ROWS($A$5:$A90),MATCH(C$4,加速度入力!$B$53:$AV$53,0)),1)</f>
        <v>20.100000000000001</v>
      </c>
      <c r="D90" s="1">
        <f>ROUND(INDEX(加速度入力!$B$56:$AV$206,ROWS($A$5:$A90),MATCH(D$4,加速度入力!$B$53:$AV$53,0)),1)</f>
        <v>64.099999999999994</v>
      </c>
      <c r="E90" s="1">
        <f>ROUND(INDEX(加速度入力!$B$56:$AV$206,ROWS($A$5:$A90),MATCH(E$4,加速度入力!$B$53:$AV$53,0)),1)</f>
        <v>106.9</v>
      </c>
      <c r="F90" s="1">
        <f>ROUND(INDEX(加速度入力!$B$56:$AV$206,ROWS($A$5:$A90),MATCH(F$4,加速度入力!$B$53:$AV$53,0)),1)</f>
        <v>77.7</v>
      </c>
    </row>
    <row r="91" spans="1:6" x14ac:dyDescent="0.25">
      <c r="A91" s="1">
        <f>加速度入力!B142</f>
        <v>86</v>
      </c>
      <c r="B91" s="1">
        <f>ROUND(INDEX(加速度入力!$B$56:$AV$206,ROWS($A$5:$A91),MATCH(B$4,加速度入力!$B$53:$AV$53,0)),1)</f>
        <v>2.5</v>
      </c>
      <c r="C91" s="1">
        <f>ROUND(INDEX(加速度入力!$B$56:$AV$206,ROWS($A$5:$A91),MATCH(C$4,加速度入力!$B$53:$AV$53,0)),1)</f>
        <v>19.899999999999999</v>
      </c>
      <c r="D91" s="1">
        <f>ROUND(INDEX(加速度入力!$B$56:$AV$206,ROWS($A$5:$A91),MATCH(D$4,加速度入力!$B$53:$AV$53,0)),1)</f>
        <v>63.4</v>
      </c>
      <c r="E91" s="1">
        <f>ROUND(INDEX(加速度入力!$B$56:$AV$206,ROWS($A$5:$A91),MATCH(E$4,加速度入力!$B$53:$AV$53,0)),1)</f>
        <v>105.6</v>
      </c>
      <c r="F91" s="1">
        <f>ROUND(INDEX(加速度入力!$B$56:$AV$206,ROWS($A$5:$A91),MATCH(F$4,加速度入力!$B$53:$AV$53,0)),1)</f>
        <v>76.8</v>
      </c>
    </row>
    <row r="92" spans="1:6" x14ac:dyDescent="0.25">
      <c r="A92" s="1">
        <f>加速度入力!B143</f>
        <v>87</v>
      </c>
      <c r="B92" s="1">
        <f>ROUND(INDEX(加速度入力!$B$56:$AV$206,ROWS($A$5:$A92),MATCH(B$4,加速度入力!$B$53:$AV$53,0)),1)</f>
        <v>2.5</v>
      </c>
      <c r="C92" s="1">
        <f>ROUND(INDEX(加速度入力!$B$56:$AV$206,ROWS($A$5:$A92),MATCH(C$4,加速度入力!$B$53:$AV$53,0)),1)</f>
        <v>19.7</v>
      </c>
      <c r="D92" s="1">
        <f>ROUND(INDEX(加速度入力!$B$56:$AV$206,ROWS($A$5:$A92),MATCH(D$4,加速度入力!$B$53:$AV$53,0)),1)</f>
        <v>62.6</v>
      </c>
      <c r="E92" s="1">
        <f>ROUND(INDEX(加速度入力!$B$56:$AV$206,ROWS($A$5:$A92),MATCH(E$4,加速度入力!$B$53:$AV$53,0)),1)</f>
        <v>104.4</v>
      </c>
      <c r="F92" s="1">
        <f>ROUND(INDEX(加速度入力!$B$56:$AV$206,ROWS($A$5:$A92),MATCH(F$4,加速度入力!$B$53:$AV$53,0)),1)</f>
        <v>75.900000000000006</v>
      </c>
    </row>
    <row r="93" spans="1:6" x14ac:dyDescent="0.25">
      <c r="A93" s="1">
        <f>加速度入力!B144</f>
        <v>88</v>
      </c>
      <c r="B93" s="1">
        <f>ROUND(INDEX(加速度入力!$B$56:$AV$206,ROWS($A$5:$A93),MATCH(B$4,加速度入力!$B$53:$AV$53,0)),1)</f>
        <v>2.5</v>
      </c>
      <c r="C93" s="1">
        <f>ROUND(INDEX(加速度入力!$B$56:$AV$206,ROWS($A$5:$A93),MATCH(C$4,加速度入力!$B$53:$AV$53,0)),1)</f>
        <v>19.399999999999999</v>
      </c>
      <c r="D93" s="1">
        <f>ROUND(INDEX(加速度入力!$B$56:$AV$206,ROWS($A$5:$A93),MATCH(D$4,加速度入力!$B$53:$AV$53,0)),1)</f>
        <v>61.9</v>
      </c>
      <c r="E93" s="1">
        <f>ROUND(INDEX(加速度入力!$B$56:$AV$206,ROWS($A$5:$A93),MATCH(E$4,加速度入力!$B$53:$AV$53,0)),1)</f>
        <v>103.2</v>
      </c>
      <c r="F93" s="1">
        <f>ROUND(INDEX(加速度入力!$B$56:$AV$206,ROWS($A$5:$A93),MATCH(F$4,加速度入力!$B$53:$AV$53,0)),1)</f>
        <v>75</v>
      </c>
    </row>
    <row r="94" spans="1:6" x14ac:dyDescent="0.25">
      <c r="A94" s="1">
        <f>加速度入力!B145</f>
        <v>89</v>
      </c>
      <c r="B94" s="1">
        <f>ROUND(INDEX(加速度入力!$B$56:$AV$206,ROWS($A$5:$A94),MATCH(B$4,加速度入力!$B$53:$AV$53,0)),1)</f>
        <v>2.5</v>
      </c>
      <c r="C94" s="1">
        <f>ROUND(INDEX(加速度入力!$B$56:$AV$206,ROWS($A$5:$A94),MATCH(C$4,加速度入力!$B$53:$AV$53,0)),1)</f>
        <v>19.2</v>
      </c>
      <c r="D94" s="1">
        <f>ROUND(INDEX(加速度入力!$B$56:$AV$206,ROWS($A$5:$A94),MATCH(D$4,加速度入力!$B$53:$AV$53,0)),1)</f>
        <v>61.2</v>
      </c>
      <c r="E94" s="1">
        <f>ROUND(INDEX(加速度入力!$B$56:$AV$206,ROWS($A$5:$A94),MATCH(E$4,加速度入力!$B$53:$AV$53,0)),1)</f>
        <v>102.1</v>
      </c>
      <c r="F94" s="1">
        <f>ROUND(INDEX(加速度入力!$B$56:$AV$206,ROWS($A$5:$A94),MATCH(F$4,加速度入力!$B$53:$AV$53,0)),1)</f>
        <v>74.2</v>
      </c>
    </row>
    <row r="95" spans="1:6" x14ac:dyDescent="0.25">
      <c r="A95" s="1">
        <f>加速度入力!B146</f>
        <v>90</v>
      </c>
      <c r="B95" s="1">
        <f>ROUND(INDEX(加速度入力!$B$56:$AV$206,ROWS($A$5:$A95),MATCH(B$4,加速度入力!$B$53:$AV$53,0)),1)</f>
        <v>2.4</v>
      </c>
      <c r="C95" s="1">
        <f>ROUND(INDEX(加速度入力!$B$56:$AV$206,ROWS($A$5:$A95),MATCH(C$4,加速度入力!$B$53:$AV$53,0)),1)</f>
        <v>19</v>
      </c>
      <c r="D95" s="1">
        <f>ROUND(INDEX(加速度入力!$B$56:$AV$206,ROWS($A$5:$A95),MATCH(D$4,加速度入力!$B$53:$AV$53,0)),1)</f>
        <v>60.5</v>
      </c>
      <c r="E95" s="1">
        <f>ROUND(INDEX(加速度入力!$B$56:$AV$206,ROWS($A$5:$A95),MATCH(E$4,加速度入力!$B$53:$AV$53,0)),1)</f>
        <v>100.9</v>
      </c>
      <c r="F95" s="1">
        <f>ROUND(INDEX(加速度入力!$B$56:$AV$206,ROWS($A$5:$A95),MATCH(F$4,加速度入力!$B$53:$AV$53,0)),1)</f>
        <v>73.3</v>
      </c>
    </row>
    <row r="96" spans="1:6" x14ac:dyDescent="0.25">
      <c r="A96" s="1">
        <f>加速度入力!B147</f>
        <v>91</v>
      </c>
      <c r="B96" s="1">
        <f>ROUND(INDEX(加速度入力!$B$56:$AV$206,ROWS($A$5:$A96),MATCH(B$4,加速度入力!$B$53:$AV$53,0)),1)</f>
        <v>2.4</v>
      </c>
      <c r="C96" s="1">
        <f>ROUND(INDEX(加速度入力!$B$56:$AV$206,ROWS($A$5:$A96),MATCH(C$4,加速度入力!$B$53:$AV$53,0)),1)</f>
        <v>18.8</v>
      </c>
      <c r="D96" s="1">
        <f>ROUND(INDEX(加速度入力!$B$56:$AV$206,ROWS($A$5:$A96),MATCH(D$4,加速度入力!$B$53:$AV$53,0)),1)</f>
        <v>59.9</v>
      </c>
      <c r="E96" s="1">
        <f>ROUND(INDEX(加速度入力!$B$56:$AV$206,ROWS($A$5:$A96),MATCH(E$4,加速度入力!$B$53:$AV$53,0)),1)</f>
        <v>99.8</v>
      </c>
      <c r="F96" s="1">
        <f>ROUND(INDEX(加速度入力!$B$56:$AV$206,ROWS($A$5:$A96),MATCH(F$4,加速度入力!$B$53:$AV$53,0)),1)</f>
        <v>72.5</v>
      </c>
    </row>
    <row r="97" spans="1:6" x14ac:dyDescent="0.25">
      <c r="A97" s="1">
        <f>加速度入力!B148</f>
        <v>92</v>
      </c>
      <c r="B97" s="1">
        <f>ROUND(INDEX(加速度入力!$B$56:$AV$206,ROWS($A$5:$A97),MATCH(B$4,加速度入力!$B$53:$AV$53,0)),1)</f>
        <v>2.4</v>
      </c>
      <c r="C97" s="1">
        <f>ROUND(INDEX(加速度入力!$B$56:$AV$206,ROWS($A$5:$A97),MATCH(C$4,加速度入力!$B$53:$AV$53,0)),1)</f>
        <v>18.600000000000001</v>
      </c>
      <c r="D97" s="1">
        <f>ROUND(INDEX(加速度入力!$B$56:$AV$206,ROWS($A$5:$A97),MATCH(D$4,加速度入力!$B$53:$AV$53,0)),1)</f>
        <v>59.2</v>
      </c>
      <c r="E97" s="1">
        <f>ROUND(INDEX(加速度入力!$B$56:$AV$206,ROWS($A$5:$A97),MATCH(E$4,加速度入力!$B$53:$AV$53,0)),1)</f>
        <v>98.7</v>
      </c>
      <c r="F97" s="1">
        <f>ROUND(INDEX(加速度入力!$B$56:$AV$206,ROWS($A$5:$A97),MATCH(F$4,加速度入力!$B$53:$AV$53,0)),1)</f>
        <v>71.7</v>
      </c>
    </row>
    <row r="98" spans="1:6" x14ac:dyDescent="0.25">
      <c r="A98" s="1">
        <f>加速度入力!B149</f>
        <v>93</v>
      </c>
      <c r="B98" s="1">
        <f>ROUND(INDEX(加速度入力!$B$56:$AV$206,ROWS($A$5:$A98),MATCH(B$4,加速度入力!$B$53:$AV$53,0)),1)</f>
        <v>2.2999999999999998</v>
      </c>
      <c r="C98" s="1">
        <f>ROUND(INDEX(加速度入力!$B$56:$AV$206,ROWS($A$5:$A98),MATCH(C$4,加速度入力!$B$53:$AV$53,0)),1)</f>
        <v>18.399999999999999</v>
      </c>
      <c r="D98" s="1">
        <f>ROUND(INDEX(加速度入力!$B$56:$AV$206,ROWS($A$5:$A98),MATCH(D$4,加速度入力!$B$53:$AV$53,0)),1)</f>
        <v>58.6</v>
      </c>
      <c r="E98" s="1">
        <f>ROUND(INDEX(加速度入力!$B$56:$AV$206,ROWS($A$5:$A98),MATCH(E$4,加速度入力!$B$53:$AV$53,0)),1)</f>
        <v>97.7</v>
      </c>
      <c r="F98" s="1">
        <f>ROUND(INDEX(加速度入力!$B$56:$AV$206,ROWS($A$5:$A98),MATCH(F$4,加速度入力!$B$53:$AV$53,0)),1)</f>
        <v>71</v>
      </c>
    </row>
    <row r="99" spans="1:6" x14ac:dyDescent="0.25">
      <c r="A99" s="1">
        <f>加速度入力!B150</f>
        <v>94</v>
      </c>
      <c r="B99" s="1">
        <f>ROUND(INDEX(加速度入力!$B$56:$AV$206,ROWS($A$5:$A99),MATCH(B$4,加速度入力!$B$53:$AV$53,0)),1)</f>
        <v>2.2999999999999998</v>
      </c>
      <c r="C99" s="1">
        <f>ROUND(INDEX(加速度入力!$B$56:$AV$206,ROWS($A$5:$A99),MATCH(C$4,加速度入力!$B$53:$AV$53,0)),1)</f>
        <v>18.2</v>
      </c>
      <c r="D99" s="1">
        <f>ROUND(INDEX(加速度入力!$B$56:$AV$206,ROWS($A$5:$A99),MATCH(D$4,加速度入力!$B$53:$AV$53,0)),1)</f>
        <v>58</v>
      </c>
      <c r="E99" s="1">
        <f>ROUND(INDEX(加速度入力!$B$56:$AV$206,ROWS($A$5:$A99),MATCH(E$4,加速度入力!$B$53:$AV$53,0)),1)</f>
        <v>96.6</v>
      </c>
      <c r="F99" s="1">
        <f>ROUND(INDEX(加速度入力!$B$56:$AV$206,ROWS($A$5:$A99),MATCH(F$4,加速度入力!$B$53:$AV$53,0)),1)</f>
        <v>70.2</v>
      </c>
    </row>
    <row r="100" spans="1:6" x14ac:dyDescent="0.25">
      <c r="A100" s="1">
        <f>加速度入力!B151</f>
        <v>95</v>
      </c>
      <c r="B100" s="1">
        <f>ROUND(INDEX(加速度入力!$B$56:$AV$206,ROWS($A$5:$A100),MATCH(B$4,加速度入力!$B$53:$AV$53,0)),1)</f>
        <v>2.2999999999999998</v>
      </c>
      <c r="C100" s="1">
        <f>ROUND(INDEX(加速度入力!$B$56:$AV$206,ROWS($A$5:$A100),MATCH(C$4,加速度入力!$B$53:$AV$53,0)),1)</f>
        <v>18</v>
      </c>
      <c r="D100" s="1">
        <f>ROUND(INDEX(加速度入力!$B$56:$AV$206,ROWS($A$5:$A100),MATCH(D$4,加速度入力!$B$53:$AV$53,0)),1)</f>
        <v>57.4</v>
      </c>
      <c r="E100" s="1">
        <f>ROUND(INDEX(加速度入力!$B$56:$AV$206,ROWS($A$5:$A100),MATCH(E$4,加速度入力!$B$53:$AV$53,0)),1)</f>
        <v>95.6</v>
      </c>
      <c r="F100" s="1">
        <f>ROUND(INDEX(加速度入力!$B$56:$AV$206,ROWS($A$5:$A100),MATCH(F$4,加速度入力!$B$53:$AV$53,0)),1)</f>
        <v>69.5</v>
      </c>
    </row>
    <row r="101" spans="1:6" x14ac:dyDescent="0.25">
      <c r="A101" s="1">
        <f>加速度入力!B152</f>
        <v>96</v>
      </c>
      <c r="B101" s="1">
        <f>ROUND(INDEX(加速度入力!$B$56:$AV$206,ROWS($A$5:$A101),MATCH(B$4,加速度入力!$B$53:$AV$53,0)),1)</f>
        <v>2.2999999999999998</v>
      </c>
      <c r="C101" s="1">
        <f>ROUND(INDEX(加速度入力!$B$56:$AV$206,ROWS($A$5:$A101),MATCH(C$4,加速度入力!$B$53:$AV$53,0)),1)</f>
        <v>17.8</v>
      </c>
      <c r="D101" s="1">
        <f>ROUND(INDEX(加速度入力!$B$56:$AV$206,ROWS($A$5:$A101),MATCH(D$4,加速度入力!$B$53:$AV$53,0)),1)</f>
        <v>56.8</v>
      </c>
      <c r="E101" s="1">
        <f>ROUND(INDEX(加速度入力!$B$56:$AV$206,ROWS($A$5:$A101),MATCH(E$4,加速度入力!$B$53:$AV$53,0)),1)</f>
        <v>94.6</v>
      </c>
      <c r="F101" s="1">
        <f>ROUND(INDEX(加速度入力!$B$56:$AV$206,ROWS($A$5:$A101),MATCH(F$4,加速度入力!$B$53:$AV$53,0)),1)</f>
        <v>68.8</v>
      </c>
    </row>
    <row r="102" spans="1:6" x14ac:dyDescent="0.25">
      <c r="A102" s="1">
        <f>加速度入力!B153</f>
        <v>97</v>
      </c>
      <c r="B102" s="1">
        <f>ROUND(INDEX(加速度入力!$B$56:$AV$206,ROWS($A$5:$A102),MATCH(B$4,加速度入力!$B$53:$AV$53,0)),1)</f>
        <v>2.2999999999999998</v>
      </c>
      <c r="C102" s="1">
        <f>ROUND(INDEX(加速度入力!$B$56:$AV$206,ROWS($A$5:$A102),MATCH(C$4,加速度入力!$B$53:$AV$53,0)),1)</f>
        <v>17.600000000000001</v>
      </c>
      <c r="D102" s="1">
        <f>ROUND(INDEX(加速度入力!$B$56:$AV$206,ROWS($A$5:$A102),MATCH(D$4,加速度入力!$B$53:$AV$53,0)),1)</f>
        <v>56.2</v>
      </c>
      <c r="E102" s="1">
        <f>ROUND(INDEX(加速度入力!$B$56:$AV$206,ROWS($A$5:$A102),MATCH(E$4,加速度入力!$B$53:$AV$53,0)),1)</f>
        <v>93.6</v>
      </c>
      <c r="F102" s="1">
        <f>ROUND(INDEX(加速度入力!$B$56:$AV$206,ROWS($A$5:$A102),MATCH(F$4,加速度入力!$B$53:$AV$53,0)),1)</f>
        <v>68</v>
      </c>
    </row>
    <row r="103" spans="1:6" x14ac:dyDescent="0.25">
      <c r="A103" s="1">
        <f>加速度入力!B154</f>
        <v>98</v>
      </c>
      <c r="B103" s="1">
        <f>ROUND(INDEX(加速度入力!$B$56:$AV$206,ROWS($A$5:$A103),MATCH(B$4,加速度入力!$B$53:$AV$53,0)),1)</f>
        <v>2.2000000000000002</v>
      </c>
      <c r="C103" s="1">
        <f>ROUND(INDEX(加速度入力!$B$56:$AV$206,ROWS($A$5:$A103),MATCH(C$4,加速度入力!$B$53:$AV$53,0)),1)</f>
        <v>17.399999999999999</v>
      </c>
      <c r="D103" s="1">
        <f>ROUND(INDEX(加速度入力!$B$56:$AV$206,ROWS($A$5:$A103),MATCH(D$4,加速度入力!$B$53:$AV$53,0)),1)</f>
        <v>55.6</v>
      </c>
      <c r="E103" s="1">
        <f>ROUND(INDEX(加速度入力!$B$56:$AV$206,ROWS($A$5:$A103),MATCH(E$4,加速度入力!$B$53:$AV$53,0)),1)</f>
        <v>92.7</v>
      </c>
      <c r="F103" s="1">
        <f>ROUND(INDEX(加速度入力!$B$56:$AV$206,ROWS($A$5:$A103),MATCH(F$4,加速度入力!$B$53:$AV$53,0)),1)</f>
        <v>67.400000000000006</v>
      </c>
    </row>
    <row r="104" spans="1:6" x14ac:dyDescent="0.25">
      <c r="A104" s="1">
        <f>加速度入力!B155</f>
        <v>99</v>
      </c>
      <c r="B104" s="1">
        <f>ROUND(INDEX(加速度入力!$B$56:$AV$206,ROWS($A$5:$A104),MATCH(B$4,加速度入力!$B$53:$AV$53,0)),1)</f>
        <v>2.2000000000000002</v>
      </c>
      <c r="C104" s="1">
        <f>ROUND(INDEX(加速度入力!$B$56:$AV$206,ROWS($A$5:$A104),MATCH(C$4,加速度入力!$B$53:$AV$53,0)),1)</f>
        <v>17.3</v>
      </c>
      <c r="D104" s="1">
        <f>ROUND(INDEX(加速度入力!$B$56:$AV$206,ROWS($A$5:$A104),MATCH(D$4,加速度入力!$B$53:$AV$53,0)),1)</f>
        <v>55</v>
      </c>
      <c r="E104" s="1">
        <f>ROUND(INDEX(加速度入力!$B$56:$AV$206,ROWS($A$5:$A104),MATCH(E$4,加速度入力!$B$53:$AV$53,0)),1)</f>
        <v>91.7</v>
      </c>
      <c r="F104" s="1">
        <f>ROUND(INDEX(加速度入力!$B$56:$AV$206,ROWS($A$5:$A104),MATCH(F$4,加速度入力!$B$53:$AV$53,0)),1)</f>
        <v>66.7</v>
      </c>
    </row>
    <row r="105" spans="1:6" x14ac:dyDescent="0.25">
      <c r="A105" s="1">
        <f>加速度入力!B156</f>
        <v>100</v>
      </c>
      <c r="B105" s="1">
        <f>ROUND(INDEX(加速度入力!$B$56:$AV$206,ROWS($A$5:$A105),MATCH(B$4,加速度入力!$B$53:$AV$53,0)),1)</f>
        <v>2.2000000000000002</v>
      </c>
      <c r="C105" s="1">
        <f>ROUND(INDEX(加速度入力!$B$56:$AV$206,ROWS($A$5:$A105),MATCH(C$4,加速度入力!$B$53:$AV$53,0)),1)</f>
        <v>17.100000000000001</v>
      </c>
      <c r="D105" s="1">
        <f>ROUND(INDEX(加速度入力!$B$56:$AV$206,ROWS($A$5:$A105),MATCH(D$4,加速度入力!$B$53:$AV$53,0)),1)</f>
        <v>54.5</v>
      </c>
      <c r="E105" s="1">
        <f>ROUND(INDEX(加速度入力!$B$56:$AV$206,ROWS($A$5:$A105),MATCH(E$4,加速度入力!$B$53:$AV$53,0)),1)</f>
        <v>90.8</v>
      </c>
      <c r="F105" s="1">
        <f>ROUND(INDEX(加速度入力!$B$56:$AV$206,ROWS($A$5:$A105),MATCH(F$4,加速度入力!$B$53:$AV$53,0)),1)</f>
        <v>66</v>
      </c>
    </row>
    <row r="106" spans="1:6" x14ac:dyDescent="0.25">
      <c r="A106" s="1">
        <f>加速度入力!B157</f>
        <v>101</v>
      </c>
      <c r="B106" s="1">
        <f>ROUND(INDEX(加速度入力!$B$56:$AV$206,ROWS($A$5:$A106),MATCH(B$4,加速度入力!$B$53:$AV$53,0)),1)</f>
        <v>2.2000000000000002</v>
      </c>
      <c r="C106" s="1">
        <f>ROUND(INDEX(加速度入力!$B$56:$AV$206,ROWS($A$5:$A106),MATCH(C$4,加速度入力!$B$53:$AV$53,0)),1)</f>
        <v>16.899999999999999</v>
      </c>
      <c r="D106" s="1">
        <f>ROUND(INDEX(加速度入力!$B$56:$AV$206,ROWS($A$5:$A106),MATCH(D$4,加速度入力!$B$53:$AV$53,0)),1)</f>
        <v>53.9</v>
      </c>
      <c r="E106" s="1">
        <f>ROUND(INDEX(加速度入力!$B$56:$AV$206,ROWS($A$5:$A106),MATCH(E$4,加速度入力!$B$53:$AV$53,0)),1)</f>
        <v>89.9</v>
      </c>
      <c r="F106" s="1">
        <f>ROUND(INDEX(加速度入力!$B$56:$AV$206,ROWS($A$5:$A106),MATCH(F$4,加速度入力!$B$53:$AV$53,0)),1)</f>
        <v>65.400000000000006</v>
      </c>
    </row>
    <row r="107" spans="1:6" x14ac:dyDescent="0.25">
      <c r="A107" s="1">
        <f>加速度入力!B158</f>
        <v>102</v>
      </c>
      <c r="B107" s="1">
        <f>ROUND(INDEX(加速度入力!$B$56:$AV$206,ROWS($A$5:$A107),MATCH(B$4,加速度入力!$B$53:$AV$53,0)),1)</f>
        <v>2.1</v>
      </c>
      <c r="C107" s="1">
        <f>ROUND(INDEX(加速度入力!$B$56:$AV$206,ROWS($A$5:$A107),MATCH(C$4,加速度入力!$B$53:$AV$53,0)),1)</f>
        <v>16.8</v>
      </c>
      <c r="D107" s="1">
        <f>ROUND(INDEX(加速度入力!$B$56:$AV$206,ROWS($A$5:$A107),MATCH(D$4,加速度入力!$B$53:$AV$53,0)),1)</f>
        <v>53.4</v>
      </c>
      <c r="E107" s="1">
        <f>ROUND(INDEX(加速度入力!$B$56:$AV$206,ROWS($A$5:$A107),MATCH(E$4,加速度入力!$B$53:$AV$53,0)),1)</f>
        <v>89.1</v>
      </c>
      <c r="F107" s="1">
        <f>ROUND(INDEX(加速度入力!$B$56:$AV$206,ROWS($A$5:$A107),MATCH(F$4,加速度入力!$B$53:$AV$53,0)),1)</f>
        <v>64.7</v>
      </c>
    </row>
    <row r="108" spans="1:6" x14ac:dyDescent="0.25">
      <c r="A108" s="1">
        <f>加速度入力!B159</f>
        <v>103</v>
      </c>
      <c r="B108" s="1">
        <f>ROUND(INDEX(加速度入力!$B$56:$AV$206,ROWS($A$5:$A108),MATCH(B$4,加速度入力!$B$53:$AV$53,0)),1)</f>
        <v>2.1</v>
      </c>
      <c r="C108" s="1">
        <f>ROUND(INDEX(加速度入力!$B$56:$AV$206,ROWS($A$5:$A108),MATCH(C$4,加速度入力!$B$53:$AV$53,0)),1)</f>
        <v>16.600000000000001</v>
      </c>
      <c r="D108" s="1">
        <f>ROUND(INDEX(加速度入力!$B$56:$AV$206,ROWS($A$5:$A108),MATCH(D$4,加速度入力!$B$53:$AV$53,0)),1)</f>
        <v>52.9</v>
      </c>
      <c r="E108" s="1">
        <f>ROUND(INDEX(加速度入力!$B$56:$AV$206,ROWS($A$5:$A108),MATCH(E$4,加速度入力!$B$53:$AV$53,0)),1)</f>
        <v>88.2</v>
      </c>
      <c r="F108" s="1">
        <f>ROUND(INDEX(加速度入力!$B$56:$AV$206,ROWS($A$5:$A108),MATCH(F$4,加速度入力!$B$53:$AV$53,0)),1)</f>
        <v>64.099999999999994</v>
      </c>
    </row>
    <row r="109" spans="1:6" x14ac:dyDescent="0.25">
      <c r="A109" s="1">
        <f>加速度入力!B160</f>
        <v>104</v>
      </c>
      <c r="B109" s="1">
        <f>ROUND(INDEX(加速度入力!$B$56:$AV$206,ROWS($A$5:$A109),MATCH(B$4,加速度入力!$B$53:$AV$53,0)),1)</f>
        <v>2.1</v>
      </c>
      <c r="C109" s="1">
        <f>ROUND(INDEX(加速度入力!$B$56:$AV$206,ROWS($A$5:$A109),MATCH(C$4,加速度入力!$B$53:$AV$53,0)),1)</f>
        <v>16.399999999999999</v>
      </c>
      <c r="D109" s="1">
        <f>ROUND(INDEX(加速度入力!$B$56:$AV$206,ROWS($A$5:$A109),MATCH(D$4,加速度入力!$B$53:$AV$53,0)),1)</f>
        <v>52.4</v>
      </c>
      <c r="E109" s="1">
        <f>ROUND(INDEX(加速度入力!$B$56:$AV$206,ROWS($A$5:$A109),MATCH(E$4,加速度入力!$B$53:$AV$53,0)),1)</f>
        <v>87.3</v>
      </c>
      <c r="F109" s="1">
        <f>ROUND(INDEX(加速度入力!$B$56:$AV$206,ROWS($A$5:$A109),MATCH(F$4,加速度入力!$B$53:$AV$53,0)),1)</f>
        <v>63.5</v>
      </c>
    </row>
    <row r="110" spans="1:6" x14ac:dyDescent="0.25">
      <c r="A110" s="1">
        <f>加速度入力!B161</f>
        <v>105</v>
      </c>
      <c r="B110" s="1">
        <f>ROUND(INDEX(加速度入力!$B$56:$AV$206,ROWS($A$5:$A110),MATCH(B$4,加速度入力!$B$53:$AV$53,0)),1)</f>
        <v>2.1</v>
      </c>
      <c r="C110" s="1">
        <f>ROUND(INDEX(加速度入力!$B$56:$AV$206,ROWS($A$5:$A110),MATCH(C$4,加速度入力!$B$53:$AV$53,0)),1)</f>
        <v>16.3</v>
      </c>
      <c r="D110" s="1">
        <f>ROUND(INDEX(加速度入力!$B$56:$AV$206,ROWS($A$5:$A110),MATCH(D$4,加速度入力!$B$53:$AV$53,0)),1)</f>
        <v>51.9</v>
      </c>
      <c r="E110" s="1">
        <f>ROUND(INDEX(加速度入力!$B$56:$AV$206,ROWS($A$5:$A110),MATCH(E$4,加速度入力!$B$53:$AV$53,0)),1)</f>
        <v>86.5</v>
      </c>
      <c r="F110" s="1">
        <f>ROUND(INDEX(加速度入力!$B$56:$AV$206,ROWS($A$5:$A110),MATCH(F$4,加速度入力!$B$53:$AV$53,0)),1)</f>
        <v>62.9</v>
      </c>
    </row>
    <row r="111" spans="1:6" x14ac:dyDescent="0.25">
      <c r="A111" s="1">
        <f>加速度入力!B162</f>
        <v>106</v>
      </c>
      <c r="B111" s="1">
        <f>ROUND(INDEX(加速度入力!$B$56:$AV$206,ROWS($A$5:$A111),MATCH(B$4,加速度入力!$B$53:$AV$53,0)),1)</f>
        <v>2.1</v>
      </c>
      <c r="C111" s="1">
        <f>ROUND(INDEX(加速度入力!$B$56:$AV$206,ROWS($A$5:$A111),MATCH(C$4,加速度入力!$B$53:$AV$53,0)),1)</f>
        <v>16.100000000000001</v>
      </c>
      <c r="D111" s="1">
        <f>ROUND(INDEX(加速度入力!$B$56:$AV$206,ROWS($A$5:$A111),MATCH(D$4,加速度入力!$B$53:$AV$53,0)),1)</f>
        <v>51.4</v>
      </c>
      <c r="E111" s="1">
        <f>ROUND(INDEX(加速度入力!$B$56:$AV$206,ROWS($A$5:$A111),MATCH(E$4,加速度入力!$B$53:$AV$53,0)),1)</f>
        <v>85.7</v>
      </c>
      <c r="F111" s="1">
        <f>ROUND(INDEX(加速度入力!$B$56:$AV$206,ROWS($A$5:$A111),MATCH(F$4,加速度入力!$B$53:$AV$53,0)),1)</f>
        <v>62.3</v>
      </c>
    </row>
    <row r="112" spans="1:6" x14ac:dyDescent="0.25">
      <c r="A112" s="1">
        <f>加速度入力!B163</f>
        <v>107</v>
      </c>
      <c r="B112" s="1">
        <f>ROUND(INDEX(加速度入力!$B$56:$AV$206,ROWS($A$5:$A112),MATCH(B$4,加速度入力!$B$53:$AV$53,0)),1)</f>
        <v>2</v>
      </c>
      <c r="C112" s="1">
        <f>ROUND(INDEX(加速度入力!$B$56:$AV$206,ROWS($A$5:$A112),MATCH(C$4,加速度入力!$B$53:$AV$53,0)),1)</f>
        <v>16</v>
      </c>
      <c r="D112" s="1">
        <f>ROUND(INDEX(加速度入力!$B$56:$AV$206,ROWS($A$5:$A112),MATCH(D$4,加速度入力!$B$53:$AV$53,0)),1)</f>
        <v>50.9</v>
      </c>
      <c r="E112" s="1">
        <f>ROUND(INDEX(加速度入力!$B$56:$AV$206,ROWS($A$5:$A112),MATCH(E$4,加速度入力!$B$53:$AV$53,0)),1)</f>
        <v>84.9</v>
      </c>
      <c r="F112" s="1">
        <f>ROUND(INDEX(加速度入力!$B$56:$AV$206,ROWS($A$5:$A112),MATCH(F$4,加速度入力!$B$53:$AV$53,0)),1)</f>
        <v>61.7</v>
      </c>
    </row>
    <row r="113" spans="1:6" x14ac:dyDescent="0.25">
      <c r="A113" s="1">
        <f>加速度入力!B164</f>
        <v>108</v>
      </c>
      <c r="B113" s="1">
        <f>ROUND(INDEX(加速度入力!$B$56:$AV$206,ROWS($A$5:$A113),MATCH(B$4,加速度入力!$B$53:$AV$53,0)),1)</f>
        <v>2</v>
      </c>
      <c r="C113" s="1">
        <f>ROUND(INDEX(加速度入力!$B$56:$AV$206,ROWS($A$5:$A113),MATCH(C$4,加速度入力!$B$53:$AV$53,0)),1)</f>
        <v>15.8</v>
      </c>
      <c r="D113" s="1">
        <f>ROUND(INDEX(加速度入力!$B$56:$AV$206,ROWS($A$5:$A113),MATCH(D$4,加速度入力!$B$53:$AV$53,0)),1)</f>
        <v>50.4</v>
      </c>
      <c r="E113" s="1">
        <f>ROUND(INDEX(加速度入力!$B$56:$AV$206,ROWS($A$5:$A113),MATCH(E$4,加速度入力!$B$53:$AV$53,0)),1)</f>
        <v>84.1</v>
      </c>
      <c r="F113" s="1">
        <f>ROUND(INDEX(加速度入力!$B$56:$AV$206,ROWS($A$5:$A113),MATCH(F$4,加速度入力!$B$53:$AV$53,0)),1)</f>
        <v>61.1</v>
      </c>
    </row>
    <row r="114" spans="1:6" x14ac:dyDescent="0.25">
      <c r="A114" s="1">
        <f>加速度入力!B165</f>
        <v>109</v>
      </c>
      <c r="B114" s="1">
        <f>ROUND(INDEX(加速度入力!$B$56:$AV$206,ROWS($A$5:$A114),MATCH(B$4,加速度入力!$B$53:$AV$53,0)),1)</f>
        <v>2</v>
      </c>
      <c r="C114" s="1">
        <f>ROUND(INDEX(加速度入力!$B$56:$AV$206,ROWS($A$5:$A114),MATCH(C$4,加速度入力!$B$53:$AV$53,0)),1)</f>
        <v>15.7</v>
      </c>
      <c r="D114" s="1">
        <f>ROUND(INDEX(加速度入力!$B$56:$AV$206,ROWS($A$5:$A114),MATCH(D$4,加速度入力!$B$53:$AV$53,0)),1)</f>
        <v>50</v>
      </c>
      <c r="E114" s="1">
        <f>ROUND(INDEX(加速度入力!$B$56:$AV$206,ROWS($A$5:$A114),MATCH(E$4,加速度入力!$B$53:$AV$53,0)),1)</f>
        <v>83.3</v>
      </c>
      <c r="F114" s="1">
        <f>ROUND(INDEX(加速度入力!$B$56:$AV$206,ROWS($A$5:$A114),MATCH(F$4,加速度入力!$B$53:$AV$53,0)),1)</f>
        <v>60.6</v>
      </c>
    </row>
    <row r="115" spans="1:6" x14ac:dyDescent="0.25">
      <c r="A115" s="1">
        <f>加速度入力!B166</f>
        <v>110</v>
      </c>
      <c r="B115" s="1">
        <f>ROUND(INDEX(加速度入力!$B$56:$AV$206,ROWS($A$5:$A115),MATCH(B$4,加速度入力!$B$53:$AV$53,0)),1)</f>
        <v>2</v>
      </c>
      <c r="C115" s="1">
        <f>ROUND(INDEX(加速度入力!$B$56:$AV$206,ROWS($A$5:$A115),MATCH(C$4,加速度入力!$B$53:$AV$53,0)),1)</f>
        <v>15.5</v>
      </c>
      <c r="D115" s="1">
        <f>ROUND(INDEX(加速度入力!$B$56:$AV$206,ROWS($A$5:$A115),MATCH(D$4,加速度入力!$B$53:$AV$53,0)),1)</f>
        <v>49.5</v>
      </c>
      <c r="E115" s="1">
        <f>ROUND(INDEX(加速度入力!$B$56:$AV$206,ROWS($A$5:$A115),MATCH(E$4,加速度入力!$B$53:$AV$53,0)),1)</f>
        <v>82.6</v>
      </c>
      <c r="F115" s="1">
        <f>ROUND(INDEX(加速度入力!$B$56:$AV$206,ROWS($A$5:$A115),MATCH(F$4,加速度入力!$B$53:$AV$53,0)),1)</f>
        <v>60</v>
      </c>
    </row>
    <row r="116" spans="1:6" x14ac:dyDescent="0.25">
      <c r="A116" s="1">
        <f>加速度入力!B167</f>
        <v>111</v>
      </c>
      <c r="B116" s="1">
        <f>ROUND(INDEX(加速度入力!$B$56:$AV$206,ROWS($A$5:$A116),MATCH(B$4,加速度入力!$B$53:$AV$53,0)),1)</f>
        <v>2</v>
      </c>
      <c r="C116" s="1">
        <f>ROUND(INDEX(加速度入力!$B$56:$AV$206,ROWS($A$5:$A116),MATCH(C$4,加速度入力!$B$53:$AV$53,0)),1)</f>
        <v>15.4</v>
      </c>
      <c r="D116" s="1">
        <f>ROUND(INDEX(加速度入力!$B$56:$AV$206,ROWS($A$5:$A116),MATCH(D$4,加速度入力!$B$53:$AV$53,0)),1)</f>
        <v>49.1</v>
      </c>
      <c r="E116" s="1">
        <f>ROUND(INDEX(加速度入力!$B$56:$AV$206,ROWS($A$5:$A116),MATCH(E$4,加速度入力!$B$53:$AV$53,0)),1)</f>
        <v>81.8</v>
      </c>
      <c r="F116" s="1">
        <f>ROUND(INDEX(加速度入力!$B$56:$AV$206,ROWS($A$5:$A116),MATCH(F$4,加速度入力!$B$53:$AV$53,0)),1)</f>
        <v>59.5</v>
      </c>
    </row>
    <row r="117" spans="1:6" x14ac:dyDescent="0.25">
      <c r="A117" s="1">
        <f>加速度入力!B168</f>
        <v>112</v>
      </c>
      <c r="B117" s="1">
        <f>ROUND(INDEX(加速度入力!$B$56:$AV$206,ROWS($A$5:$A117),MATCH(B$4,加速度入力!$B$53:$AV$53,0)),1)</f>
        <v>2</v>
      </c>
      <c r="C117" s="1">
        <f>ROUND(INDEX(加速度入力!$B$56:$AV$206,ROWS($A$5:$A117),MATCH(C$4,加速度入力!$B$53:$AV$53,0)),1)</f>
        <v>15.3</v>
      </c>
      <c r="D117" s="1">
        <f>ROUND(INDEX(加速度入力!$B$56:$AV$206,ROWS($A$5:$A117),MATCH(D$4,加速度入力!$B$53:$AV$53,0)),1)</f>
        <v>48.6</v>
      </c>
      <c r="E117" s="1">
        <f>ROUND(INDEX(加速度入力!$B$56:$AV$206,ROWS($A$5:$A117),MATCH(E$4,加速度入力!$B$53:$AV$53,0)),1)</f>
        <v>81.099999999999994</v>
      </c>
      <c r="F117" s="1">
        <f>ROUND(INDEX(加速度入力!$B$56:$AV$206,ROWS($A$5:$A117),MATCH(F$4,加速度入力!$B$53:$AV$53,0)),1)</f>
        <v>58.9</v>
      </c>
    </row>
    <row r="118" spans="1:6" x14ac:dyDescent="0.25">
      <c r="A118" s="1">
        <f>加速度入力!B169</f>
        <v>113</v>
      </c>
      <c r="B118" s="1">
        <f>ROUND(INDEX(加速度入力!$B$56:$AV$206,ROWS($A$5:$A118),MATCH(B$4,加速度入力!$B$53:$AV$53,0)),1)</f>
        <v>1.9</v>
      </c>
      <c r="C118" s="1">
        <f>ROUND(INDEX(加速度入力!$B$56:$AV$206,ROWS($A$5:$A118),MATCH(C$4,加速度入力!$B$53:$AV$53,0)),1)</f>
        <v>15.1</v>
      </c>
      <c r="D118" s="1">
        <f>ROUND(INDEX(加速度入力!$B$56:$AV$206,ROWS($A$5:$A118),MATCH(D$4,加速度入力!$B$53:$AV$53,0)),1)</f>
        <v>48.2</v>
      </c>
      <c r="E118" s="1">
        <f>ROUND(INDEX(加速度入力!$B$56:$AV$206,ROWS($A$5:$A118),MATCH(E$4,加速度入力!$B$53:$AV$53,0)),1)</f>
        <v>80.400000000000006</v>
      </c>
      <c r="F118" s="1">
        <f>ROUND(INDEX(加速度入力!$B$56:$AV$206,ROWS($A$5:$A118),MATCH(F$4,加速度入力!$B$53:$AV$53,0)),1)</f>
        <v>58.4</v>
      </c>
    </row>
    <row r="119" spans="1:6" x14ac:dyDescent="0.25">
      <c r="A119" s="1">
        <f>加速度入力!B170</f>
        <v>114</v>
      </c>
      <c r="B119" s="1">
        <f>ROUND(INDEX(加速度入力!$B$56:$AV$206,ROWS($A$5:$A119),MATCH(B$4,加速度入力!$B$53:$AV$53,0)),1)</f>
        <v>1.9</v>
      </c>
      <c r="C119" s="1">
        <f>ROUND(INDEX(加速度入力!$B$56:$AV$206,ROWS($A$5:$A119),MATCH(C$4,加速度入力!$B$53:$AV$53,0)),1)</f>
        <v>15</v>
      </c>
      <c r="D119" s="1">
        <f>ROUND(INDEX(加速度入力!$B$56:$AV$206,ROWS($A$5:$A119),MATCH(D$4,加速度入力!$B$53:$AV$53,0)),1)</f>
        <v>47.8</v>
      </c>
      <c r="E119" s="1">
        <f>ROUND(INDEX(加速度入力!$B$56:$AV$206,ROWS($A$5:$A119),MATCH(E$4,加速度入力!$B$53:$AV$53,0)),1)</f>
        <v>79.7</v>
      </c>
      <c r="F119" s="1">
        <f>ROUND(INDEX(加速度入力!$B$56:$AV$206,ROWS($A$5:$A119),MATCH(F$4,加速度入力!$B$53:$AV$53,0)),1)</f>
        <v>57.9</v>
      </c>
    </row>
    <row r="120" spans="1:6" x14ac:dyDescent="0.25">
      <c r="A120" s="1">
        <f>加速度入力!B171</f>
        <v>115</v>
      </c>
      <c r="B120" s="1">
        <f>ROUND(INDEX(加速度入力!$B$56:$AV$206,ROWS($A$5:$A120),MATCH(B$4,加速度入力!$B$53:$AV$53,0)),1)</f>
        <v>1.9</v>
      </c>
      <c r="C120" s="1">
        <f>ROUND(INDEX(加速度入力!$B$56:$AV$206,ROWS($A$5:$A120),MATCH(C$4,加速度入力!$B$53:$AV$53,0)),1)</f>
        <v>14.9</v>
      </c>
      <c r="D120" s="1">
        <f>ROUND(INDEX(加速度入力!$B$56:$AV$206,ROWS($A$5:$A120),MATCH(D$4,加速度入力!$B$53:$AV$53,0)),1)</f>
        <v>47.4</v>
      </c>
      <c r="E120" s="1">
        <f>ROUND(INDEX(加速度入力!$B$56:$AV$206,ROWS($A$5:$A120),MATCH(E$4,加速度入力!$B$53:$AV$53,0)),1)</f>
        <v>79</v>
      </c>
      <c r="F120" s="1">
        <f>ROUND(INDEX(加速度入力!$B$56:$AV$206,ROWS($A$5:$A120),MATCH(F$4,加速度入力!$B$53:$AV$53,0)),1)</f>
        <v>57.4</v>
      </c>
    </row>
    <row r="121" spans="1:6" x14ac:dyDescent="0.25">
      <c r="A121" s="1">
        <f>加速度入力!B172</f>
        <v>116</v>
      </c>
      <c r="B121" s="1">
        <f>ROUND(INDEX(加速度入力!$B$56:$AV$206,ROWS($A$5:$A121),MATCH(B$4,加速度入力!$B$53:$AV$53,0)),1)</f>
        <v>1.9</v>
      </c>
      <c r="C121" s="1">
        <f>ROUND(INDEX(加速度入力!$B$56:$AV$206,ROWS($A$5:$A121),MATCH(C$4,加速度入力!$B$53:$AV$53,0)),1)</f>
        <v>14.7</v>
      </c>
      <c r="D121" s="1">
        <f>ROUND(INDEX(加速度入力!$B$56:$AV$206,ROWS($A$5:$A121),MATCH(D$4,加速度入力!$B$53:$AV$53,0)),1)</f>
        <v>47</v>
      </c>
      <c r="E121" s="1">
        <f>ROUND(INDEX(加速度入力!$B$56:$AV$206,ROWS($A$5:$A121),MATCH(E$4,加速度入力!$B$53:$AV$53,0)),1)</f>
        <v>78.3</v>
      </c>
      <c r="F121" s="1">
        <f>ROUND(INDEX(加速度入力!$B$56:$AV$206,ROWS($A$5:$A121),MATCH(F$4,加速度入力!$B$53:$AV$53,0)),1)</f>
        <v>56.9</v>
      </c>
    </row>
    <row r="122" spans="1:6" x14ac:dyDescent="0.25">
      <c r="A122" s="1">
        <f>加速度入力!B173</f>
        <v>117</v>
      </c>
      <c r="B122" s="1">
        <f>ROUND(INDEX(加速度入力!$B$56:$AV$206,ROWS($A$5:$A122),MATCH(B$4,加速度入力!$B$53:$AV$53,0)),1)</f>
        <v>1.9</v>
      </c>
      <c r="C122" s="1">
        <f>ROUND(INDEX(加速度入力!$B$56:$AV$206,ROWS($A$5:$A122),MATCH(C$4,加速度入力!$B$53:$AV$53,0)),1)</f>
        <v>14.6</v>
      </c>
      <c r="D122" s="1">
        <f>ROUND(INDEX(加速度入力!$B$56:$AV$206,ROWS($A$5:$A122),MATCH(D$4,加速度入力!$B$53:$AV$53,0)),1)</f>
        <v>46.6</v>
      </c>
      <c r="E122" s="1">
        <f>ROUND(INDEX(加速度入力!$B$56:$AV$206,ROWS($A$5:$A122),MATCH(E$4,加速度入力!$B$53:$AV$53,0)),1)</f>
        <v>77.599999999999994</v>
      </c>
      <c r="F122" s="1">
        <f>ROUND(INDEX(加速度入力!$B$56:$AV$206,ROWS($A$5:$A122),MATCH(F$4,加速度入力!$B$53:$AV$53,0)),1)</f>
        <v>56.4</v>
      </c>
    </row>
    <row r="123" spans="1:6" x14ac:dyDescent="0.25">
      <c r="A123" s="1">
        <f>加速度入力!B174</f>
        <v>118</v>
      </c>
      <c r="B123" s="1">
        <f>ROUND(INDEX(加速度入力!$B$56:$AV$206,ROWS($A$5:$A123),MATCH(B$4,加速度入力!$B$53:$AV$53,0)),1)</f>
        <v>1.9</v>
      </c>
      <c r="C123" s="1">
        <f>ROUND(INDEX(加速度入力!$B$56:$AV$206,ROWS($A$5:$A123),MATCH(C$4,加速度入力!$B$53:$AV$53,0)),1)</f>
        <v>14.5</v>
      </c>
      <c r="D123" s="1">
        <f>ROUND(INDEX(加速度入力!$B$56:$AV$206,ROWS($A$5:$A123),MATCH(D$4,加速度入力!$B$53:$AV$53,0)),1)</f>
        <v>46.2</v>
      </c>
      <c r="E123" s="1">
        <f>ROUND(INDEX(加速度入力!$B$56:$AV$206,ROWS($A$5:$A123),MATCH(E$4,加速度入力!$B$53:$AV$53,0)),1)</f>
        <v>77</v>
      </c>
      <c r="F123" s="1">
        <f>ROUND(INDEX(加速度入力!$B$56:$AV$206,ROWS($A$5:$A123),MATCH(F$4,加速度入力!$B$53:$AV$53,0)),1)</f>
        <v>55.9</v>
      </c>
    </row>
    <row r="124" spans="1:6" x14ac:dyDescent="0.25">
      <c r="A124" s="1">
        <f>加速度入力!B175</f>
        <v>119</v>
      </c>
      <c r="B124" s="1">
        <f>ROUND(INDEX(加速度入力!$B$56:$AV$206,ROWS($A$5:$A124),MATCH(B$4,加速度入力!$B$53:$AV$53,0)),1)</f>
        <v>1.8</v>
      </c>
      <c r="C124" s="1">
        <f>ROUND(INDEX(加速度入力!$B$56:$AV$206,ROWS($A$5:$A124),MATCH(C$4,加速度入力!$B$53:$AV$53,0)),1)</f>
        <v>14.4</v>
      </c>
      <c r="D124" s="1">
        <f>ROUND(INDEX(加速度入力!$B$56:$AV$206,ROWS($A$5:$A124),MATCH(D$4,加速度入力!$B$53:$AV$53,0)),1)</f>
        <v>45.8</v>
      </c>
      <c r="E124" s="1">
        <f>ROUND(INDEX(加速度入力!$B$56:$AV$206,ROWS($A$5:$A124),MATCH(E$4,加速度入力!$B$53:$AV$53,0)),1)</f>
        <v>76.3</v>
      </c>
      <c r="F124" s="1">
        <f>ROUND(INDEX(加速度入力!$B$56:$AV$206,ROWS($A$5:$A124),MATCH(F$4,加速度入力!$B$53:$AV$53,0)),1)</f>
        <v>55.5</v>
      </c>
    </row>
    <row r="125" spans="1:6" x14ac:dyDescent="0.25">
      <c r="A125" s="1">
        <f>加速度入力!B176</f>
        <v>120</v>
      </c>
      <c r="B125" s="1">
        <f>ROUND(INDEX(加速度入力!$B$56:$AV$206,ROWS($A$5:$A125),MATCH(B$4,加速度入力!$B$53:$AV$53,0)),1)</f>
        <v>1.8</v>
      </c>
      <c r="C125" s="1">
        <f>ROUND(INDEX(加速度入力!$B$56:$AV$206,ROWS($A$5:$A125),MATCH(C$4,加速度入力!$B$53:$AV$53,0)),1)</f>
        <v>14.2</v>
      </c>
      <c r="D125" s="1">
        <f>ROUND(INDEX(加速度入力!$B$56:$AV$206,ROWS($A$5:$A125),MATCH(D$4,加速度入力!$B$53:$AV$53,0)),1)</f>
        <v>45.4</v>
      </c>
      <c r="E125" s="1">
        <f>ROUND(INDEX(加速度入力!$B$56:$AV$206,ROWS($A$5:$A125),MATCH(E$4,加速度入力!$B$53:$AV$53,0)),1)</f>
        <v>75.7</v>
      </c>
      <c r="F125" s="1">
        <f>ROUND(INDEX(加速度入力!$B$56:$AV$206,ROWS($A$5:$A125),MATCH(F$4,加速度入力!$B$53:$AV$53,0)),1)</f>
        <v>55</v>
      </c>
    </row>
    <row r="126" spans="1:6" x14ac:dyDescent="0.25">
      <c r="A126" s="1">
        <f>加速度入力!B177</f>
        <v>121</v>
      </c>
      <c r="B126" s="1">
        <f>ROUND(INDEX(加速度入力!$B$56:$AV$206,ROWS($A$5:$A126),MATCH(B$4,加速度入力!$B$53:$AV$53,0)),1)</f>
        <v>1.8</v>
      </c>
      <c r="C126" s="1">
        <f>ROUND(INDEX(加速度入力!$B$56:$AV$206,ROWS($A$5:$A126),MATCH(C$4,加速度入力!$B$53:$AV$53,0)),1)</f>
        <v>14.1</v>
      </c>
      <c r="D126" s="1">
        <f>ROUND(INDEX(加速度入力!$B$56:$AV$206,ROWS($A$5:$A126),MATCH(D$4,加速度入力!$B$53:$AV$53,0)),1)</f>
        <v>45</v>
      </c>
      <c r="E126" s="1">
        <f>ROUND(INDEX(加速度入力!$B$56:$AV$206,ROWS($A$5:$A126),MATCH(E$4,加速度入力!$B$53:$AV$53,0)),1)</f>
        <v>75.099999999999994</v>
      </c>
      <c r="F126" s="1">
        <f>ROUND(INDEX(加速度入力!$B$56:$AV$206,ROWS($A$5:$A126),MATCH(F$4,加速度入力!$B$53:$AV$53,0)),1)</f>
        <v>54.6</v>
      </c>
    </row>
    <row r="127" spans="1:6" x14ac:dyDescent="0.25">
      <c r="A127" s="1">
        <f>加速度入力!B178</f>
        <v>122</v>
      </c>
      <c r="B127" s="1">
        <f>ROUND(INDEX(加速度入力!$B$56:$AV$206,ROWS($A$5:$A127),MATCH(B$4,加速度入力!$B$53:$AV$53,0)),1)</f>
        <v>1.8</v>
      </c>
      <c r="C127" s="1">
        <f>ROUND(INDEX(加速度入力!$B$56:$AV$206,ROWS($A$5:$A127),MATCH(C$4,加速度入力!$B$53:$AV$53,0)),1)</f>
        <v>14</v>
      </c>
      <c r="D127" s="1">
        <f>ROUND(INDEX(加速度入力!$B$56:$AV$206,ROWS($A$5:$A127),MATCH(D$4,加速度入力!$B$53:$AV$53,0)),1)</f>
        <v>44.7</v>
      </c>
      <c r="E127" s="1">
        <f>ROUND(INDEX(加速度入力!$B$56:$AV$206,ROWS($A$5:$A127),MATCH(E$4,加速度入力!$B$53:$AV$53,0)),1)</f>
        <v>74.5</v>
      </c>
      <c r="F127" s="1">
        <f>ROUND(INDEX(加速度入力!$B$56:$AV$206,ROWS($A$5:$A127),MATCH(F$4,加速度入力!$B$53:$AV$53,0)),1)</f>
        <v>54.1</v>
      </c>
    </row>
    <row r="128" spans="1:6" x14ac:dyDescent="0.25">
      <c r="A128" s="1">
        <f>加速度入力!B179</f>
        <v>123</v>
      </c>
      <c r="B128" s="1">
        <f>ROUND(INDEX(加速度入力!$B$56:$AV$206,ROWS($A$5:$A128),MATCH(B$4,加速度入力!$B$53:$AV$53,0)),1)</f>
        <v>1.8</v>
      </c>
      <c r="C128" s="1">
        <f>ROUND(INDEX(加速度入力!$B$56:$AV$206,ROWS($A$5:$A128),MATCH(C$4,加速度入力!$B$53:$AV$53,0)),1)</f>
        <v>13.9</v>
      </c>
      <c r="D128" s="1">
        <f>ROUND(INDEX(加速度入力!$B$56:$AV$206,ROWS($A$5:$A128),MATCH(D$4,加速度入力!$B$53:$AV$53,0)),1)</f>
        <v>44.3</v>
      </c>
      <c r="E128" s="1">
        <f>ROUND(INDEX(加速度入力!$B$56:$AV$206,ROWS($A$5:$A128),MATCH(E$4,加速度入力!$B$53:$AV$53,0)),1)</f>
        <v>73.8</v>
      </c>
      <c r="F128" s="1">
        <f>ROUND(INDEX(加速度入力!$B$56:$AV$206,ROWS($A$5:$A128),MATCH(F$4,加速度入力!$B$53:$AV$53,0)),1)</f>
        <v>53.7</v>
      </c>
    </row>
    <row r="129" spans="1:6" x14ac:dyDescent="0.25">
      <c r="A129" s="1">
        <f>加速度入力!B180</f>
        <v>124</v>
      </c>
      <c r="B129" s="1">
        <f>ROUND(INDEX(加速度入力!$B$56:$AV$206,ROWS($A$5:$A129),MATCH(B$4,加速度入力!$B$53:$AV$53,0)),1)</f>
        <v>1.8</v>
      </c>
      <c r="C129" s="1">
        <f>ROUND(INDEX(加速度入力!$B$56:$AV$206,ROWS($A$5:$A129),MATCH(C$4,加速度入力!$B$53:$AV$53,0)),1)</f>
        <v>13.8</v>
      </c>
      <c r="D129" s="1">
        <f>ROUND(INDEX(加速度入力!$B$56:$AV$206,ROWS($A$5:$A129),MATCH(D$4,加速度入力!$B$53:$AV$53,0)),1)</f>
        <v>43.9</v>
      </c>
      <c r="E129" s="1">
        <f>ROUND(INDEX(加速度入力!$B$56:$AV$206,ROWS($A$5:$A129),MATCH(E$4,加速度入力!$B$53:$AV$53,0)),1)</f>
        <v>73.3</v>
      </c>
      <c r="F129" s="1">
        <f>ROUND(INDEX(加速度入力!$B$56:$AV$206,ROWS($A$5:$A129),MATCH(F$4,加速度入力!$B$53:$AV$53,0)),1)</f>
        <v>53.2</v>
      </c>
    </row>
    <row r="130" spans="1:6" x14ac:dyDescent="0.25">
      <c r="A130" s="1">
        <f>加速度入力!B181</f>
        <v>125</v>
      </c>
      <c r="B130" s="1">
        <f>ROUND(INDEX(加速度入力!$B$56:$AV$206,ROWS($A$5:$A130),MATCH(B$4,加速度入力!$B$53:$AV$53,0)),1)</f>
        <v>1.7</v>
      </c>
      <c r="C130" s="1">
        <f>ROUND(INDEX(加速度入力!$B$56:$AV$206,ROWS($A$5:$A130),MATCH(C$4,加速度入力!$B$53:$AV$53,0)),1)</f>
        <v>13.7</v>
      </c>
      <c r="D130" s="1">
        <f>ROUND(INDEX(加速度入力!$B$56:$AV$206,ROWS($A$5:$A130),MATCH(D$4,加速度入力!$B$53:$AV$53,0)),1)</f>
        <v>43.6</v>
      </c>
      <c r="E130" s="1">
        <f>ROUND(INDEX(加速度入力!$B$56:$AV$206,ROWS($A$5:$A130),MATCH(E$4,加速度入力!$B$53:$AV$53,0)),1)</f>
        <v>72.7</v>
      </c>
      <c r="F130" s="1">
        <f>ROUND(INDEX(加速度入力!$B$56:$AV$206,ROWS($A$5:$A130),MATCH(F$4,加速度入力!$B$53:$AV$53,0)),1)</f>
        <v>52.8</v>
      </c>
    </row>
    <row r="131" spans="1:6" x14ac:dyDescent="0.25">
      <c r="A131" s="1">
        <f>加速度入力!B182</f>
        <v>126</v>
      </c>
      <c r="B131" s="1">
        <f>ROUND(INDEX(加速度入力!$B$56:$AV$206,ROWS($A$5:$A131),MATCH(B$4,加速度入力!$B$53:$AV$53,0)),1)</f>
        <v>1.7</v>
      </c>
      <c r="C131" s="1">
        <f>ROUND(INDEX(加速度入力!$B$56:$AV$206,ROWS($A$5:$A131),MATCH(C$4,加速度入力!$B$53:$AV$53,0)),1)</f>
        <v>13.6</v>
      </c>
      <c r="D131" s="1">
        <f>ROUND(INDEX(加速度入力!$B$56:$AV$206,ROWS($A$5:$A131),MATCH(D$4,加速度入力!$B$53:$AV$53,0)),1)</f>
        <v>43.2</v>
      </c>
      <c r="E131" s="1">
        <f>ROUND(INDEX(加速度入力!$B$56:$AV$206,ROWS($A$5:$A131),MATCH(E$4,加速度入力!$B$53:$AV$53,0)),1)</f>
        <v>72.099999999999994</v>
      </c>
      <c r="F131" s="1">
        <f>ROUND(INDEX(加速度入力!$B$56:$AV$206,ROWS($A$5:$A131),MATCH(F$4,加速度入力!$B$53:$AV$53,0)),1)</f>
        <v>52.4</v>
      </c>
    </row>
    <row r="132" spans="1:6" x14ac:dyDescent="0.25">
      <c r="A132" s="1">
        <f>加速度入力!B183</f>
        <v>127</v>
      </c>
      <c r="B132" s="1">
        <f>ROUND(INDEX(加速度入力!$B$56:$AV$206,ROWS($A$5:$A132),MATCH(B$4,加速度入力!$B$53:$AV$53,0)),1)</f>
        <v>1.7</v>
      </c>
      <c r="C132" s="1">
        <f>ROUND(INDEX(加速度入力!$B$56:$AV$206,ROWS($A$5:$A132),MATCH(C$4,加速度入力!$B$53:$AV$53,0)),1)</f>
        <v>13.5</v>
      </c>
      <c r="D132" s="1">
        <f>ROUND(INDEX(加速度入力!$B$56:$AV$206,ROWS($A$5:$A132),MATCH(D$4,加速度入力!$B$53:$AV$53,0)),1)</f>
        <v>42.9</v>
      </c>
      <c r="E132" s="1">
        <f>ROUND(INDEX(加速度入力!$B$56:$AV$206,ROWS($A$5:$A132),MATCH(E$4,加速度入力!$B$53:$AV$53,0)),1)</f>
        <v>71.5</v>
      </c>
      <c r="F132" s="1">
        <f>ROUND(INDEX(加速度入力!$B$56:$AV$206,ROWS($A$5:$A132),MATCH(F$4,加速度入力!$B$53:$AV$53,0)),1)</f>
        <v>52</v>
      </c>
    </row>
    <row r="133" spans="1:6" x14ac:dyDescent="0.25">
      <c r="A133" s="1">
        <f>加速度入力!B184</f>
        <v>128</v>
      </c>
      <c r="B133" s="1">
        <f>ROUND(INDEX(加速度入力!$B$56:$AV$206,ROWS($A$5:$A133),MATCH(B$4,加速度入力!$B$53:$AV$53,0)),1)</f>
        <v>1.7</v>
      </c>
      <c r="C133" s="1">
        <f>ROUND(INDEX(加速度入力!$B$56:$AV$206,ROWS($A$5:$A133),MATCH(C$4,加速度入力!$B$53:$AV$53,0)),1)</f>
        <v>13.4</v>
      </c>
      <c r="D133" s="1">
        <f>ROUND(INDEX(加速度入力!$B$56:$AV$206,ROWS($A$5:$A133),MATCH(D$4,加速度入力!$B$53:$AV$53,0)),1)</f>
        <v>42.6</v>
      </c>
      <c r="E133" s="1">
        <f>ROUND(INDEX(加速度入力!$B$56:$AV$206,ROWS($A$5:$A133),MATCH(E$4,加速度入力!$B$53:$AV$53,0)),1)</f>
        <v>71</v>
      </c>
      <c r="F133" s="1">
        <f>ROUND(INDEX(加速度入力!$B$56:$AV$206,ROWS($A$5:$A133),MATCH(F$4,加速度入力!$B$53:$AV$53,0)),1)</f>
        <v>51.6</v>
      </c>
    </row>
    <row r="134" spans="1:6" x14ac:dyDescent="0.25">
      <c r="A134" s="1">
        <f>加速度入力!B185</f>
        <v>129</v>
      </c>
      <c r="B134" s="1">
        <f>ROUND(INDEX(加速度入力!$B$56:$AV$206,ROWS($A$5:$A134),MATCH(B$4,加速度入力!$B$53:$AV$53,0)),1)</f>
        <v>1.7</v>
      </c>
      <c r="C134" s="1">
        <f>ROUND(INDEX(加速度入力!$B$56:$AV$206,ROWS($A$5:$A134),MATCH(C$4,加速度入力!$B$53:$AV$53,0)),1)</f>
        <v>13.3</v>
      </c>
      <c r="D134" s="1">
        <f>ROUND(INDEX(加速度入力!$B$56:$AV$206,ROWS($A$5:$A134),MATCH(D$4,加速度入力!$B$53:$AV$53,0)),1)</f>
        <v>42.2</v>
      </c>
      <c r="E134" s="1">
        <f>ROUND(INDEX(加速度入力!$B$56:$AV$206,ROWS($A$5:$A134),MATCH(E$4,加速度入力!$B$53:$AV$53,0)),1)</f>
        <v>70.400000000000006</v>
      </c>
      <c r="F134" s="1">
        <f>ROUND(INDEX(加速度入力!$B$56:$AV$206,ROWS($A$5:$A134),MATCH(F$4,加速度入力!$B$53:$AV$53,0)),1)</f>
        <v>51.2</v>
      </c>
    </row>
    <row r="135" spans="1:6" x14ac:dyDescent="0.25">
      <c r="A135" s="1">
        <f>加速度入力!B186</f>
        <v>130</v>
      </c>
      <c r="B135" s="1">
        <f>ROUND(INDEX(加速度入力!$B$56:$AV$206,ROWS($A$5:$A135),MATCH(B$4,加速度入力!$B$53:$AV$53,0)),1)</f>
        <v>1.7</v>
      </c>
      <c r="C135" s="1">
        <f>ROUND(INDEX(加速度入力!$B$56:$AV$206,ROWS($A$5:$A135),MATCH(C$4,加速度入力!$B$53:$AV$53,0)),1)</f>
        <v>13.2</v>
      </c>
      <c r="D135" s="1">
        <f>ROUND(INDEX(加速度入力!$B$56:$AV$206,ROWS($A$5:$A135),MATCH(D$4,加速度入力!$B$53:$AV$53,0)),1)</f>
        <v>41.9</v>
      </c>
      <c r="E135" s="1">
        <f>ROUND(INDEX(加速度入力!$B$56:$AV$206,ROWS($A$5:$A135),MATCH(E$4,加速度入力!$B$53:$AV$53,0)),1)</f>
        <v>69.900000000000006</v>
      </c>
      <c r="F135" s="1">
        <f>ROUND(INDEX(加速度入力!$B$56:$AV$206,ROWS($A$5:$A135),MATCH(F$4,加速度入力!$B$53:$AV$53,0)),1)</f>
        <v>50.8</v>
      </c>
    </row>
    <row r="136" spans="1:6" x14ac:dyDescent="0.25">
      <c r="A136" s="1">
        <f>加速度入力!B187</f>
        <v>131</v>
      </c>
      <c r="B136" s="1">
        <f>ROUND(INDEX(加速度入力!$B$56:$AV$206,ROWS($A$5:$A136),MATCH(B$4,加速度入力!$B$53:$AV$53,0)),1)</f>
        <v>1.7</v>
      </c>
      <c r="C136" s="1">
        <f>ROUND(INDEX(加速度入力!$B$56:$AV$206,ROWS($A$5:$A136),MATCH(C$4,加速度入力!$B$53:$AV$53,0)),1)</f>
        <v>13.1</v>
      </c>
      <c r="D136" s="1">
        <f>ROUND(INDEX(加速度入力!$B$56:$AV$206,ROWS($A$5:$A136),MATCH(D$4,加速度入力!$B$53:$AV$53,0)),1)</f>
        <v>41.6</v>
      </c>
      <c r="E136" s="1">
        <f>ROUND(INDEX(加速度入力!$B$56:$AV$206,ROWS($A$5:$A136),MATCH(E$4,加速度入力!$B$53:$AV$53,0)),1)</f>
        <v>69.3</v>
      </c>
      <c r="F136" s="1">
        <f>ROUND(INDEX(加速度入力!$B$56:$AV$206,ROWS($A$5:$A136),MATCH(F$4,加速度入力!$B$53:$AV$53,0)),1)</f>
        <v>50.4</v>
      </c>
    </row>
    <row r="137" spans="1:6" x14ac:dyDescent="0.25">
      <c r="A137" s="1">
        <f>加速度入力!B188</f>
        <v>132</v>
      </c>
      <c r="B137" s="1">
        <f>ROUND(INDEX(加速度入力!$B$56:$AV$206,ROWS($A$5:$A137),MATCH(B$4,加速度入力!$B$53:$AV$53,0)),1)</f>
        <v>1.7</v>
      </c>
      <c r="C137" s="1">
        <f>ROUND(INDEX(加速度入力!$B$56:$AV$206,ROWS($A$5:$A137),MATCH(C$4,加速度入力!$B$53:$AV$53,0)),1)</f>
        <v>13</v>
      </c>
      <c r="D137" s="1">
        <f>ROUND(INDEX(加速度入力!$B$56:$AV$206,ROWS($A$5:$A137),MATCH(D$4,加速度入力!$B$53:$AV$53,0)),1)</f>
        <v>41.3</v>
      </c>
      <c r="E137" s="1">
        <f>ROUND(INDEX(加速度入力!$B$56:$AV$206,ROWS($A$5:$A137),MATCH(E$4,加速度入力!$B$53:$AV$53,0)),1)</f>
        <v>68.8</v>
      </c>
      <c r="F137" s="1">
        <f>ROUND(INDEX(加速度入力!$B$56:$AV$206,ROWS($A$5:$A137),MATCH(F$4,加速度入力!$B$53:$AV$53,0)),1)</f>
        <v>50</v>
      </c>
    </row>
    <row r="138" spans="1:6" x14ac:dyDescent="0.25">
      <c r="A138" s="1">
        <f>加速度入力!B189</f>
        <v>133</v>
      </c>
      <c r="B138" s="1">
        <f>ROUND(INDEX(加速度入力!$B$56:$AV$206,ROWS($A$5:$A138),MATCH(B$4,加速度入力!$B$53:$AV$53,0)),1)</f>
        <v>1.6</v>
      </c>
      <c r="C138" s="1">
        <f>ROUND(INDEX(加速度入力!$B$56:$AV$206,ROWS($A$5:$A138),MATCH(C$4,加速度入力!$B$53:$AV$53,0)),1)</f>
        <v>12.9</v>
      </c>
      <c r="D138" s="1">
        <f>ROUND(INDEX(加速度入力!$B$56:$AV$206,ROWS($A$5:$A138),MATCH(D$4,加速度入力!$B$53:$AV$53,0)),1)</f>
        <v>41</v>
      </c>
      <c r="E138" s="1">
        <f>ROUND(INDEX(加速度入力!$B$56:$AV$206,ROWS($A$5:$A138),MATCH(E$4,加速度入力!$B$53:$AV$53,0)),1)</f>
        <v>68.3</v>
      </c>
      <c r="F138" s="1">
        <f>ROUND(INDEX(加速度入力!$B$56:$AV$206,ROWS($A$5:$A138),MATCH(F$4,加速度入力!$B$53:$AV$53,0)),1)</f>
        <v>49.6</v>
      </c>
    </row>
    <row r="139" spans="1:6" x14ac:dyDescent="0.25">
      <c r="A139" s="1">
        <f>加速度入力!B190</f>
        <v>134</v>
      </c>
      <c r="B139" s="1">
        <f>ROUND(INDEX(加速度入力!$B$56:$AV$206,ROWS($A$5:$A139),MATCH(B$4,加速度入力!$B$53:$AV$53,0)),1)</f>
        <v>1.6</v>
      </c>
      <c r="C139" s="1">
        <f>ROUND(INDEX(加速度入力!$B$56:$AV$206,ROWS($A$5:$A139),MATCH(C$4,加速度入力!$B$53:$AV$53,0)),1)</f>
        <v>12.8</v>
      </c>
      <c r="D139" s="1">
        <f>ROUND(INDEX(加速度入力!$B$56:$AV$206,ROWS($A$5:$A139),MATCH(D$4,加速度入力!$B$53:$AV$53,0)),1)</f>
        <v>40.700000000000003</v>
      </c>
      <c r="E139" s="1">
        <f>ROUND(INDEX(加速度入力!$B$56:$AV$206,ROWS($A$5:$A139),MATCH(E$4,加速度入力!$B$53:$AV$53,0)),1)</f>
        <v>67.8</v>
      </c>
      <c r="F139" s="1">
        <f>ROUND(INDEX(加速度入力!$B$56:$AV$206,ROWS($A$5:$A139),MATCH(F$4,加速度入力!$B$53:$AV$53,0)),1)</f>
        <v>49.3</v>
      </c>
    </row>
    <row r="140" spans="1:6" x14ac:dyDescent="0.25">
      <c r="A140" s="1">
        <f>加速度入力!B191</f>
        <v>135</v>
      </c>
      <c r="B140" s="1">
        <f>ROUND(INDEX(加速度入力!$B$56:$AV$206,ROWS($A$5:$A140),MATCH(B$4,加速度入力!$B$53:$AV$53,0)),1)</f>
        <v>1.6</v>
      </c>
      <c r="C140" s="1">
        <f>ROUND(INDEX(加速度入力!$B$56:$AV$206,ROWS($A$5:$A140),MATCH(C$4,加速度入力!$B$53:$AV$53,0)),1)</f>
        <v>12.7</v>
      </c>
      <c r="D140" s="1">
        <f>ROUND(INDEX(加速度入力!$B$56:$AV$206,ROWS($A$5:$A140),MATCH(D$4,加速度入力!$B$53:$AV$53,0)),1)</f>
        <v>40.4</v>
      </c>
      <c r="E140" s="1">
        <f>ROUND(INDEX(加速度入力!$B$56:$AV$206,ROWS($A$5:$A140),MATCH(E$4,加速度入力!$B$53:$AV$53,0)),1)</f>
        <v>67.3</v>
      </c>
      <c r="F140" s="1">
        <f>ROUND(INDEX(加速度入力!$B$56:$AV$206,ROWS($A$5:$A140),MATCH(F$4,加速度入力!$B$53:$AV$53,0)),1)</f>
        <v>48.9</v>
      </c>
    </row>
    <row r="141" spans="1:6" x14ac:dyDescent="0.25">
      <c r="A141" s="1">
        <f>加速度入力!B192</f>
        <v>136</v>
      </c>
      <c r="B141" s="1">
        <f>ROUND(INDEX(加速度入力!$B$56:$AV$206,ROWS($A$5:$A141),MATCH(B$4,加速度入力!$B$53:$AV$53,0)),1)</f>
        <v>1.6</v>
      </c>
      <c r="C141" s="1">
        <f>ROUND(INDEX(加速度入力!$B$56:$AV$206,ROWS($A$5:$A141),MATCH(C$4,加速度入力!$B$53:$AV$53,0)),1)</f>
        <v>12.6</v>
      </c>
      <c r="D141" s="1">
        <f>ROUND(INDEX(加速度入力!$B$56:$AV$206,ROWS($A$5:$A141),MATCH(D$4,加速度入力!$B$53:$AV$53,0)),1)</f>
        <v>40.1</v>
      </c>
      <c r="E141" s="1">
        <f>ROUND(INDEX(加速度入力!$B$56:$AV$206,ROWS($A$5:$A141),MATCH(E$4,加速度入力!$B$53:$AV$53,0)),1)</f>
        <v>66.8</v>
      </c>
      <c r="F141" s="1">
        <f>ROUND(INDEX(加速度入力!$B$56:$AV$206,ROWS($A$5:$A141),MATCH(F$4,加速度入力!$B$53:$AV$53,0)),1)</f>
        <v>48.5</v>
      </c>
    </row>
    <row r="142" spans="1:6" x14ac:dyDescent="0.25">
      <c r="A142" s="1">
        <f>加速度入力!B193</f>
        <v>137</v>
      </c>
      <c r="B142" s="1">
        <f>ROUND(INDEX(加速度入力!$B$56:$AV$206,ROWS($A$5:$A142),MATCH(B$4,加速度入力!$B$53:$AV$53,0)),1)</f>
        <v>1.6</v>
      </c>
      <c r="C142" s="1">
        <f>ROUND(INDEX(加速度入力!$B$56:$AV$206,ROWS($A$5:$A142),MATCH(C$4,加速度入力!$B$53:$AV$53,0)),1)</f>
        <v>12.5</v>
      </c>
      <c r="D142" s="1">
        <f>ROUND(INDEX(加速度入力!$B$56:$AV$206,ROWS($A$5:$A142),MATCH(D$4,加速度入力!$B$53:$AV$53,0)),1)</f>
        <v>39.799999999999997</v>
      </c>
      <c r="E142" s="1">
        <f>ROUND(INDEX(加速度入力!$B$56:$AV$206,ROWS($A$5:$A142),MATCH(E$4,加速度入力!$B$53:$AV$53,0)),1)</f>
        <v>66.3</v>
      </c>
      <c r="F142" s="1">
        <f>ROUND(INDEX(加速度入力!$B$56:$AV$206,ROWS($A$5:$A142),MATCH(F$4,加速度入力!$B$53:$AV$53,0)),1)</f>
        <v>48.2</v>
      </c>
    </row>
    <row r="143" spans="1:6" x14ac:dyDescent="0.25">
      <c r="A143" s="1">
        <f>加速度入力!B194</f>
        <v>138</v>
      </c>
      <c r="B143" s="1">
        <f>ROUND(INDEX(加速度入力!$B$56:$AV$206,ROWS($A$5:$A143),MATCH(B$4,加速度入力!$B$53:$AV$53,0)),1)</f>
        <v>1.6</v>
      </c>
      <c r="C143" s="1">
        <f>ROUND(INDEX(加速度入力!$B$56:$AV$206,ROWS($A$5:$A143),MATCH(C$4,加速度入力!$B$53:$AV$53,0)),1)</f>
        <v>12.4</v>
      </c>
      <c r="D143" s="1">
        <f>ROUND(INDEX(加速度入力!$B$56:$AV$206,ROWS($A$5:$A143),MATCH(D$4,加速度入力!$B$53:$AV$53,0)),1)</f>
        <v>39.5</v>
      </c>
      <c r="E143" s="1">
        <f>ROUND(INDEX(加速度入力!$B$56:$AV$206,ROWS($A$5:$A143),MATCH(E$4,加速度入力!$B$53:$AV$53,0)),1)</f>
        <v>65.8</v>
      </c>
      <c r="F143" s="1">
        <f>ROUND(INDEX(加速度入力!$B$56:$AV$206,ROWS($A$5:$A143),MATCH(F$4,加速度入力!$B$53:$AV$53,0)),1)</f>
        <v>47.8</v>
      </c>
    </row>
    <row r="144" spans="1:6" x14ac:dyDescent="0.25">
      <c r="A144" s="1">
        <f>加速度入力!B195</f>
        <v>139</v>
      </c>
      <c r="B144" s="1">
        <f>ROUND(INDEX(加速度入力!$B$56:$AV$206,ROWS($A$5:$A144),MATCH(B$4,加速度入力!$B$53:$AV$53,0)),1)</f>
        <v>1.6</v>
      </c>
      <c r="C144" s="1">
        <f>ROUND(INDEX(加速度入力!$B$56:$AV$206,ROWS($A$5:$A144),MATCH(C$4,加速度入力!$B$53:$AV$53,0)),1)</f>
        <v>12.3</v>
      </c>
      <c r="D144" s="1">
        <f>ROUND(INDEX(加速度入力!$B$56:$AV$206,ROWS($A$5:$A144),MATCH(D$4,加速度入力!$B$53:$AV$53,0)),1)</f>
        <v>39.200000000000003</v>
      </c>
      <c r="E144" s="1">
        <f>ROUND(INDEX(加速度入力!$B$56:$AV$206,ROWS($A$5:$A144),MATCH(E$4,加速度入力!$B$53:$AV$53,0)),1)</f>
        <v>65.3</v>
      </c>
      <c r="F144" s="1">
        <f>ROUND(INDEX(加速度入力!$B$56:$AV$206,ROWS($A$5:$A144),MATCH(F$4,加速度入力!$B$53:$AV$53,0)),1)</f>
        <v>47.5</v>
      </c>
    </row>
    <row r="145" spans="1:6" x14ac:dyDescent="0.25">
      <c r="A145" s="1">
        <f>加速度入力!B196</f>
        <v>140</v>
      </c>
      <c r="B145" s="1">
        <f>ROUND(INDEX(加速度入力!$B$56:$AV$206,ROWS($A$5:$A145),MATCH(B$4,加速度入力!$B$53:$AV$53,0)),1)</f>
        <v>1.6</v>
      </c>
      <c r="C145" s="1">
        <f>ROUND(INDEX(加速度入力!$B$56:$AV$206,ROWS($A$5:$A145),MATCH(C$4,加速度入力!$B$53:$AV$53,0)),1)</f>
        <v>12.2</v>
      </c>
      <c r="D145" s="1">
        <f>ROUND(INDEX(加速度入力!$B$56:$AV$206,ROWS($A$5:$A145),MATCH(D$4,加速度入力!$B$53:$AV$53,0)),1)</f>
        <v>38.9</v>
      </c>
      <c r="E145" s="1">
        <f>ROUND(INDEX(加速度入力!$B$56:$AV$206,ROWS($A$5:$A145),MATCH(E$4,加速度入力!$B$53:$AV$53,0)),1)</f>
        <v>64.900000000000006</v>
      </c>
      <c r="F145" s="1">
        <f>ROUND(INDEX(加速度入力!$B$56:$AV$206,ROWS($A$5:$A145),MATCH(F$4,加速度入力!$B$53:$AV$53,0)),1)</f>
        <v>47.1</v>
      </c>
    </row>
    <row r="146" spans="1:6" x14ac:dyDescent="0.25">
      <c r="A146" s="1">
        <f>加速度入力!B197</f>
        <v>141</v>
      </c>
      <c r="B146" s="1">
        <f>ROUND(INDEX(加速度入力!$B$56:$AV$206,ROWS($A$5:$A146),MATCH(B$4,加速度入力!$B$53:$AV$53,0)),1)</f>
        <v>1.5</v>
      </c>
      <c r="C146" s="1">
        <f>ROUND(INDEX(加速度入力!$B$56:$AV$206,ROWS($A$5:$A146),MATCH(C$4,加速度入力!$B$53:$AV$53,0)),1)</f>
        <v>12.1</v>
      </c>
      <c r="D146" s="1">
        <f>ROUND(INDEX(加速度入力!$B$56:$AV$206,ROWS($A$5:$A146),MATCH(D$4,加速度入力!$B$53:$AV$53,0)),1)</f>
        <v>38.6</v>
      </c>
      <c r="E146" s="1">
        <f>ROUND(INDEX(加速度入力!$B$56:$AV$206,ROWS($A$5:$A146),MATCH(E$4,加速度入力!$B$53:$AV$53,0)),1)</f>
        <v>64.400000000000006</v>
      </c>
      <c r="F146" s="1">
        <f>ROUND(INDEX(加速度入力!$B$56:$AV$206,ROWS($A$5:$A146),MATCH(F$4,加速度入力!$B$53:$AV$53,0)),1)</f>
        <v>46.8</v>
      </c>
    </row>
    <row r="147" spans="1:6" x14ac:dyDescent="0.25">
      <c r="A147" s="1">
        <f>加速度入力!B198</f>
        <v>142</v>
      </c>
      <c r="B147" s="1">
        <f>ROUND(INDEX(加速度入力!$B$56:$AV$206,ROWS($A$5:$A147),MATCH(B$4,加速度入力!$B$53:$AV$53,0)),1)</f>
        <v>1.5</v>
      </c>
      <c r="C147" s="1">
        <f>ROUND(INDEX(加速度入力!$B$56:$AV$206,ROWS($A$5:$A147),MATCH(C$4,加速度入力!$B$53:$AV$53,0)),1)</f>
        <v>12</v>
      </c>
      <c r="D147" s="1">
        <f>ROUND(INDEX(加速度入力!$B$56:$AV$206,ROWS($A$5:$A147),MATCH(D$4,加速度入力!$B$53:$AV$53,0)),1)</f>
        <v>38.4</v>
      </c>
      <c r="E147" s="1">
        <f>ROUND(INDEX(加速度入力!$B$56:$AV$206,ROWS($A$5:$A147),MATCH(E$4,加速度入力!$B$53:$AV$53,0)),1)</f>
        <v>64</v>
      </c>
      <c r="F147" s="1">
        <f>ROUND(INDEX(加速度入力!$B$56:$AV$206,ROWS($A$5:$A147),MATCH(F$4,加速度入力!$B$53:$AV$53,0)),1)</f>
        <v>46.5</v>
      </c>
    </row>
    <row r="148" spans="1:6" x14ac:dyDescent="0.25">
      <c r="A148" s="1">
        <f>加速度入力!B199</f>
        <v>143</v>
      </c>
      <c r="B148" s="1">
        <f>ROUND(INDEX(加速度入力!$B$56:$AV$206,ROWS($A$5:$A148),MATCH(B$4,加速度入力!$B$53:$AV$53,0)),1)</f>
        <v>1.5</v>
      </c>
      <c r="C148" s="1">
        <f>ROUND(INDEX(加速度入力!$B$56:$AV$206,ROWS($A$5:$A148),MATCH(C$4,加速度入力!$B$53:$AV$53,0)),1)</f>
        <v>12</v>
      </c>
      <c r="D148" s="1">
        <f>ROUND(INDEX(加速度入力!$B$56:$AV$206,ROWS($A$5:$A148),MATCH(D$4,加速度入力!$B$53:$AV$53,0)),1)</f>
        <v>38.1</v>
      </c>
      <c r="E148" s="1">
        <f>ROUND(INDEX(加速度入力!$B$56:$AV$206,ROWS($A$5:$A148),MATCH(E$4,加速度入力!$B$53:$AV$53,0)),1)</f>
        <v>63.5</v>
      </c>
      <c r="F148" s="1">
        <f>ROUND(INDEX(加速度入力!$B$56:$AV$206,ROWS($A$5:$A148),MATCH(F$4,加速度入力!$B$53:$AV$53,0)),1)</f>
        <v>46.2</v>
      </c>
    </row>
    <row r="149" spans="1:6" x14ac:dyDescent="0.25">
      <c r="A149" s="1">
        <f>加速度入力!B200</f>
        <v>144</v>
      </c>
      <c r="B149" s="1">
        <f>ROUND(INDEX(加速度入力!$B$56:$AV$206,ROWS($A$5:$A149),MATCH(B$4,加速度入力!$B$53:$AV$53,0)),1)</f>
        <v>1.5</v>
      </c>
      <c r="C149" s="1">
        <f>ROUND(INDEX(加速度入力!$B$56:$AV$206,ROWS($A$5:$A149),MATCH(C$4,加速度入力!$B$53:$AV$53,0)),1)</f>
        <v>11.9</v>
      </c>
      <c r="D149" s="1">
        <f>ROUND(INDEX(加速度入力!$B$56:$AV$206,ROWS($A$5:$A149),MATCH(D$4,加速度入力!$B$53:$AV$53,0)),1)</f>
        <v>37.799999999999997</v>
      </c>
      <c r="E149" s="1">
        <f>ROUND(INDEX(加速度入力!$B$56:$AV$206,ROWS($A$5:$A149),MATCH(E$4,加速度入力!$B$53:$AV$53,0)),1)</f>
        <v>63.1</v>
      </c>
      <c r="F149" s="1">
        <f>ROUND(INDEX(加速度入力!$B$56:$AV$206,ROWS($A$5:$A149),MATCH(F$4,加速度入力!$B$53:$AV$53,0)),1)</f>
        <v>45.8</v>
      </c>
    </row>
    <row r="150" spans="1:6" x14ac:dyDescent="0.25">
      <c r="A150" s="1">
        <f>加速度入力!B201</f>
        <v>145</v>
      </c>
      <c r="B150" s="1">
        <f>ROUND(INDEX(加速度入力!$B$56:$AV$206,ROWS($A$5:$A150),MATCH(B$4,加速度入力!$B$53:$AV$53,0)),1)</f>
        <v>1.5</v>
      </c>
      <c r="C150" s="1">
        <f>ROUND(INDEX(加速度入力!$B$56:$AV$206,ROWS($A$5:$A150),MATCH(C$4,加速度入力!$B$53:$AV$53,0)),1)</f>
        <v>11.8</v>
      </c>
      <c r="D150" s="1">
        <f>ROUND(INDEX(加速度入力!$B$56:$AV$206,ROWS($A$5:$A150),MATCH(D$4,加速度入力!$B$53:$AV$53,0)),1)</f>
        <v>37.6</v>
      </c>
      <c r="E150" s="1">
        <f>ROUND(INDEX(加速度入力!$B$56:$AV$206,ROWS($A$5:$A150),MATCH(E$4,加速度入力!$B$53:$AV$53,0)),1)</f>
        <v>62.6</v>
      </c>
      <c r="F150" s="1">
        <f>ROUND(INDEX(加速度入力!$B$56:$AV$206,ROWS($A$5:$A150),MATCH(F$4,加速度入力!$B$53:$AV$53,0)),1)</f>
        <v>45.5</v>
      </c>
    </row>
    <row r="151" spans="1:6" x14ac:dyDescent="0.25">
      <c r="A151" s="1">
        <f>加速度入力!B202</f>
        <v>146</v>
      </c>
      <c r="B151" s="1">
        <f>ROUND(INDEX(加速度入力!$B$56:$AV$206,ROWS($A$5:$A151),MATCH(B$4,加速度入力!$B$53:$AV$53,0)),1)</f>
        <v>1.5</v>
      </c>
      <c r="C151" s="1">
        <f>ROUND(INDEX(加速度入力!$B$56:$AV$206,ROWS($A$5:$A151),MATCH(C$4,加速度入力!$B$53:$AV$53,0)),1)</f>
        <v>11.7</v>
      </c>
      <c r="D151" s="1">
        <f>ROUND(INDEX(加速度入力!$B$56:$AV$206,ROWS($A$5:$A151),MATCH(D$4,加速度入力!$B$53:$AV$53,0)),1)</f>
        <v>37.299999999999997</v>
      </c>
      <c r="E151" s="1">
        <f>ROUND(INDEX(加速度入力!$B$56:$AV$206,ROWS($A$5:$A151),MATCH(E$4,加速度入力!$B$53:$AV$53,0)),1)</f>
        <v>62.2</v>
      </c>
      <c r="F151" s="1">
        <f>ROUND(INDEX(加速度入力!$B$56:$AV$206,ROWS($A$5:$A151),MATCH(F$4,加速度入力!$B$53:$AV$53,0)),1)</f>
        <v>45.2</v>
      </c>
    </row>
    <row r="152" spans="1:6" x14ac:dyDescent="0.25">
      <c r="A152" s="1">
        <f>加速度入力!B203</f>
        <v>147</v>
      </c>
      <c r="B152" s="1">
        <f>ROUND(INDEX(加速度入力!$B$56:$AV$206,ROWS($A$5:$A152),MATCH(B$4,加速度入力!$B$53:$AV$53,0)),1)</f>
        <v>1.5</v>
      </c>
      <c r="C152" s="1">
        <f>ROUND(INDEX(加速度入力!$B$56:$AV$206,ROWS($A$5:$A152),MATCH(C$4,加速度入力!$B$53:$AV$53,0)),1)</f>
        <v>11.6</v>
      </c>
      <c r="D152" s="1">
        <f>ROUND(INDEX(加速度入力!$B$56:$AV$206,ROWS($A$5:$A152),MATCH(D$4,加速度入力!$B$53:$AV$53,0)),1)</f>
        <v>37.1</v>
      </c>
      <c r="E152" s="1">
        <f>ROUND(INDEX(加速度入力!$B$56:$AV$206,ROWS($A$5:$A152),MATCH(E$4,加速度入力!$B$53:$AV$53,0)),1)</f>
        <v>61.8</v>
      </c>
      <c r="F152" s="1">
        <f>ROUND(INDEX(加速度入力!$B$56:$AV$206,ROWS($A$5:$A152),MATCH(F$4,加速度入力!$B$53:$AV$53,0)),1)</f>
        <v>44.9</v>
      </c>
    </row>
    <row r="153" spans="1:6" x14ac:dyDescent="0.25">
      <c r="A153" s="1">
        <f>加速度入力!B204</f>
        <v>148</v>
      </c>
      <c r="B153" s="1">
        <f>ROUND(INDEX(加速度入力!$B$56:$AV$206,ROWS($A$5:$A153),MATCH(B$4,加速度入力!$B$53:$AV$53,0)),1)</f>
        <v>1.5</v>
      </c>
      <c r="C153" s="1">
        <f>ROUND(INDEX(加速度入力!$B$56:$AV$206,ROWS($A$5:$A153),MATCH(C$4,加速度入力!$B$53:$AV$53,0)),1)</f>
        <v>11.6</v>
      </c>
      <c r="D153" s="1">
        <f>ROUND(INDEX(加速度入力!$B$56:$AV$206,ROWS($A$5:$A153),MATCH(D$4,加速度入力!$B$53:$AV$53,0)),1)</f>
        <v>36.799999999999997</v>
      </c>
      <c r="E153" s="1">
        <f>ROUND(INDEX(加速度入力!$B$56:$AV$206,ROWS($A$5:$A153),MATCH(E$4,加速度入力!$B$53:$AV$53,0)),1)</f>
        <v>61.4</v>
      </c>
      <c r="F153" s="1">
        <f>ROUND(INDEX(加速度入力!$B$56:$AV$206,ROWS($A$5:$A153),MATCH(F$4,加速度入力!$B$53:$AV$53,0)),1)</f>
        <v>44.6</v>
      </c>
    </row>
    <row r="154" spans="1:6" x14ac:dyDescent="0.25">
      <c r="A154" s="1">
        <f>加速度入力!B205</f>
        <v>149</v>
      </c>
      <c r="B154" s="1">
        <f>ROUND(INDEX(加速度入力!$B$56:$AV$206,ROWS($A$5:$A154),MATCH(B$4,加速度入力!$B$53:$AV$53,0)),1)</f>
        <v>1.5</v>
      </c>
      <c r="C154" s="1">
        <f>ROUND(INDEX(加速度入力!$B$56:$AV$206,ROWS($A$5:$A154),MATCH(C$4,加速度入力!$B$53:$AV$53,0)),1)</f>
        <v>11.5</v>
      </c>
      <c r="D154" s="1">
        <f>ROUND(INDEX(加速度入力!$B$56:$AV$206,ROWS($A$5:$A154),MATCH(D$4,加速度入力!$B$53:$AV$53,0)),1)</f>
        <v>36.6</v>
      </c>
      <c r="E154" s="1">
        <f>ROUND(INDEX(加速度入力!$B$56:$AV$206,ROWS($A$5:$A154),MATCH(E$4,加速度入力!$B$53:$AV$53,0)),1)</f>
        <v>61</v>
      </c>
      <c r="F154" s="1">
        <f>ROUND(INDEX(加速度入力!$B$56:$AV$206,ROWS($A$5:$A154),MATCH(F$4,加速度入力!$B$53:$AV$53,0)),1)</f>
        <v>44.3</v>
      </c>
    </row>
    <row r="155" spans="1:6" x14ac:dyDescent="0.25">
      <c r="A155" s="1">
        <f>加速度入力!B206</f>
        <v>150</v>
      </c>
      <c r="B155" s="1">
        <f>ROUND(INDEX(加速度入力!$B$56:$AV$206,ROWS($A$5:$A155),MATCH(B$4,加速度入力!$B$53:$AV$53,0)),1)</f>
        <v>1.5</v>
      </c>
      <c r="C155" s="1">
        <f>ROUND(INDEX(加速度入力!$B$56:$AV$206,ROWS($A$5:$A155),MATCH(C$4,加速度入力!$B$53:$AV$53,0)),1)</f>
        <v>11.4</v>
      </c>
      <c r="D155" s="1">
        <f>ROUND(INDEX(加速度入力!$B$56:$AV$206,ROWS($A$5:$A155),MATCH(D$4,加速度入力!$B$53:$AV$53,0)),1)</f>
        <v>36.299999999999997</v>
      </c>
      <c r="E155" s="1">
        <f>ROUND(INDEX(加速度入力!$B$56:$AV$206,ROWS($A$5:$A155),MATCH(E$4,加速度入力!$B$53:$AV$53,0)),1)</f>
        <v>60.6</v>
      </c>
      <c r="F155" s="1">
        <f>ROUND(INDEX(加速度入力!$B$56:$AV$206,ROWS($A$5:$A155),MATCH(F$4,加速度入力!$B$53:$AV$53,0)),1)</f>
        <v>44</v>
      </c>
    </row>
  </sheetData>
  <phoneticPr fontId="1"/>
  <pageMargins left="0.7" right="0.7" top="0.75" bottom="0.75" header="0.3" footer="0.3"/>
  <pageSetup paperSize="8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0000"/>
  </sheetPr>
  <dimension ref="A1:F155"/>
  <sheetViews>
    <sheetView workbookViewId="0">
      <pane ySplit="2" topLeftCell="A42" activePane="bottomLeft" state="frozen"/>
      <selection sqref="A1:A1048576"/>
      <selection pane="bottomLeft" activeCell="B2" sqref="B2"/>
    </sheetView>
  </sheetViews>
  <sheetFormatPr defaultColWidth="9.125" defaultRowHeight="10.199999999999999" x14ac:dyDescent="0.25"/>
  <cols>
    <col min="1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109</v>
      </c>
    </row>
    <row r="3" spans="1:6" x14ac:dyDescent="0.25">
      <c r="A3" s="1" t="s">
        <v>82</v>
      </c>
      <c r="B3" s="1">
        <v>1</v>
      </c>
      <c r="C3" s="1">
        <v>2</v>
      </c>
      <c r="D3" s="1">
        <v>3</v>
      </c>
      <c r="E3" s="1">
        <v>4</v>
      </c>
      <c r="F3" s="1">
        <v>5</v>
      </c>
    </row>
    <row r="4" spans="1:6" x14ac:dyDescent="0.25">
      <c r="A4" s="1" t="s">
        <v>82</v>
      </c>
      <c r="B4" s="1" t="str">
        <f>"p"&amp;B3&amp;$B2</f>
        <v>p1cMax</v>
      </c>
      <c r="C4" s="1" t="str">
        <f t="shared" ref="C4:F4" si="0">"p"&amp;C3&amp;$B2</f>
        <v>p2cMax</v>
      </c>
      <c r="D4" s="1" t="str">
        <f t="shared" si="0"/>
        <v>p3cMax</v>
      </c>
      <c r="E4" s="1" t="str">
        <f t="shared" si="0"/>
        <v>p4cMax</v>
      </c>
      <c r="F4" s="1" t="str">
        <f t="shared" si="0"/>
        <v>p5cMax</v>
      </c>
    </row>
    <row r="5" spans="1:6" x14ac:dyDescent="0.25">
      <c r="A5" s="1">
        <f>加速度入力!B56</f>
        <v>0</v>
      </c>
      <c r="B5" s="1">
        <f>ROUND(INDEX(加速度入力!$B$56:$AV$206,ROWS($A$5:$A5),MATCH(B$4,加速度入力!$B$53:$AV$53,0)),1)</f>
        <v>43.7</v>
      </c>
      <c r="C5" s="1">
        <f>ROUND(INDEX(加速度入力!$B$56:$AV$206,ROWS($A$5:$A5),MATCH(C$4,加速度入力!$B$53:$AV$53,0)),1)</f>
        <v>95</v>
      </c>
      <c r="D5" s="1">
        <f>ROUND(INDEX(加速度入力!$B$56:$AV$206,ROWS($A$5:$A5),MATCH(D$4,加速度入力!$B$53:$AV$53,0)),1)</f>
        <v>143.4</v>
      </c>
      <c r="E5" s="1">
        <f>ROUND(INDEX(加速度入力!$B$56:$AV$206,ROWS($A$5:$A5),MATCH(E$4,加速度入力!$B$53:$AV$53,0)),1)</f>
        <v>189.2</v>
      </c>
      <c r="F5" s="1">
        <f>ROUND(INDEX(加速度入力!$B$56:$AV$206,ROWS($A$5:$A5),MATCH(F$4,加速度入力!$B$53:$AV$53,0)),1)</f>
        <v>143.5</v>
      </c>
    </row>
    <row r="6" spans="1:6" x14ac:dyDescent="0.25">
      <c r="A6" s="1">
        <f>加速度入力!B57</f>
        <v>1</v>
      </c>
      <c r="B6" s="1">
        <f>ROUND(INDEX(加速度入力!$B$56:$AV$206,ROWS($A$5:$A6),MATCH(B$4,加速度入力!$B$53:$AV$53,0)),1)</f>
        <v>43.7</v>
      </c>
      <c r="C6" s="1">
        <f>ROUND(INDEX(加速度入力!$B$56:$AV$206,ROWS($A$5:$A6),MATCH(C$4,加速度入力!$B$53:$AV$53,0)),1)</f>
        <v>95</v>
      </c>
      <c r="D6" s="1">
        <f>ROUND(INDEX(加速度入力!$B$56:$AV$206,ROWS($A$5:$A6),MATCH(D$4,加速度入力!$B$53:$AV$53,0)),1)</f>
        <v>143.4</v>
      </c>
      <c r="E6" s="1">
        <f>ROUND(INDEX(加速度入力!$B$56:$AV$206,ROWS($A$5:$A6),MATCH(E$4,加速度入力!$B$53:$AV$53,0)),1)</f>
        <v>189.2</v>
      </c>
      <c r="F6" s="1">
        <f>ROUND(INDEX(加速度入力!$B$56:$AV$206,ROWS($A$5:$A6),MATCH(F$4,加速度入力!$B$53:$AV$53,0)),1)</f>
        <v>143.5</v>
      </c>
    </row>
    <row r="7" spans="1:6" x14ac:dyDescent="0.25">
      <c r="A7" s="1">
        <f>加速度入力!B58</f>
        <v>2</v>
      </c>
      <c r="B7" s="1">
        <f>ROUND(INDEX(加速度入力!$B$56:$AV$206,ROWS($A$5:$A7),MATCH(B$4,加速度入力!$B$53:$AV$53,0)),1)</f>
        <v>43.7</v>
      </c>
      <c r="C7" s="1">
        <f>ROUND(INDEX(加速度入力!$B$56:$AV$206,ROWS($A$5:$A7),MATCH(C$4,加速度入力!$B$53:$AV$53,0)),1)</f>
        <v>95</v>
      </c>
      <c r="D7" s="1">
        <f>ROUND(INDEX(加速度入力!$B$56:$AV$206,ROWS($A$5:$A7),MATCH(D$4,加速度入力!$B$53:$AV$53,0)),1)</f>
        <v>143.4</v>
      </c>
      <c r="E7" s="1">
        <f>ROUND(INDEX(加速度入力!$B$56:$AV$206,ROWS($A$5:$A7),MATCH(E$4,加速度入力!$B$53:$AV$53,0)),1)</f>
        <v>189.2</v>
      </c>
      <c r="F7" s="1">
        <f>ROUND(INDEX(加速度入力!$B$56:$AV$206,ROWS($A$5:$A7),MATCH(F$4,加速度入力!$B$53:$AV$53,0)),1)</f>
        <v>143.5</v>
      </c>
    </row>
    <row r="8" spans="1:6" x14ac:dyDescent="0.25">
      <c r="A8" s="1">
        <f>加速度入力!B59</f>
        <v>3</v>
      </c>
      <c r="B8" s="1">
        <f>ROUND(INDEX(加速度入力!$B$56:$AV$206,ROWS($A$5:$A8),MATCH(B$4,加速度入力!$B$53:$AV$53,0)),1)</f>
        <v>43.7</v>
      </c>
      <c r="C8" s="1">
        <f>ROUND(INDEX(加速度入力!$B$56:$AV$206,ROWS($A$5:$A8),MATCH(C$4,加速度入力!$B$53:$AV$53,0)),1)</f>
        <v>95</v>
      </c>
      <c r="D8" s="1">
        <f>ROUND(INDEX(加速度入力!$B$56:$AV$206,ROWS($A$5:$A8),MATCH(D$4,加速度入力!$B$53:$AV$53,0)),1)</f>
        <v>143.4</v>
      </c>
      <c r="E8" s="1">
        <f>ROUND(INDEX(加速度入力!$B$56:$AV$206,ROWS($A$5:$A8),MATCH(E$4,加速度入力!$B$53:$AV$53,0)),1)</f>
        <v>189.2</v>
      </c>
      <c r="F8" s="1">
        <f>ROUND(INDEX(加速度入力!$B$56:$AV$206,ROWS($A$5:$A8),MATCH(F$4,加速度入力!$B$53:$AV$53,0)),1)</f>
        <v>143.5</v>
      </c>
    </row>
    <row r="9" spans="1:6" x14ac:dyDescent="0.25">
      <c r="A9" s="1">
        <f>加速度入力!B60</f>
        <v>4</v>
      </c>
      <c r="B9" s="1">
        <f>ROUND(INDEX(加速度入力!$B$56:$AV$206,ROWS($A$5:$A9),MATCH(B$4,加速度入力!$B$53:$AV$53,0)),1)</f>
        <v>43.7</v>
      </c>
      <c r="C9" s="1">
        <f>ROUND(INDEX(加速度入力!$B$56:$AV$206,ROWS($A$5:$A9),MATCH(C$4,加速度入力!$B$53:$AV$53,0)),1)</f>
        <v>95</v>
      </c>
      <c r="D9" s="1">
        <f>ROUND(INDEX(加速度入力!$B$56:$AV$206,ROWS($A$5:$A9),MATCH(D$4,加速度入力!$B$53:$AV$53,0)),1)</f>
        <v>143.4</v>
      </c>
      <c r="E9" s="1">
        <f>ROUND(INDEX(加速度入力!$B$56:$AV$206,ROWS($A$5:$A9),MATCH(E$4,加速度入力!$B$53:$AV$53,0)),1)</f>
        <v>189.2</v>
      </c>
      <c r="F9" s="1">
        <f>ROUND(INDEX(加速度入力!$B$56:$AV$206,ROWS($A$5:$A9),MATCH(F$4,加速度入力!$B$53:$AV$53,0)),1)</f>
        <v>143.5</v>
      </c>
    </row>
    <row r="10" spans="1:6" x14ac:dyDescent="0.25">
      <c r="A10" s="1">
        <f>加速度入力!B61</f>
        <v>5</v>
      </c>
      <c r="B10" s="1">
        <f>ROUND(INDEX(加速度入力!$B$56:$AV$206,ROWS($A$5:$A10),MATCH(B$4,加速度入力!$B$53:$AV$53,0)),1)</f>
        <v>43.7</v>
      </c>
      <c r="C10" s="1">
        <f>ROUND(INDEX(加速度入力!$B$56:$AV$206,ROWS($A$5:$A10),MATCH(C$4,加速度入力!$B$53:$AV$53,0)),1)</f>
        <v>95</v>
      </c>
      <c r="D10" s="1">
        <f>ROUND(INDEX(加速度入力!$B$56:$AV$206,ROWS($A$5:$A10),MATCH(D$4,加速度入力!$B$53:$AV$53,0)),1)</f>
        <v>143.4</v>
      </c>
      <c r="E10" s="1">
        <f>ROUND(INDEX(加速度入力!$B$56:$AV$206,ROWS($A$5:$A10),MATCH(E$4,加速度入力!$B$53:$AV$53,0)),1)</f>
        <v>189.2</v>
      </c>
      <c r="F10" s="1">
        <f>ROUND(INDEX(加速度入力!$B$56:$AV$206,ROWS($A$5:$A10),MATCH(F$4,加速度入力!$B$53:$AV$53,0)),1)</f>
        <v>143.5</v>
      </c>
    </row>
    <row r="11" spans="1:6" x14ac:dyDescent="0.25">
      <c r="A11" s="1">
        <f>加速度入力!B62</f>
        <v>6</v>
      </c>
      <c r="B11" s="1">
        <f>ROUND(INDEX(加速度入力!$B$56:$AV$206,ROWS($A$5:$A11),MATCH(B$4,加速度入力!$B$53:$AV$53,0)),1)</f>
        <v>36.4</v>
      </c>
      <c r="C11" s="1">
        <f>ROUND(INDEX(加速度入力!$B$56:$AV$206,ROWS($A$5:$A11),MATCH(C$4,加速度入力!$B$53:$AV$53,0)),1)</f>
        <v>95</v>
      </c>
      <c r="D11" s="1">
        <f>ROUND(INDEX(加速度入力!$B$56:$AV$206,ROWS($A$5:$A11),MATCH(D$4,加速度入力!$B$53:$AV$53,0)),1)</f>
        <v>143.4</v>
      </c>
      <c r="E11" s="1">
        <f>ROUND(INDEX(加速度入力!$B$56:$AV$206,ROWS($A$5:$A11),MATCH(E$4,加速度入力!$B$53:$AV$53,0)),1)</f>
        <v>189.2</v>
      </c>
      <c r="F11" s="1">
        <f>ROUND(INDEX(加速度入力!$B$56:$AV$206,ROWS($A$5:$A11),MATCH(F$4,加速度入力!$B$53:$AV$53,0)),1)</f>
        <v>143.5</v>
      </c>
    </row>
    <row r="12" spans="1:6" x14ac:dyDescent="0.25">
      <c r="A12" s="1">
        <f>加速度入力!B63</f>
        <v>7</v>
      </c>
      <c r="B12" s="1">
        <f>ROUND(INDEX(加速度入力!$B$56:$AV$206,ROWS($A$5:$A12),MATCH(B$4,加速度入力!$B$53:$AV$53,0)),1)</f>
        <v>31.2</v>
      </c>
      <c r="C12" s="1">
        <f>ROUND(INDEX(加速度入力!$B$56:$AV$206,ROWS($A$5:$A12),MATCH(C$4,加速度入力!$B$53:$AV$53,0)),1)</f>
        <v>95</v>
      </c>
      <c r="D12" s="1">
        <f>ROUND(INDEX(加速度入力!$B$56:$AV$206,ROWS($A$5:$A12),MATCH(D$4,加速度入力!$B$53:$AV$53,0)),1)</f>
        <v>143.4</v>
      </c>
      <c r="E12" s="1">
        <f>ROUND(INDEX(加速度入力!$B$56:$AV$206,ROWS($A$5:$A12),MATCH(E$4,加速度入力!$B$53:$AV$53,0)),1)</f>
        <v>189.2</v>
      </c>
      <c r="F12" s="1">
        <f>ROUND(INDEX(加速度入力!$B$56:$AV$206,ROWS($A$5:$A12),MATCH(F$4,加速度入力!$B$53:$AV$53,0)),1)</f>
        <v>143.5</v>
      </c>
    </row>
    <row r="13" spans="1:6" x14ac:dyDescent="0.25">
      <c r="A13" s="1">
        <f>加速度入力!B64</f>
        <v>8</v>
      </c>
      <c r="B13" s="1">
        <f>ROUND(INDEX(加速度入力!$B$56:$AV$206,ROWS($A$5:$A13),MATCH(B$4,加速度入力!$B$53:$AV$53,0)),1)</f>
        <v>27.3</v>
      </c>
      <c r="C13" s="1">
        <f>ROUND(INDEX(加速度入力!$B$56:$AV$206,ROWS($A$5:$A13),MATCH(C$4,加速度入力!$B$53:$AV$53,0)),1)</f>
        <v>95</v>
      </c>
      <c r="D13" s="1">
        <f>ROUND(INDEX(加速度入力!$B$56:$AV$206,ROWS($A$5:$A13),MATCH(D$4,加速度入力!$B$53:$AV$53,0)),1)</f>
        <v>143.4</v>
      </c>
      <c r="E13" s="1">
        <f>ROUND(INDEX(加速度入力!$B$56:$AV$206,ROWS($A$5:$A13),MATCH(E$4,加速度入力!$B$53:$AV$53,0)),1)</f>
        <v>189.2</v>
      </c>
      <c r="F13" s="1">
        <f>ROUND(INDEX(加速度入力!$B$56:$AV$206,ROWS($A$5:$A13),MATCH(F$4,加速度入力!$B$53:$AV$53,0)),1)</f>
        <v>143.5</v>
      </c>
    </row>
    <row r="14" spans="1:6" x14ac:dyDescent="0.25">
      <c r="A14" s="1">
        <f>加速度入力!B65</f>
        <v>9</v>
      </c>
      <c r="B14" s="1">
        <f>ROUND(INDEX(加速度入力!$B$56:$AV$206,ROWS($A$5:$A14),MATCH(B$4,加速度入力!$B$53:$AV$53,0)),1)</f>
        <v>24.3</v>
      </c>
      <c r="C14" s="1">
        <f>ROUND(INDEX(加速度入力!$B$56:$AV$206,ROWS($A$5:$A14),MATCH(C$4,加速度入力!$B$53:$AV$53,0)),1)</f>
        <v>95</v>
      </c>
      <c r="D14" s="1">
        <f>ROUND(INDEX(加速度入力!$B$56:$AV$206,ROWS($A$5:$A14),MATCH(D$4,加速度入力!$B$53:$AV$53,0)),1)</f>
        <v>143.4</v>
      </c>
      <c r="E14" s="1">
        <f>ROUND(INDEX(加速度入力!$B$56:$AV$206,ROWS($A$5:$A14),MATCH(E$4,加速度入力!$B$53:$AV$53,0)),1)</f>
        <v>189.2</v>
      </c>
      <c r="F14" s="1">
        <f>ROUND(INDEX(加速度入力!$B$56:$AV$206,ROWS($A$5:$A14),MATCH(F$4,加速度入力!$B$53:$AV$53,0)),1)</f>
        <v>143.5</v>
      </c>
    </row>
    <row r="15" spans="1:6" x14ac:dyDescent="0.25">
      <c r="A15" s="1">
        <f>加速度入力!B66</f>
        <v>10</v>
      </c>
      <c r="B15" s="1">
        <f>ROUND(INDEX(加速度入力!$B$56:$AV$206,ROWS($A$5:$A15),MATCH(B$4,加速度入力!$B$53:$AV$53,0)),1)</f>
        <v>21.9</v>
      </c>
      <c r="C15" s="1">
        <f>ROUND(INDEX(加速度入力!$B$56:$AV$206,ROWS($A$5:$A15),MATCH(C$4,加速度入力!$B$53:$AV$53,0)),1)</f>
        <v>95</v>
      </c>
      <c r="D15" s="1">
        <f>ROUND(INDEX(加速度入力!$B$56:$AV$206,ROWS($A$5:$A15),MATCH(D$4,加速度入力!$B$53:$AV$53,0)),1)</f>
        <v>143.4</v>
      </c>
      <c r="E15" s="1">
        <f>ROUND(INDEX(加速度入力!$B$56:$AV$206,ROWS($A$5:$A15),MATCH(E$4,加速度入力!$B$53:$AV$53,0)),1)</f>
        <v>189.2</v>
      </c>
      <c r="F15" s="1">
        <f>ROUND(INDEX(加速度入力!$B$56:$AV$206,ROWS($A$5:$A15),MATCH(F$4,加速度入力!$B$53:$AV$53,0)),1)</f>
        <v>143.5</v>
      </c>
    </row>
    <row r="16" spans="1:6" x14ac:dyDescent="0.25">
      <c r="A16" s="1">
        <f>加速度入力!B67</f>
        <v>11</v>
      </c>
      <c r="B16" s="1">
        <f>ROUND(INDEX(加速度入力!$B$56:$AV$206,ROWS($A$5:$A16),MATCH(B$4,加速度入力!$B$53:$AV$53,0)),1)</f>
        <v>19.899999999999999</v>
      </c>
      <c r="C16" s="1">
        <f>ROUND(INDEX(加速度入力!$B$56:$AV$206,ROWS($A$5:$A16),MATCH(C$4,加速度入力!$B$53:$AV$53,0)),1)</f>
        <v>95</v>
      </c>
      <c r="D16" s="1">
        <f>ROUND(INDEX(加速度入力!$B$56:$AV$206,ROWS($A$5:$A16),MATCH(D$4,加速度入力!$B$53:$AV$53,0)),1)</f>
        <v>143.4</v>
      </c>
      <c r="E16" s="1">
        <f>ROUND(INDEX(加速度入力!$B$56:$AV$206,ROWS($A$5:$A16),MATCH(E$4,加速度入力!$B$53:$AV$53,0)),1)</f>
        <v>189.2</v>
      </c>
      <c r="F16" s="1">
        <f>ROUND(INDEX(加速度入力!$B$56:$AV$206,ROWS($A$5:$A16),MATCH(F$4,加速度入力!$B$53:$AV$53,0)),1)</f>
        <v>143.5</v>
      </c>
    </row>
    <row r="17" spans="1:6" x14ac:dyDescent="0.25">
      <c r="A17" s="1">
        <f>加速度入力!B68</f>
        <v>12</v>
      </c>
      <c r="B17" s="1">
        <f>ROUND(INDEX(加速度入力!$B$56:$AV$206,ROWS($A$5:$A17),MATCH(B$4,加速度入力!$B$53:$AV$53,0)),1)</f>
        <v>18.2</v>
      </c>
      <c r="C17" s="1">
        <f>ROUND(INDEX(加速度入力!$B$56:$AV$206,ROWS($A$5:$A17),MATCH(C$4,加速度入力!$B$53:$AV$53,0)),1)</f>
        <v>95</v>
      </c>
      <c r="D17" s="1">
        <f>ROUND(INDEX(加速度入力!$B$56:$AV$206,ROWS($A$5:$A17),MATCH(D$4,加速度入力!$B$53:$AV$53,0)),1)</f>
        <v>143.4</v>
      </c>
      <c r="E17" s="1">
        <f>ROUND(INDEX(加速度入力!$B$56:$AV$206,ROWS($A$5:$A17),MATCH(E$4,加速度入力!$B$53:$AV$53,0)),1)</f>
        <v>189.2</v>
      </c>
      <c r="F17" s="1">
        <f>ROUND(INDEX(加速度入力!$B$56:$AV$206,ROWS($A$5:$A17),MATCH(F$4,加速度入力!$B$53:$AV$53,0)),1)</f>
        <v>143.5</v>
      </c>
    </row>
    <row r="18" spans="1:6" x14ac:dyDescent="0.25">
      <c r="A18" s="1">
        <f>加速度入力!B69</f>
        <v>13</v>
      </c>
      <c r="B18" s="1">
        <f>ROUND(INDEX(加速度入力!$B$56:$AV$206,ROWS($A$5:$A18),MATCH(B$4,加速度入力!$B$53:$AV$53,0)),1)</f>
        <v>16.8</v>
      </c>
      <c r="C18" s="1">
        <f>ROUND(INDEX(加速度入力!$B$56:$AV$206,ROWS($A$5:$A18),MATCH(C$4,加速度入力!$B$53:$AV$53,0)),1)</f>
        <v>95</v>
      </c>
      <c r="D18" s="1">
        <f>ROUND(INDEX(加速度入力!$B$56:$AV$206,ROWS($A$5:$A18),MATCH(D$4,加速度入力!$B$53:$AV$53,0)),1)</f>
        <v>143.4</v>
      </c>
      <c r="E18" s="1">
        <f>ROUND(INDEX(加速度入力!$B$56:$AV$206,ROWS($A$5:$A18),MATCH(E$4,加速度入力!$B$53:$AV$53,0)),1)</f>
        <v>189.2</v>
      </c>
      <c r="F18" s="1">
        <f>ROUND(INDEX(加速度入力!$B$56:$AV$206,ROWS($A$5:$A18),MATCH(F$4,加速度入力!$B$53:$AV$53,0)),1)</f>
        <v>143.5</v>
      </c>
    </row>
    <row r="19" spans="1:6" x14ac:dyDescent="0.25">
      <c r="A19" s="1">
        <f>加速度入力!B70</f>
        <v>14</v>
      </c>
      <c r="B19" s="1">
        <f>ROUND(INDEX(加速度入力!$B$56:$AV$206,ROWS($A$5:$A19),MATCH(B$4,加速度入力!$B$53:$AV$53,0)),1)</f>
        <v>15.6</v>
      </c>
      <c r="C19" s="1">
        <f>ROUND(INDEX(加速度入力!$B$56:$AV$206,ROWS($A$5:$A19),MATCH(C$4,加速度入力!$B$53:$AV$53,0)),1)</f>
        <v>95</v>
      </c>
      <c r="D19" s="1">
        <f>ROUND(INDEX(加速度入力!$B$56:$AV$206,ROWS($A$5:$A19),MATCH(D$4,加速度入力!$B$53:$AV$53,0)),1)</f>
        <v>143.4</v>
      </c>
      <c r="E19" s="1">
        <f>ROUND(INDEX(加速度入力!$B$56:$AV$206,ROWS($A$5:$A19),MATCH(E$4,加速度入力!$B$53:$AV$53,0)),1)</f>
        <v>189.2</v>
      </c>
      <c r="F19" s="1">
        <f>ROUND(INDEX(加速度入力!$B$56:$AV$206,ROWS($A$5:$A19),MATCH(F$4,加速度入力!$B$53:$AV$53,0)),1)</f>
        <v>143.5</v>
      </c>
    </row>
    <row r="20" spans="1:6" x14ac:dyDescent="0.25">
      <c r="A20" s="1">
        <f>加速度入力!B71</f>
        <v>15</v>
      </c>
      <c r="B20" s="1">
        <f>ROUND(INDEX(加速度入力!$B$56:$AV$206,ROWS($A$5:$A20),MATCH(B$4,加速度入力!$B$53:$AV$53,0)),1)</f>
        <v>14.6</v>
      </c>
      <c r="C20" s="1">
        <f>ROUND(INDEX(加速度入力!$B$56:$AV$206,ROWS($A$5:$A20),MATCH(C$4,加速度入力!$B$53:$AV$53,0)),1)</f>
        <v>95</v>
      </c>
      <c r="D20" s="1">
        <f>ROUND(INDEX(加速度入力!$B$56:$AV$206,ROWS($A$5:$A20),MATCH(D$4,加速度入力!$B$53:$AV$53,0)),1)</f>
        <v>143.4</v>
      </c>
      <c r="E20" s="1">
        <f>ROUND(INDEX(加速度入力!$B$56:$AV$206,ROWS($A$5:$A20),MATCH(E$4,加速度入力!$B$53:$AV$53,0)),1)</f>
        <v>189.2</v>
      </c>
      <c r="F20" s="1">
        <f>ROUND(INDEX(加速度入力!$B$56:$AV$206,ROWS($A$5:$A20),MATCH(F$4,加速度入力!$B$53:$AV$53,0)),1)</f>
        <v>143.5</v>
      </c>
    </row>
    <row r="21" spans="1:6" x14ac:dyDescent="0.25">
      <c r="A21" s="1">
        <f>加速度入力!B72</f>
        <v>16</v>
      </c>
      <c r="B21" s="1">
        <f>ROUND(INDEX(加速度入力!$B$56:$AV$206,ROWS($A$5:$A21),MATCH(B$4,加速度入力!$B$53:$AV$53,0)),1)</f>
        <v>13.7</v>
      </c>
      <c r="C21" s="1">
        <f>ROUND(INDEX(加速度入力!$B$56:$AV$206,ROWS($A$5:$A21),MATCH(C$4,加速度入力!$B$53:$AV$53,0)),1)</f>
        <v>95</v>
      </c>
      <c r="D21" s="1">
        <f>ROUND(INDEX(加速度入力!$B$56:$AV$206,ROWS($A$5:$A21),MATCH(D$4,加速度入力!$B$53:$AV$53,0)),1)</f>
        <v>143.4</v>
      </c>
      <c r="E21" s="1">
        <f>ROUND(INDEX(加速度入力!$B$56:$AV$206,ROWS($A$5:$A21),MATCH(E$4,加速度入力!$B$53:$AV$53,0)),1)</f>
        <v>189.2</v>
      </c>
      <c r="F21" s="1">
        <f>ROUND(INDEX(加速度入力!$B$56:$AV$206,ROWS($A$5:$A21),MATCH(F$4,加速度入力!$B$53:$AV$53,0)),1)</f>
        <v>143.5</v>
      </c>
    </row>
    <row r="22" spans="1:6" x14ac:dyDescent="0.25">
      <c r="A22" s="1">
        <f>加速度入力!B73</f>
        <v>17</v>
      </c>
      <c r="B22" s="1">
        <f>ROUND(INDEX(加速度入力!$B$56:$AV$206,ROWS($A$5:$A22),MATCH(B$4,加速度入力!$B$53:$AV$53,0)),1)</f>
        <v>12.9</v>
      </c>
      <c r="C22" s="1">
        <f>ROUND(INDEX(加速度入力!$B$56:$AV$206,ROWS($A$5:$A22),MATCH(C$4,加速度入力!$B$53:$AV$53,0)),1)</f>
        <v>95</v>
      </c>
      <c r="D22" s="1">
        <f>ROUND(INDEX(加速度入力!$B$56:$AV$206,ROWS($A$5:$A22),MATCH(D$4,加速度入力!$B$53:$AV$53,0)),1)</f>
        <v>143.4</v>
      </c>
      <c r="E22" s="1">
        <f>ROUND(INDEX(加速度入力!$B$56:$AV$206,ROWS($A$5:$A22),MATCH(E$4,加速度入力!$B$53:$AV$53,0)),1)</f>
        <v>189.2</v>
      </c>
      <c r="F22" s="1">
        <f>ROUND(INDEX(加速度入力!$B$56:$AV$206,ROWS($A$5:$A22),MATCH(F$4,加速度入力!$B$53:$AV$53,0)),1)</f>
        <v>143.5</v>
      </c>
    </row>
    <row r="23" spans="1:6" x14ac:dyDescent="0.25">
      <c r="A23" s="1">
        <f>加速度入力!B74</f>
        <v>18</v>
      </c>
      <c r="B23" s="1">
        <f>ROUND(INDEX(加速度入力!$B$56:$AV$206,ROWS($A$5:$A23),MATCH(B$4,加速度入力!$B$53:$AV$53,0)),1)</f>
        <v>12.1</v>
      </c>
      <c r="C23" s="1">
        <f>ROUND(INDEX(加速度入力!$B$56:$AV$206,ROWS($A$5:$A23),MATCH(C$4,加速度入力!$B$53:$AV$53,0)),1)</f>
        <v>95</v>
      </c>
      <c r="D23" s="1">
        <f>ROUND(INDEX(加速度入力!$B$56:$AV$206,ROWS($A$5:$A23),MATCH(D$4,加速度入力!$B$53:$AV$53,0)),1)</f>
        <v>143.4</v>
      </c>
      <c r="E23" s="1">
        <f>ROUND(INDEX(加速度入力!$B$56:$AV$206,ROWS($A$5:$A23),MATCH(E$4,加速度入力!$B$53:$AV$53,0)),1)</f>
        <v>189.2</v>
      </c>
      <c r="F23" s="1">
        <f>ROUND(INDEX(加速度入力!$B$56:$AV$206,ROWS($A$5:$A23),MATCH(F$4,加速度入力!$B$53:$AV$53,0)),1)</f>
        <v>143.5</v>
      </c>
    </row>
    <row r="24" spans="1:6" x14ac:dyDescent="0.25">
      <c r="A24" s="1">
        <f>加速度入力!B75</f>
        <v>19</v>
      </c>
      <c r="B24" s="1">
        <f>ROUND(INDEX(加速度入力!$B$56:$AV$206,ROWS($A$5:$A24),MATCH(B$4,加速度入力!$B$53:$AV$53,0)),1)</f>
        <v>11.5</v>
      </c>
      <c r="C24" s="1">
        <f>ROUND(INDEX(加速度入力!$B$56:$AV$206,ROWS($A$5:$A24),MATCH(C$4,加速度入力!$B$53:$AV$53,0)),1)</f>
        <v>90</v>
      </c>
      <c r="D24" s="1">
        <f>ROUND(INDEX(加速度入力!$B$56:$AV$206,ROWS($A$5:$A24),MATCH(D$4,加速度入力!$B$53:$AV$53,0)),1)</f>
        <v>143.4</v>
      </c>
      <c r="E24" s="1">
        <f>ROUND(INDEX(加速度入力!$B$56:$AV$206,ROWS($A$5:$A24),MATCH(E$4,加速度入力!$B$53:$AV$53,0)),1)</f>
        <v>189.2</v>
      </c>
      <c r="F24" s="1">
        <f>ROUND(INDEX(加速度入力!$B$56:$AV$206,ROWS($A$5:$A24),MATCH(F$4,加速度入力!$B$53:$AV$53,0)),1)</f>
        <v>143.5</v>
      </c>
    </row>
    <row r="25" spans="1:6" x14ac:dyDescent="0.25">
      <c r="A25" s="1">
        <f>加速度入力!B76</f>
        <v>20</v>
      </c>
      <c r="B25" s="1">
        <f>ROUND(INDEX(加速度入力!$B$56:$AV$206,ROWS($A$5:$A25),MATCH(B$4,加速度入力!$B$53:$AV$53,0)),1)</f>
        <v>10.9</v>
      </c>
      <c r="C25" s="1">
        <f>ROUND(INDEX(加速度入力!$B$56:$AV$206,ROWS($A$5:$A25),MATCH(C$4,加速度入力!$B$53:$AV$53,0)),1)</f>
        <v>85.5</v>
      </c>
      <c r="D25" s="1">
        <f>ROUND(INDEX(加速度入力!$B$56:$AV$206,ROWS($A$5:$A25),MATCH(D$4,加速度入力!$B$53:$AV$53,0)),1)</f>
        <v>143.4</v>
      </c>
      <c r="E25" s="1">
        <f>ROUND(INDEX(加速度入力!$B$56:$AV$206,ROWS($A$5:$A25),MATCH(E$4,加速度入力!$B$53:$AV$53,0)),1)</f>
        <v>189.2</v>
      </c>
      <c r="F25" s="1">
        <f>ROUND(INDEX(加速度入力!$B$56:$AV$206,ROWS($A$5:$A25),MATCH(F$4,加速度入力!$B$53:$AV$53,0)),1)</f>
        <v>143.5</v>
      </c>
    </row>
    <row r="26" spans="1:6" x14ac:dyDescent="0.25">
      <c r="A26" s="1">
        <f>加速度入力!B77</f>
        <v>21</v>
      </c>
      <c r="B26" s="1">
        <f>ROUND(INDEX(加速度入力!$B$56:$AV$206,ROWS($A$5:$A26),MATCH(B$4,加速度入力!$B$53:$AV$53,0)),1)</f>
        <v>10.4</v>
      </c>
      <c r="C26" s="1">
        <f>ROUND(INDEX(加速度入力!$B$56:$AV$206,ROWS($A$5:$A26),MATCH(C$4,加速度入力!$B$53:$AV$53,0)),1)</f>
        <v>81.400000000000006</v>
      </c>
      <c r="D26" s="1">
        <f>ROUND(INDEX(加速度入力!$B$56:$AV$206,ROWS($A$5:$A26),MATCH(D$4,加速度入力!$B$53:$AV$53,0)),1)</f>
        <v>143.4</v>
      </c>
      <c r="E26" s="1">
        <f>ROUND(INDEX(加速度入力!$B$56:$AV$206,ROWS($A$5:$A26),MATCH(E$4,加速度入力!$B$53:$AV$53,0)),1)</f>
        <v>189.2</v>
      </c>
      <c r="F26" s="1">
        <f>ROUND(INDEX(加速度入力!$B$56:$AV$206,ROWS($A$5:$A26),MATCH(F$4,加速度入力!$B$53:$AV$53,0)),1)</f>
        <v>143.5</v>
      </c>
    </row>
    <row r="27" spans="1:6" x14ac:dyDescent="0.25">
      <c r="A27" s="1">
        <f>加速度入力!B78</f>
        <v>22</v>
      </c>
      <c r="B27" s="1">
        <f>ROUND(INDEX(加速度入力!$B$56:$AV$206,ROWS($A$5:$A27),MATCH(B$4,加速度入力!$B$53:$AV$53,0)),1)</f>
        <v>9.9</v>
      </c>
      <c r="C27" s="1">
        <f>ROUND(INDEX(加速度入力!$B$56:$AV$206,ROWS($A$5:$A27),MATCH(C$4,加速度入力!$B$53:$AV$53,0)),1)</f>
        <v>77.7</v>
      </c>
      <c r="D27" s="1">
        <f>ROUND(INDEX(加速度入力!$B$56:$AV$206,ROWS($A$5:$A27),MATCH(D$4,加速度入力!$B$53:$AV$53,0)),1)</f>
        <v>143.4</v>
      </c>
      <c r="E27" s="1">
        <f>ROUND(INDEX(加速度入力!$B$56:$AV$206,ROWS($A$5:$A27),MATCH(E$4,加速度入力!$B$53:$AV$53,0)),1)</f>
        <v>189.2</v>
      </c>
      <c r="F27" s="1">
        <f>ROUND(INDEX(加速度入力!$B$56:$AV$206,ROWS($A$5:$A27),MATCH(F$4,加速度入力!$B$53:$AV$53,0)),1)</f>
        <v>143.5</v>
      </c>
    </row>
    <row r="28" spans="1:6" x14ac:dyDescent="0.25">
      <c r="A28" s="1">
        <f>加速度入力!B79</f>
        <v>23</v>
      </c>
      <c r="B28" s="1">
        <f>ROUND(INDEX(加速度入力!$B$56:$AV$206,ROWS($A$5:$A28),MATCH(B$4,加速度入力!$B$53:$AV$53,0)),1)</f>
        <v>9.5</v>
      </c>
      <c r="C28" s="1">
        <f>ROUND(INDEX(加速度入力!$B$56:$AV$206,ROWS($A$5:$A28),MATCH(C$4,加速度入力!$B$53:$AV$53,0)),1)</f>
        <v>74.3</v>
      </c>
      <c r="D28" s="1">
        <f>ROUND(INDEX(加速度入力!$B$56:$AV$206,ROWS($A$5:$A28),MATCH(D$4,加速度入力!$B$53:$AV$53,0)),1)</f>
        <v>143.4</v>
      </c>
      <c r="E28" s="1">
        <f>ROUND(INDEX(加速度入力!$B$56:$AV$206,ROWS($A$5:$A28),MATCH(E$4,加速度入力!$B$53:$AV$53,0)),1)</f>
        <v>189.2</v>
      </c>
      <c r="F28" s="1">
        <f>ROUND(INDEX(加速度入力!$B$56:$AV$206,ROWS($A$5:$A28),MATCH(F$4,加速度入力!$B$53:$AV$53,0)),1)</f>
        <v>143.5</v>
      </c>
    </row>
    <row r="29" spans="1:6" x14ac:dyDescent="0.25">
      <c r="A29" s="1">
        <f>加速度入力!B80</f>
        <v>24</v>
      </c>
      <c r="B29" s="1">
        <f>ROUND(INDEX(加速度入力!$B$56:$AV$206,ROWS($A$5:$A29),MATCH(B$4,加速度入力!$B$53:$AV$53,0)),1)</f>
        <v>9.1</v>
      </c>
      <c r="C29" s="1">
        <f>ROUND(INDEX(加速度入力!$B$56:$AV$206,ROWS($A$5:$A29),MATCH(C$4,加速度入力!$B$53:$AV$53,0)),1)</f>
        <v>71.2</v>
      </c>
      <c r="D29" s="1">
        <f>ROUND(INDEX(加速度入力!$B$56:$AV$206,ROWS($A$5:$A29),MATCH(D$4,加速度入力!$B$53:$AV$53,0)),1)</f>
        <v>143.4</v>
      </c>
      <c r="E29" s="1">
        <f>ROUND(INDEX(加速度入力!$B$56:$AV$206,ROWS($A$5:$A29),MATCH(E$4,加速度入力!$B$53:$AV$53,0)),1)</f>
        <v>189.2</v>
      </c>
      <c r="F29" s="1">
        <f>ROUND(INDEX(加速度入力!$B$56:$AV$206,ROWS($A$5:$A29),MATCH(F$4,加速度入力!$B$53:$AV$53,0)),1)</f>
        <v>143.5</v>
      </c>
    </row>
    <row r="30" spans="1:6" x14ac:dyDescent="0.25">
      <c r="A30" s="1">
        <f>加速度入力!B81</f>
        <v>25</v>
      </c>
      <c r="B30" s="1">
        <f>ROUND(INDEX(加速度入力!$B$56:$AV$206,ROWS($A$5:$A30),MATCH(B$4,加速度入力!$B$53:$AV$53,0)),1)</f>
        <v>8.6999999999999993</v>
      </c>
      <c r="C30" s="1">
        <f>ROUND(INDEX(加速度入力!$B$56:$AV$206,ROWS($A$5:$A30),MATCH(C$4,加速度入力!$B$53:$AV$53,0)),1)</f>
        <v>68.400000000000006</v>
      </c>
      <c r="D30" s="1">
        <f>ROUND(INDEX(加速度入力!$B$56:$AV$206,ROWS($A$5:$A30),MATCH(D$4,加速度入力!$B$53:$AV$53,0)),1)</f>
        <v>143.4</v>
      </c>
      <c r="E30" s="1">
        <f>ROUND(INDEX(加速度入力!$B$56:$AV$206,ROWS($A$5:$A30),MATCH(E$4,加速度入力!$B$53:$AV$53,0)),1)</f>
        <v>189.2</v>
      </c>
      <c r="F30" s="1">
        <f>ROUND(INDEX(加速度入力!$B$56:$AV$206,ROWS($A$5:$A30),MATCH(F$4,加速度入力!$B$53:$AV$53,0)),1)</f>
        <v>143.5</v>
      </c>
    </row>
    <row r="31" spans="1:6" x14ac:dyDescent="0.25">
      <c r="A31" s="1">
        <f>加速度入力!B82</f>
        <v>26</v>
      </c>
      <c r="B31" s="1">
        <f>ROUND(INDEX(加速度入力!$B$56:$AV$206,ROWS($A$5:$A31),MATCH(B$4,加速度入力!$B$53:$AV$53,0)),1)</f>
        <v>8.4</v>
      </c>
      <c r="C31" s="1">
        <f>ROUND(INDEX(加速度入力!$B$56:$AV$206,ROWS($A$5:$A31),MATCH(C$4,加速度入力!$B$53:$AV$53,0)),1)</f>
        <v>65.8</v>
      </c>
      <c r="D31" s="1">
        <f>ROUND(INDEX(加速度入力!$B$56:$AV$206,ROWS($A$5:$A31),MATCH(D$4,加速度入力!$B$53:$AV$53,0)),1)</f>
        <v>143.4</v>
      </c>
      <c r="E31" s="1">
        <f>ROUND(INDEX(加速度入力!$B$56:$AV$206,ROWS($A$5:$A31),MATCH(E$4,加速度入力!$B$53:$AV$53,0)),1)</f>
        <v>189.2</v>
      </c>
      <c r="F31" s="1">
        <f>ROUND(INDEX(加速度入力!$B$56:$AV$206,ROWS($A$5:$A31),MATCH(F$4,加速度入力!$B$53:$AV$53,0)),1)</f>
        <v>143.5</v>
      </c>
    </row>
    <row r="32" spans="1:6" x14ac:dyDescent="0.25">
      <c r="A32" s="1">
        <f>加速度入力!B83</f>
        <v>27</v>
      </c>
      <c r="B32" s="1">
        <f>ROUND(INDEX(加速度入力!$B$56:$AV$206,ROWS($A$5:$A32),MATCH(B$4,加速度入力!$B$53:$AV$53,0)),1)</f>
        <v>8.1</v>
      </c>
      <c r="C32" s="1">
        <f>ROUND(INDEX(加速度入力!$B$56:$AV$206,ROWS($A$5:$A32),MATCH(C$4,加速度入力!$B$53:$AV$53,0)),1)</f>
        <v>63.3</v>
      </c>
      <c r="D32" s="1">
        <f>ROUND(INDEX(加速度入力!$B$56:$AV$206,ROWS($A$5:$A32),MATCH(D$4,加速度入力!$B$53:$AV$53,0)),1)</f>
        <v>143.4</v>
      </c>
      <c r="E32" s="1">
        <f>ROUND(INDEX(加速度入力!$B$56:$AV$206,ROWS($A$5:$A32),MATCH(E$4,加速度入力!$B$53:$AV$53,0)),1)</f>
        <v>189.2</v>
      </c>
      <c r="F32" s="1">
        <f>ROUND(INDEX(加速度入力!$B$56:$AV$206,ROWS($A$5:$A32),MATCH(F$4,加速度入力!$B$53:$AV$53,0)),1)</f>
        <v>143.5</v>
      </c>
    </row>
    <row r="33" spans="1:6" x14ac:dyDescent="0.25">
      <c r="A33" s="1">
        <f>加速度入力!B84</f>
        <v>28</v>
      </c>
      <c r="B33" s="1">
        <f>ROUND(INDEX(加速度入力!$B$56:$AV$206,ROWS($A$5:$A33),MATCH(B$4,加速度入力!$B$53:$AV$53,0)),1)</f>
        <v>7.8</v>
      </c>
      <c r="C33" s="1">
        <f>ROUND(INDEX(加速度入力!$B$56:$AV$206,ROWS($A$5:$A33),MATCH(C$4,加速度入力!$B$53:$AV$53,0)),1)</f>
        <v>61.1</v>
      </c>
      <c r="D33" s="1">
        <f>ROUND(INDEX(加速度入力!$B$56:$AV$206,ROWS($A$5:$A33),MATCH(D$4,加速度入力!$B$53:$AV$53,0)),1)</f>
        <v>143.4</v>
      </c>
      <c r="E33" s="1">
        <f>ROUND(INDEX(加速度入力!$B$56:$AV$206,ROWS($A$5:$A33),MATCH(E$4,加速度入力!$B$53:$AV$53,0)),1)</f>
        <v>189.2</v>
      </c>
      <c r="F33" s="1">
        <f>ROUND(INDEX(加速度入力!$B$56:$AV$206,ROWS($A$5:$A33),MATCH(F$4,加速度入力!$B$53:$AV$53,0)),1)</f>
        <v>143.5</v>
      </c>
    </row>
    <row r="34" spans="1:6" x14ac:dyDescent="0.25">
      <c r="A34" s="1">
        <f>加速度入力!B85</f>
        <v>29</v>
      </c>
      <c r="B34" s="1">
        <f>ROUND(INDEX(加速度入力!$B$56:$AV$206,ROWS($A$5:$A34),MATCH(B$4,加速度入力!$B$53:$AV$53,0)),1)</f>
        <v>7.5</v>
      </c>
      <c r="C34" s="1">
        <f>ROUND(INDEX(加速度入力!$B$56:$AV$206,ROWS($A$5:$A34),MATCH(C$4,加速度入力!$B$53:$AV$53,0)),1)</f>
        <v>59</v>
      </c>
      <c r="D34" s="1">
        <f>ROUND(INDEX(加速度入力!$B$56:$AV$206,ROWS($A$5:$A34),MATCH(D$4,加速度入力!$B$53:$AV$53,0)),1)</f>
        <v>143.4</v>
      </c>
      <c r="E34" s="1">
        <f>ROUND(INDEX(加速度入力!$B$56:$AV$206,ROWS($A$5:$A34),MATCH(E$4,加速度入力!$B$53:$AV$53,0)),1)</f>
        <v>189.2</v>
      </c>
      <c r="F34" s="1">
        <f>ROUND(INDEX(加速度入力!$B$56:$AV$206,ROWS($A$5:$A34),MATCH(F$4,加速度入力!$B$53:$AV$53,0)),1)</f>
        <v>143.5</v>
      </c>
    </row>
    <row r="35" spans="1:6" x14ac:dyDescent="0.25">
      <c r="A35" s="1">
        <f>加速度入力!B86</f>
        <v>30</v>
      </c>
      <c r="B35" s="1">
        <f>ROUND(INDEX(加速度入力!$B$56:$AV$206,ROWS($A$5:$A35),MATCH(B$4,加速度入力!$B$53:$AV$53,0)),1)</f>
        <v>7.3</v>
      </c>
      <c r="C35" s="1">
        <f>ROUND(INDEX(加速度入力!$B$56:$AV$206,ROWS($A$5:$A35),MATCH(C$4,加速度入力!$B$53:$AV$53,0)),1)</f>
        <v>57</v>
      </c>
      <c r="D35" s="1">
        <f>ROUND(INDEX(加速度入力!$B$56:$AV$206,ROWS($A$5:$A35),MATCH(D$4,加速度入力!$B$53:$AV$53,0)),1)</f>
        <v>143.4</v>
      </c>
      <c r="E35" s="1">
        <f>ROUND(INDEX(加速度入力!$B$56:$AV$206,ROWS($A$5:$A35),MATCH(E$4,加速度入力!$B$53:$AV$53,0)),1)</f>
        <v>189.2</v>
      </c>
      <c r="F35" s="1">
        <f>ROUND(INDEX(加速度入力!$B$56:$AV$206,ROWS($A$5:$A35),MATCH(F$4,加速度入力!$B$53:$AV$53,0)),1)</f>
        <v>143.5</v>
      </c>
    </row>
    <row r="36" spans="1:6" x14ac:dyDescent="0.25">
      <c r="A36" s="1">
        <f>加速度入力!B87</f>
        <v>31</v>
      </c>
      <c r="B36" s="1">
        <f>ROUND(INDEX(加速度入力!$B$56:$AV$206,ROWS($A$5:$A36),MATCH(B$4,加速度入力!$B$53:$AV$53,0)),1)</f>
        <v>7</v>
      </c>
      <c r="C36" s="1">
        <f>ROUND(INDEX(加速度入力!$B$56:$AV$206,ROWS($A$5:$A36),MATCH(C$4,加速度入力!$B$53:$AV$53,0)),1)</f>
        <v>55.2</v>
      </c>
      <c r="D36" s="1">
        <f>ROUND(INDEX(加速度入力!$B$56:$AV$206,ROWS($A$5:$A36),MATCH(D$4,加速度入力!$B$53:$AV$53,0)),1)</f>
        <v>143.4</v>
      </c>
      <c r="E36" s="1">
        <f>ROUND(INDEX(加速度入力!$B$56:$AV$206,ROWS($A$5:$A36),MATCH(E$4,加速度入力!$B$53:$AV$53,0)),1)</f>
        <v>189.2</v>
      </c>
      <c r="F36" s="1">
        <f>ROUND(INDEX(加速度入力!$B$56:$AV$206,ROWS($A$5:$A36),MATCH(F$4,加速度入力!$B$53:$AV$53,0)),1)</f>
        <v>143.5</v>
      </c>
    </row>
    <row r="37" spans="1:6" x14ac:dyDescent="0.25">
      <c r="A37" s="1">
        <f>加速度入力!B88</f>
        <v>32</v>
      </c>
      <c r="B37" s="1">
        <f>ROUND(INDEX(加速度入力!$B$56:$AV$206,ROWS($A$5:$A37),MATCH(B$4,加速度入力!$B$53:$AV$53,0)),1)</f>
        <v>6.8</v>
      </c>
      <c r="C37" s="1">
        <f>ROUND(INDEX(加速度入力!$B$56:$AV$206,ROWS($A$5:$A37),MATCH(C$4,加速度入力!$B$53:$AV$53,0)),1)</f>
        <v>53.4</v>
      </c>
      <c r="D37" s="1">
        <f>ROUND(INDEX(加速度入力!$B$56:$AV$206,ROWS($A$5:$A37),MATCH(D$4,加速度入力!$B$53:$AV$53,0)),1)</f>
        <v>143.4</v>
      </c>
      <c r="E37" s="1">
        <f>ROUND(INDEX(加速度入力!$B$56:$AV$206,ROWS($A$5:$A37),MATCH(E$4,加速度入力!$B$53:$AV$53,0)),1)</f>
        <v>189.2</v>
      </c>
      <c r="F37" s="1">
        <f>ROUND(INDEX(加速度入力!$B$56:$AV$206,ROWS($A$5:$A37),MATCH(F$4,加速度入力!$B$53:$AV$53,0)),1)</f>
        <v>143.5</v>
      </c>
    </row>
    <row r="38" spans="1:6" x14ac:dyDescent="0.25">
      <c r="A38" s="1">
        <f>加速度入力!B89</f>
        <v>33</v>
      </c>
      <c r="B38" s="1">
        <f>ROUND(INDEX(加速度入力!$B$56:$AV$206,ROWS($A$5:$A38),MATCH(B$4,加速度入力!$B$53:$AV$53,0)),1)</f>
        <v>6.6</v>
      </c>
      <c r="C38" s="1">
        <f>ROUND(INDEX(加速度入力!$B$56:$AV$206,ROWS($A$5:$A38),MATCH(C$4,加速度入力!$B$53:$AV$53,0)),1)</f>
        <v>51.8</v>
      </c>
      <c r="D38" s="1">
        <f>ROUND(INDEX(加速度入力!$B$56:$AV$206,ROWS($A$5:$A38),MATCH(D$4,加速度入力!$B$53:$AV$53,0)),1)</f>
        <v>143.4</v>
      </c>
      <c r="E38" s="1">
        <f>ROUND(INDEX(加速度入力!$B$56:$AV$206,ROWS($A$5:$A38),MATCH(E$4,加速度入力!$B$53:$AV$53,0)),1)</f>
        <v>189.2</v>
      </c>
      <c r="F38" s="1">
        <f>ROUND(INDEX(加速度入力!$B$56:$AV$206,ROWS($A$5:$A38),MATCH(F$4,加速度入力!$B$53:$AV$53,0)),1)</f>
        <v>143.5</v>
      </c>
    </row>
    <row r="39" spans="1:6" x14ac:dyDescent="0.25">
      <c r="A39" s="1">
        <f>加速度入力!B90</f>
        <v>34</v>
      </c>
      <c r="B39" s="1">
        <f>ROUND(INDEX(加速度入力!$B$56:$AV$206,ROWS($A$5:$A39),MATCH(B$4,加速度入力!$B$53:$AV$53,0)),1)</f>
        <v>6.4</v>
      </c>
      <c r="C39" s="1">
        <f>ROUND(INDEX(加速度入力!$B$56:$AV$206,ROWS($A$5:$A39),MATCH(C$4,加速度入力!$B$53:$AV$53,0)),1)</f>
        <v>50.3</v>
      </c>
      <c r="D39" s="1">
        <f>ROUND(INDEX(加速度入力!$B$56:$AV$206,ROWS($A$5:$A39),MATCH(D$4,加速度入力!$B$53:$AV$53,0)),1)</f>
        <v>143.4</v>
      </c>
      <c r="E39" s="1">
        <f>ROUND(INDEX(加速度入力!$B$56:$AV$206,ROWS($A$5:$A39),MATCH(E$4,加速度入力!$B$53:$AV$53,0)),1)</f>
        <v>189.2</v>
      </c>
      <c r="F39" s="1">
        <f>ROUND(INDEX(加速度入力!$B$56:$AV$206,ROWS($A$5:$A39),MATCH(F$4,加速度入力!$B$53:$AV$53,0)),1)</f>
        <v>143.5</v>
      </c>
    </row>
    <row r="40" spans="1:6" x14ac:dyDescent="0.25">
      <c r="A40" s="1">
        <f>加速度入力!B91</f>
        <v>35</v>
      </c>
      <c r="B40" s="1">
        <f>ROUND(INDEX(加速度入力!$B$56:$AV$206,ROWS($A$5:$A40),MATCH(B$4,加速度入力!$B$53:$AV$53,0)),1)</f>
        <v>6.2</v>
      </c>
      <c r="C40" s="1">
        <f>ROUND(INDEX(加速度入力!$B$56:$AV$206,ROWS($A$5:$A40),MATCH(C$4,加速度入力!$B$53:$AV$53,0)),1)</f>
        <v>48.9</v>
      </c>
      <c r="D40" s="1">
        <f>ROUND(INDEX(加速度入力!$B$56:$AV$206,ROWS($A$5:$A40),MATCH(D$4,加速度入力!$B$53:$AV$53,0)),1)</f>
        <v>143.4</v>
      </c>
      <c r="E40" s="1">
        <f>ROUND(INDEX(加速度入力!$B$56:$AV$206,ROWS($A$5:$A40),MATCH(E$4,加速度入力!$B$53:$AV$53,0)),1)</f>
        <v>189.2</v>
      </c>
      <c r="F40" s="1">
        <f>ROUND(INDEX(加速度入力!$B$56:$AV$206,ROWS($A$5:$A40),MATCH(F$4,加速度入力!$B$53:$AV$53,0)),1)</f>
        <v>143.5</v>
      </c>
    </row>
    <row r="41" spans="1:6" x14ac:dyDescent="0.25">
      <c r="A41" s="1">
        <f>加速度入力!B92</f>
        <v>36</v>
      </c>
      <c r="B41" s="1">
        <f>ROUND(INDEX(加速度入力!$B$56:$AV$206,ROWS($A$5:$A41),MATCH(B$4,加速度入力!$B$53:$AV$53,0)),1)</f>
        <v>6.1</v>
      </c>
      <c r="C41" s="1">
        <f>ROUND(INDEX(加速度入力!$B$56:$AV$206,ROWS($A$5:$A41),MATCH(C$4,加速度入力!$B$53:$AV$53,0)),1)</f>
        <v>47.5</v>
      </c>
      <c r="D41" s="1">
        <f>ROUND(INDEX(加速度入力!$B$56:$AV$206,ROWS($A$5:$A41),MATCH(D$4,加速度入力!$B$53:$AV$53,0)),1)</f>
        <v>143.4</v>
      </c>
      <c r="E41" s="1">
        <f>ROUND(INDEX(加速度入力!$B$56:$AV$206,ROWS($A$5:$A41),MATCH(E$4,加速度入力!$B$53:$AV$53,0)),1)</f>
        <v>189.2</v>
      </c>
      <c r="F41" s="1">
        <f>ROUND(INDEX(加速度入力!$B$56:$AV$206,ROWS($A$5:$A41),MATCH(F$4,加速度入力!$B$53:$AV$53,0)),1)</f>
        <v>143.5</v>
      </c>
    </row>
    <row r="42" spans="1:6" x14ac:dyDescent="0.25">
      <c r="A42" s="1">
        <f>加速度入力!B93</f>
        <v>37</v>
      </c>
      <c r="B42" s="1">
        <f>ROUND(INDEX(加速度入力!$B$56:$AV$206,ROWS($A$5:$A42),MATCH(B$4,加速度入力!$B$53:$AV$53,0)),1)</f>
        <v>5.9</v>
      </c>
      <c r="C42" s="1">
        <f>ROUND(INDEX(加速度入力!$B$56:$AV$206,ROWS($A$5:$A42),MATCH(C$4,加速度入力!$B$53:$AV$53,0)),1)</f>
        <v>46.2</v>
      </c>
      <c r="D42" s="1">
        <f>ROUND(INDEX(加速度入力!$B$56:$AV$206,ROWS($A$5:$A42),MATCH(D$4,加速度入力!$B$53:$AV$53,0)),1)</f>
        <v>143.4</v>
      </c>
      <c r="E42" s="1">
        <f>ROUND(INDEX(加速度入力!$B$56:$AV$206,ROWS($A$5:$A42),MATCH(E$4,加速度入力!$B$53:$AV$53,0)),1)</f>
        <v>189.2</v>
      </c>
      <c r="F42" s="1">
        <f>ROUND(INDEX(加速度入力!$B$56:$AV$206,ROWS($A$5:$A42),MATCH(F$4,加速度入力!$B$53:$AV$53,0)),1)</f>
        <v>143.5</v>
      </c>
    </row>
    <row r="43" spans="1:6" x14ac:dyDescent="0.25">
      <c r="A43" s="1">
        <f>加速度入力!B94</f>
        <v>38</v>
      </c>
      <c r="B43" s="1">
        <f>ROUND(INDEX(加速度入力!$B$56:$AV$206,ROWS($A$5:$A43),MATCH(B$4,加速度入力!$B$53:$AV$53,0)),1)</f>
        <v>5.8</v>
      </c>
      <c r="C43" s="1">
        <f>ROUND(INDEX(加速度入力!$B$56:$AV$206,ROWS($A$5:$A43),MATCH(C$4,加速度入力!$B$53:$AV$53,0)),1)</f>
        <v>45</v>
      </c>
      <c r="D43" s="1">
        <f>ROUND(INDEX(加速度入力!$B$56:$AV$206,ROWS($A$5:$A43),MATCH(D$4,加速度入力!$B$53:$AV$53,0)),1)</f>
        <v>143.4</v>
      </c>
      <c r="E43" s="1">
        <f>ROUND(INDEX(加速度入力!$B$56:$AV$206,ROWS($A$5:$A43),MATCH(E$4,加速度入力!$B$53:$AV$53,0)),1)</f>
        <v>189.2</v>
      </c>
      <c r="F43" s="1">
        <f>ROUND(INDEX(加速度入力!$B$56:$AV$206,ROWS($A$5:$A43),MATCH(F$4,加速度入力!$B$53:$AV$53,0)),1)</f>
        <v>143.5</v>
      </c>
    </row>
    <row r="44" spans="1:6" x14ac:dyDescent="0.25">
      <c r="A44" s="1">
        <f>加速度入力!B95</f>
        <v>39</v>
      </c>
      <c r="B44" s="1">
        <f>ROUND(INDEX(加速度入力!$B$56:$AV$206,ROWS($A$5:$A44),MATCH(B$4,加速度入力!$B$53:$AV$53,0)),1)</f>
        <v>5.6</v>
      </c>
      <c r="C44" s="1">
        <f>ROUND(INDEX(加速度入力!$B$56:$AV$206,ROWS($A$5:$A44),MATCH(C$4,加速度入力!$B$53:$AV$53,0)),1)</f>
        <v>43.8</v>
      </c>
      <c r="D44" s="1">
        <f>ROUND(INDEX(加速度入力!$B$56:$AV$206,ROWS($A$5:$A44),MATCH(D$4,加速度入力!$B$53:$AV$53,0)),1)</f>
        <v>139.69999999999999</v>
      </c>
      <c r="E44" s="1">
        <f>ROUND(INDEX(加速度入力!$B$56:$AV$206,ROWS($A$5:$A44),MATCH(E$4,加速度入力!$B$53:$AV$53,0)),1)</f>
        <v>189.2</v>
      </c>
      <c r="F44" s="1">
        <f>ROUND(INDEX(加速度入力!$B$56:$AV$206,ROWS($A$5:$A44),MATCH(F$4,加速度入力!$B$53:$AV$53,0)),1)</f>
        <v>143.5</v>
      </c>
    </row>
    <row r="45" spans="1:6" x14ac:dyDescent="0.25">
      <c r="A45" s="1">
        <f>加速度入力!B96</f>
        <v>40</v>
      </c>
      <c r="B45" s="1">
        <f>ROUND(INDEX(加速度入力!$B$56:$AV$206,ROWS($A$5:$A45),MATCH(B$4,加速度入力!$B$53:$AV$53,0)),1)</f>
        <v>5.5</v>
      </c>
      <c r="C45" s="1">
        <f>ROUND(INDEX(加速度入力!$B$56:$AV$206,ROWS($A$5:$A45),MATCH(C$4,加速度入力!$B$53:$AV$53,0)),1)</f>
        <v>42.7</v>
      </c>
      <c r="D45" s="1">
        <f>ROUND(INDEX(加速度入力!$B$56:$AV$206,ROWS($A$5:$A45),MATCH(D$4,加速度入力!$B$53:$AV$53,0)),1)</f>
        <v>136.19999999999999</v>
      </c>
      <c r="E45" s="1">
        <f>ROUND(INDEX(加速度入力!$B$56:$AV$206,ROWS($A$5:$A45),MATCH(E$4,加速度入力!$B$53:$AV$53,0)),1)</f>
        <v>189.2</v>
      </c>
      <c r="F45" s="1">
        <f>ROUND(INDEX(加速度入力!$B$56:$AV$206,ROWS($A$5:$A45),MATCH(F$4,加速度入力!$B$53:$AV$53,0)),1)</f>
        <v>143.5</v>
      </c>
    </row>
    <row r="46" spans="1:6" x14ac:dyDescent="0.25">
      <c r="A46" s="1">
        <f>加速度入力!B97</f>
        <v>41</v>
      </c>
      <c r="B46" s="1">
        <f>ROUND(INDEX(加速度入力!$B$56:$AV$206,ROWS($A$5:$A46),MATCH(B$4,加速度入力!$B$53:$AV$53,0)),1)</f>
        <v>5.3</v>
      </c>
      <c r="C46" s="1">
        <f>ROUND(INDEX(加速度入力!$B$56:$AV$206,ROWS($A$5:$A46),MATCH(C$4,加速度入力!$B$53:$AV$53,0)),1)</f>
        <v>41.7</v>
      </c>
      <c r="D46" s="1">
        <f>ROUND(INDEX(加速度入力!$B$56:$AV$206,ROWS($A$5:$A46),MATCH(D$4,加速度入力!$B$53:$AV$53,0)),1)</f>
        <v>132.9</v>
      </c>
      <c r="E46" s="1">
        <f>ROUND(INDEX(加速度入力!$B$56:$AV$206,ROWS($A$5:$A46),MATCH(E$4,加速度入力!$B$53:$AV$53,0)),1)</f>
        <v>189.2</v>
      </c>
      <c r="F46" s="1">
        <f>ROUND(INDEX(加速度入力!$B$56:$AV$206,ROWS($A$5:$A46),MATCH(F$4,加速度入力!$B$53:$AV$53,0)),1)</f>
        <v>143.5</v>
      </c>
    </row>
    <row r="47" spans="1:6" x14ac:dyDescent="0.25">
      <c r="A47" s="1">
        <f>加速度入力!B98</f>
        <v>42</v>
      </c>
      <c r="B47" s="1">
        <f>ROUND(INDEX(加速度入力!$B$56:$AV$206,ROWS($A$5:$A47),MATCH(B$4,加速度入力!$B$53:$AV$53,0)),1)</f>
        <v>5.2</v>
      </c>
      <c r="C47" s="1">
        <f>ROUND(INDEX(加速度入力!$B$56:$AV$206,ROWS($A$5:$A47),MATCH(C$4,加速度入力!$B$53:$AV$53,0)),1)</f>
        <v>40.700000000000003</v>
      </c>
      <c r="D47" s="1">
        <f>ROUND(INDEX(加速度入力!$B$56:$AV$206,ROWS($A$5:$A47),MATCH(D$4,加速度入力!$B$53:$AV$53,0)),1)</f>
        <v>129.69999999999999</v>
      </c>
      <c r="E47" s="1">
        <f>ROUND(INDEX(加速度入力!$B$56:$AV$206,ROWS($A$5:$A47),MATCH(E$4,加速度入力!$B$53:$AV$53,0)),1)</f>
        <v>189.2</v>
      </c>
      <c r="F47" s="1">
        <f>ROUND(INDEX(加速度入力!$B$56:$AV$206,ROWS($A$5:$A47),MATCH(F$4,加速度入力!$B$53:$AV$53,0)),1)</f>
        <v>143.5</v>
      </c>
    </row>
    <row r="48" spans="1:6" x14ac:dyDescent="0.25">
      <c r="A48" s="1">
        <f>加速度入力!B99</f>
        <v>43</v>
      </c>
      <c r="B48" s="1">
        <f>ROUND(INDEX(加速度入力!$B$56:$AV$206,ROWS($A$5:$A48),MATCH(B$4,加速度入力!$B$53:$AV$53,0)),1)</f>
        <v>5.0999999999999996</v>
      </c>
      <c r="C48" s="1">
        <f>ROUND(INDEX(加速度入力!$B$56:$AV$206,ROWS($A$5:$A48),MATCH(C$4,加速度入力!$B$53:$AV$53,0)),1)</f>
        <v>39.799999999999997</v>
      </c>
      <c r="D48" s="1">
        <f>ROUND(INDEX(加速度入力!$B$56:$AV$206,ROWS($A$5:$A48),MATCH(D$4,加速度入力!$B$53:$AV$53,0)),1)</f>
        <v>126.7</v>
      </c>
      <c r="E48" s="1">
        <f>ROUND(INDEX(加速度入力!$B$56:$AV$206,ROWS($A$5:$A48),MATCH(E$4,加速度入力!$B$53:$AV$53,0)),1)</f>
        <v>189.2</v>
      </c>
      <c r="F48" s="1">
        <f>ROUND(INDEX(加速度入力!$B$56:$AV$206,ROWS($A$5:$A48),MATCH(F$4,加速度入力!$B$53:$AV$53,0)),1)</f>
        <v>143.5</v>
      </c>
    </row>
    <row r="49" spans="1:6" x14ac:dyDescent="0.25">
      <c r="A49" s="1">
        <f>加速度入力!B100</f>
        <v>44</v>
      </c>
      <c r="B49" s="1">
        <f>ROUND(INDEX(加速度入力!$B$56:$AV$206,ROWS($A$5:$A49),MATCH(B$4,加速度入力!$B$53:$AV$53,0)),1)</f>
        <v>5</v>
      </c>
      <c r="C49" s="1">
        <f>ROUND(INDEX(加速度入力!$B$56:$AV$206,ROWS($A$5:$A49),MATCH(C$4,加速度入力!$B$53:$AV$53,0)),1)</f>
        <v>38.9</v>
      </c>
      <c r="D49" s="1">
        <f>ROUND(INDEX(加速度入力!$B$56:$AV$206,ROWS($A$5:$A49),MATCH(D$4,加速度入力!$B$53:$AV$53,0)),1)</f>
        <v>123.8</v>
      </c>
      <c r="E49" s="1">
        <f>ROUND(INDEX(加速度入力!$B$56:$AV$206,ROWS($A$5:$A49),MATCH(E$4,加速度入力!$B$53:$AV$53,0)),1)</f>
        <v>189.2</v>
      </c>
      <c r="F49" s="1">
        <f>ROUND(INDEX(加速度入力!$B$56:$AV$206,ROWS($A$5:$A49),MATCH(F$4,加速度入力!$B$53:$AV$53,0)),1)</f>
        <v>143.5</v>
      </c>
    </row>
    <row r="50" spans="1:6" x14ac:dyDescent="0.25">
      <c r="A50" s="1">
        <f>加速度入力!B101</f>
        <v>45</v>
      </c>
      <c r="B50" s="1">
        <f>ROUND(INDEX(加速度入力!$B$56:$AV$206,ROWS($A$5:$A50),MATCH(B$4,加速度入力!$B$53:$AV$53,0)),1)</f>
        <v>4.9000000000000004</v>
      </c>
      <c r="C50" s="1">
        <f>ROUND(INDEX(加速度入力!$B$56:$AV$206,ROWS($A$5:$A50),MATCH(C$4,加速度入力!$B$53:$AV$53,0)),1)</f>
        <v>38</v>
      </c>
      <c r="D50" s="1">
        <f>ROUND(INDEX(加速度入力!$B$56:$AV$206,ROWS($A$5:$A50),MATCH(D$4,加速度入力!$B$53:$AV$53,0)),1)</f>
        <v>121.1</v>
      </c>
      <c r="E50" s="1">
        <f>ROUND(INDEX(加速度入力!$B$56:$AV$206,ROWS($A$5:$A50),MATCH(E$4,加速度入力!$B$53:$AV$53,0)),1)</f>
        <v>189.2</v>
      </c>
      <c r="F50" s="1">
        <f>ROUND(INDEX(加速度入力!$B$56:$AV$206,ROWS($A$5:$A50),MATCH(F$4,加速度入力!$B$53:$AV$53,0)),1)</f>
        <v>143.5</v>
      </c>
    </row>
    <row r="51" spans="1:6" x14ac:dyDescent="0.25">
      <c r="A51" s="1">
        <f>加速度入力!B102</f>
        <v>46</v>
      </c>
      <c r="B51" s="1">
        <f>ROUND(INDEX(加速度入力!$B$56:$AV$206,ROWS($A$5:$A51),MATCH(B$4,加速度入力!$B$53:$AV$53,0)),1)</f>
        <v>4.8</v>
      </c>
      <c r="C51" s="1">
        <f>ROUND(INDEX(加速度入力!$B$56:$AV$206,ROWS($A$5:$A51),MATCH(C$4,加速度入力!$B$53:$AV$53,0)),1)</f>
        <v>37.200000000000003</v>
      </c>
      <c r="D51" s="1">
        <f>ROUND(INDEX(加速度入力!$B$56:$AV$206,ROWS($A$5:$A51),MATCH(D$4,加速度入力!$B$53:$AV$53,0)),1)</f>
        <v>118.4</v>
      </c>
      <c r="E51" s="1">
        <f>ROUND(INDEX(加速度入力!$B$56:$AV$206,ROWS($A$5:$A51),MATCH(E$4,加速度入力!$B$53:$AV$53,0)),1)</f>
        <v>189.2</v>
      </c>
      <c r="F51" s="1">
        <f>ROUND(INDEX(加速度入力!$B$56:$AV$206,ROWS($A$5:$A51),MATCH(F$4,加速度入力!$B$53:$AV$53,0)),1)</f>
        <v>143.5</v>
      </c>
    </row>
    <row r="52" spans="1:6" x14ac:dyDescent="0.25">
      <c r="A52" s="1">
        <f>加速度入力!B103</f>
        <v>47</v>
      </c>
      <c r="B52" s="1">
        <f>ROUND(INDEX(加速度入力!$B$56:$AV$206,ROWS($A$5:$A52),MATCH(B$4,加速度入力!$B$53:$AV$53,0)),1)</f>
        <v>4.5999999999999996</v>
      </c>
      <c r="C52" s="1">
        <f>ROUND(INDEX(加速度入力!$B$56:$AV$206,ROWS($A$5:$A52),MATCH(C$4,加速度入力!$B$53:$AV$53,0)),1)</f>
        <v>36.4</v>
      </c>
      <c r="D52" s="1">
        <f>ROUND(INDEX(加速度入力!$B$56:$AV$206,ROWS($A$5:$A52),MATCH(D$4,加速度入力!$B$53:$AV$53,0)),1)</f>
        <v>115.9</v>
      </c>
      <c r="E52" s="1">
        <f>ROUND(INDEX(加速度入力!$B$56:$AV$206,ROWS($A$5:$A52),MATCH(E$4,加速度入力!$B$53:$AV$53,0)),1)</f>
        <v>189.2</v>
      </c>
      <c r="F52" s="1">
        <f>ROUND(INDEX(加速度入力!$B$56:$AV$206,ROWS($A$5:$A52),MATCH(F$4,加速度入力!$B$53:$AV$53,0)),1)</f>
        <v>140.4</v>
      </c>
    </row>
    <row r="53" spans="1:6" x14ac:dyDescent="0.25">
      <c r="A53" s="1">
        <f>加速度入力!B104</f>
        <v>48</v>
      </c>
      <c r="B53" s="1">
        <f>ROUND(INDEX(加速度入力!$B$56:$AV$206,ROWS($A$5:$A53),MATCH(B$4,加速度入力!$B$53:$AV$53,0)),1)</f>
        <v>4.5999999999999996</v>
      </c>
      <c r="C53" s="1">
        <f>ROUND(INDEX(加速度入力!$B$56:$AV$206,ROWS($A$5:$A53),MATCH(C$4,加速度入力!$B$53:$AV$53,0)),1)</f>
        <v>35.6</v>
      </c>
      <c r="D53" s="1">
        <f>ROUND(INDEX(加速度入力!$B$56:$AV$206,ROWS($A$5:$A53),MATCH(D$4,加速度入力!$B$53:$AV$53,0)),1)</f>
        <v>113.5</v>
      </c>
      <c r="E53" s="1">
        <f>ROUND(INDEX(加速度入力!$B$56:$AV$206,ROWS($A$5:$A53),MATCH(E$4,加速度入力!$B$53:$AV$53,0)),1)</f>
        <v>189.2</v>
      </c>
      <c r="F53" s="1">
        <f>ROUND(INDEX(加速度入力!$B$56:$AV$206,ROWS($A$5:$A53),MATCH(F$4,加速度入力!$B$53:$AV$53,0)),1)</f>
        <v>137.5</v>
      </c>
    </row>
    <row r="54" spans="1:6" x14ac:dyDescent="0.25">
      <c r="A54" s="1">
        <f>加速度入力!B105</f>
        <v>49</v>
      </c>
      <c r="B54" s="1">
        <f>ROUND(INDEX(加速度入力!$B$56:$AV$206,ROWS($A$5:$A54),MATCH(B$4,加速度入力!$B$53:$AV$53,0)),1)</f>
        <v>4.5</v>
      </c>
      <c r="C54" s="1">
        <f>ROUND(INDEX(加速度入力!$B$56:$AV$206,ROWS($A$5:$A54),MATCH(C$4,加速度入力!$B$53:$AV$53,0)),1)</f>
        <v>34.9</v>
      </c>
      <c r="D54" s="1">
        <f>ROUND(INDEX(加速度入力!$B$56:$AV$206,ROWS($A$5:$A54),MATCH(D$4,加速度入力!$B$53:$AV$53,0)),1)</f>
        <v>111.2</v>
      </c>
      <c r="E54" s="1">
        <f>ROUND(INDEX(加速度入力!$B$56:$AV$206,ROWS($A$5:$A54),MATCH(E$4,加速度入力!$B$53:$AV$53,0)),1)</f>
        <v>185.4</v>
      </c>
      <c r="F54" s="1">
        <f>ROUND(INDEX(加速度入力!$B$56:$AV$206,ROWS($A$5:$A54),MATCH(F$4,加速度入力!$B$53:$AV$53,0)),1)</f>
        <v>134.69999999999999</v>
      </c>
    </row>
    <row r="55" spans="1:6" x14ac:dyDescent="0.25">
      <c r="A55" s="1">
        <f>加速度入力!B106</f>
        <v>50</v>
      </c>
      <c r="B55" s="1">
        <f>ROUND(INDEX(加速度入力!$B$56:$AV$206,ROWS($A$5:$A55),MATCH(B$4,加速度入力!$B$53:$AV$53,0)),1)</f>
        <v>4.4000000000000004</v>
      </c>
      <c r="C55" s="1">
        <f>ROUND(INDEX(加速度入力!$B$56:$AV$206,ROWS($A$5:$A55),MATCH(C$4,加速度入力!$B$53:$AV$53,0)),1)</f>
        <v>34.200000000000003</v>
      </c>
      <c r="D55" s="1">
        <f>ROUND(INDEX(加速度入力!$B$56:$AV$206,ROWS($A$5:$A55),MATCH(D$4,加速度入力!$B$53:$AV$53,0)),1)</f>
        <v>109</v>
      </c>
      <c r="E55" s="1">
        <f>ROUND(INDEX(加速度入力!$B$56:$AV$206,ROWS($A$5:$A55),MATCH(E$4,加速度入力!$B$53:$AV$53,0)),1)</f>
        <v>181.7</v>
      </c>
      <c r="F55" s="1">
        <f>ROUND(INDEX(加速度入力!$B$56:$AV$206,ROWS($A$5:$A55),MATCH(F$4,加速度入力!$B$53:$AV$53,0)),1)</f>
        <v>132</v>
      </c>
    </row>
    <row r="56" spans="1:6" x14ac:dyDescent="0.25">
      <c r="A56" s="1">
        <f>加速度入力!B107</f>
        <v>51</v>
      </c>
      <c r="B56" s="1">
        <f>ROUND(INDEX(加速度入力!$B$56:$AV$206,ROWS($A$5:$A56),MATCH(B$4,加速度入力!$B$53:$AV$53,0)),1)</f>
        <v>4.3</v>
      </c>
      <c r="C56" s="1">
        <f>ROUND(INDEX(加速度入力!$B$56:$AV$206,ROWS($A$5:$A56),MATCH(C$4,加速度入力!$B$53:$AV$53,0)),1)</f>
        <v>33.5</v>
      </c>
      <c r="D56" s="1">
        <f>ROUND(INDEX(加速度入力!$B$56:$AV$206,ROWS($A$5:$A56),MATCH(D$4,加速度入力!$B$53:$AV$53,0)),1)</f>
        <v>106.8</v>
      </c>
      <c r="E56" s="1">
        <f>ROUND(INDEX(加速度入力!$B$56:$AV$206,ROWS($A$5:$A56),MATCH(E$4,加速度入力!$B$53:$AV$53,0)),1)</f>
        <v>178.1</v>
      </c>
      <c r="F56" s="1">
        <f>ROUND(INDEX(加速度入力!$B$56:$AV$206,ROWS($A$5:$A56),MATCH(F$4,加速度入力!$B$53:$AV$53,0)),1)</f>
        <v>129.4</v>
      </c>
    </row>
    <row r="57" spans="1:6" x14ac:dyDescent="0.25">
      <c r="A57" s="1">
        <f>加速度入力!B108</f>
        <v>52</v>
      </c>
      <c r="B57" s="1">
        <f>ROUND(INDEX(加速度入力!$B$56:$AV$206,ROWS($A$5:$A57),MATCH(B$4,加速度入力!$B$53:$AV$53,0)),1)</f>
        <v>4.2</v>
      </c>
      <c r="C57" s="1">
        <f>ROUND(INDEX(加速度入力!$B$56:$AV$206,ROWS($A$5:$A57),MATCH(C$4,加速度入力!$B$53:$AV$53,0)),1)</f>
        <v>32.9</v>
      </c>
      <c r="D57" s="1">
        <f>ROUND(INDEX(加速度入力!$B$56:$AV$206,ROWS($A$5:$A57),MATCH(D$4,加速度入力!$B$53:$AV$53,0)),1)</f>
        <v>104.8</v>
      </c>
      <c r="E57" s="1">
        <f>ROUND(INDEX(加速度入力!$B$56:$AV$206,ROWS($A$5:$A57),MATCH(E$4,加速度入力!$B$53:$AV$53,0)),1)</f>
        <v>174.7</v>
      </c>
      <c r="F57" s="1">
        <f>ROUND(INDEX(加速度入力!$B$56:$AV$206,ROWS($A$5:$A57),MATCH(F$4,加速度入力!$B$53:$AV$53,0)),1)</f>
        <v>126.9</v>
      </c>
    </row>
    <row r="58" spans="1:6" x14ac:dyDescent="0.25">
      <c r="A58" s="1">
        <f>加速度入力!B109</f>
        <v>53</v>
      </c>
      <c r="B58" s="1">
        <f>ROUND(INDEX(加速度入力!$B$56:$AV$206,ROWS($A$5:$A58),MATCH(B$4,加速度入力!$B$53:$AV$53,0)),1)</f>
        <v>4.0999999999999996</v>
      </c>
      <c r="C58" s="1">
        <f>ROUND(INDEX(加速度入力!$B$56:$AV$206,ROWS($A$5:$A58),MATCH(C$4,加速度入力!$B$53:$AV$53,0)),1)</f>
        <v>32.299999999999997</v>
      </c>
      <c r="D58" s="1">
        <f>ROUND(INDEX(加速度入力!$B$56:$AV$206,ROWS($A$5:$A58),MATCH(D$4,加速度入力!$B$53:$AV$53,0)),1)</f>
        <v>102.8</v>
      </c>
      <c r="E58" s="1">
        <f>ROUND(INDEX(加速度入力!$B$56:$AV$206,ROWS($A$5:$A58),MATCH(E$4,加速度入力!$B$53:$AV$53,0)),1)</f>
        <v>171.4</v>
      </c>
      <c r="F58" s="1">
        <f>ROUND(INDEX(加速度入力!$B$56:$AV$206,ROWS($A$5:$A58),MATCH(F$4,加速度入力!$B$53:$AV$53,0)),1)</f>
        <v>124.5</v>
      </c>
    </row>
    <row r="59" spans="1:6" x14ac:dyDescent="0.25">
      <c r="A59" s="1">
        <f>加速度入力!B110</f>
        <v>54</v>
      </c>
      <c r="B59" s="1">
        <f>ROUND(INDEX(加速度入力!$B$56:$AV$206,ROWS($A$5:$A59),MATCH(B$4,加速度入力!$B$53:$AV$53,0)),1)</f>
        <v>4</v>
      </c>
      <c r="C59" s="1">
        <f>ROUND(INDEX(加速度入力!$B$56:$AV$206,ROWS($A$5:$A59),MATCH(C$4,加速度入力!$B$53:$AV$53,0)),1)</f>
        <v>31.7</v>
      </c>
      <c r="D59" s="1">
        <f>ROUND(INDEX(加速度入力!$B$56:$AV$206,ROWS($A$5:$A59),MATCH(D$4,加速度入力!$B$53:$AV$53,0)),1)</f>
        <v>100.9</v>
      </c>
      <c r="E59" s="1">
        <f>ROUND(INDEX(加速度入力!$B$56:$AV$206,ROWS($A$5:$A59),MATCH(E$4,加速度入力!$B$53:$AV$53,0)),1)</f>
        <v>168.2</v>
      </c>
      <c r="F59" s="1">
        <f>ROUND(INDEX(加速度入力!$B$56:$AV$206,ROWS($A$5:$A59),MATCH(F$4,加速度入力!$B$53:$AV$53,0)),1)</f>
        <v>122.2</v>
      </c>
    </row>
    <row r="60" spans="1:6" x14ac:dyDescent="0.25">
      <c r="A60" s="1">
        <f>加速度入力!B111</f>
        <v>55</v>
      </c>
      <c r="B60" s="1">
        <f>ROUND(INDEX(加速度入力!$B$56:$AV$206,ROWS($A$5:$A60),MATCH(B$4,加速度入力!$B$53:$AV$53,0)),1)</f>
        <v>4</v>
      </c>
      <c r="C60" s="1">
        <f>ROUND(INDEX(加速度入力!$B$56:$AV$206,ROWS($A$5:$A60),MATCH(C$4,加速度入力!$B$53:$AV$53,0)),1)</f>
        <v>31.1</v>
      </c>
      <c r="D60" s="1">
        <f>ROUND(INDEX(加速度入力!$B$56:$AV$206,ROWS($A$5:$A60),MATCH(D$4,加速度入力!$B$53:$AV$53,0)),1)</f>
        <v>99.1</v>
      </c>
      <c r="E60" s="1">
        <f>ROUND(INDEX(加速度入力!$B$56:$AV$206,ROWS($A$5:$A60),MATCH(E$4,加速度入力!$B$53:$AV$53,0)),1)</f>
        <v>165.1</v>
      </c>
      <c r="F60" s="1">
        <f>ROUND(INDEX(加速度入力!$B$56:$AV$206,ROWS($A$5:$A60),MATCH(F$4,加速度入力!$B$53:$AV$53,0)),1)</f>
        <v>120</v>
      </c>
    </row>
    <row r="61" spans="1:6" x14ac:dyDescent="0.25">
      <c r="A61" s="1">
        <f>加速度入力!B112</f>
        <v>56</v>
      </c>
      <c r="B61" s="1">
        <f>ROUND(INDEX(加速度入力!$B$56:$AV$206,ROWS($A$5:$A61),MATCH(B$4,加速度入力!$B$53:$AV$53,0)),1)</f>
        <v>3.9</v>
      </c>
      <c r="C61" s="1">
        <f>ROUND(INDEX(加速度入力!$B$56:$AV$206,ROWS($A$5:$A61),MATCH(C$4,加速度入力!$B$53:$AV$53,0)),1)</f>
        <v>30.5</v>
      </c>
      <c r="D61" s="1">
        <f>ROUND(INDEX(加速度入力!$B$56:$AV$206,ROWS($A$5:$A61),MATCH(D$4,加速度入力!$B$53:$AV$53,0)),1)</f>
        <v>97.3</v>
      </c>
      <c r="E61" s="1">
        <f>ROUND(INDEX(加速度入力!$B$56:$AV$206,ROWS($A$5:$A61),MATCH(E$4,加速度入力!$B$53:$AV$53,0)),1)</f>
        <v>162.19999999999999</v>
      </c>
      <c r="F61" s="1">
        <f>ROUND(INDEX(加速度入力!$B$56:$AV$206,ROWS($A$5:$A61),MATCH(F$4,加速度入力!$B$53:$AV$53,0)),1)</f>
        <v>117.9</v>
      </c>
    </row>
    <row r="62" spans="1:6" x14ac:dyDescent="0.25">
      <c r="A62" s="1">
        <f>加速度入力!B113</f>
        <v>57</v>
      </c>
      <c r="B62" s="1">
        <f>ROUND(INDEX(加速度入力!$B$56:$AV$206,ROWS($A$5:$A62),MATCH(B$4,加速度入力!$B$53:$AV$53,0)),1)</f>
        <v>3.8</v>
      </c>
      <c r="C62" s="1">
        <f>ROUND(INDEX(加速度入力!$B$56:$AV$206,ROWS($A$5:$A62),MATCH(C$4,加速度入力!$B$53:$AV$53,0)),1)</f>
        <v>30</v>
      </c>
      <c r="D62" s="1">
        <f>ROUND(INDEX(加速度入力!$B$56:$AV$206,ROWS($A$5:$A62),MATCH(D$4,加速度入力!$B$53:$AV$53,0)),1)</f>
        <v>95.6</v>
      </c>
      <c r="E62" s="1">
        <f>ROUND(INDEX(加速度入力!$B$56:$AV$206,ROWS($A$5:$A62),MATCH(E$4,加速度入力!$B$53:$AV$53,0)),1)</f>
        <v>159.4</v>
      </c>
      <c r="F62" s="1">
        <f>ROUND(INDEX(加速度入力!$B$56:$AV$206,ROWS($A$5:$A62),MATCH(F$4,加速度入力!$B$53:$AV$53,0)),1)</f>
        <v>115.8</v>
      </c>
    </row>
    <row r="63" spans="1:6" x14ac:dyDescent="0.25">
      <c r="A63" s="1">
        <f>加速度入力!B114</f>
        <v>58</v>
      </c>
      <c r="B63" s="1">
        <f>ROUND(INDEX(加速度入力!$B$56:$AV$206,ROWS($A$5:$A63),MATCH(B$4,加速度入力!$B$53:$AV$53,0)),1)</f>
        <v>3.8</v>
      </c>
      <c r="C63" s="1">
        <f>ROUND(INDEX(加速度入力!$B$56:$AV$206,ROWS($A$5:$A63),MATCH(C$4,加速度入力!$B$53:$AV$53,0)),1)</f>
        <v>29.5</v>
      </c>
      <c r="D63" s="1">
        <f>ROUND(INDEX(加速度入力!$B$56:$AV$206,ROWS($A$5:$A63),MATCH(D$4,加速度入力!$B$53:$AV$53,0)),1)</f>
        <v>93.9</v>
      </c>
      <c r="E63" s="1">
        <f>ROUND(INDEX(加速度入力!$B$56:$AV$206,ROWS($A$5:$A63),MATCH(E$4,加速度入力!$B$53:$AV$53,0)),1)</f>
        <v>156.6</v>
      </c>
      <c r="F63" s="1">
        <f>ROUND(INDEX(加速度入力!$B$56:$AV$206,ROWS($A$5:$A63),MATCH(F$4,加速度入力!$B$53:$AV$53,0)),1)</f>
        <v>113.8</v>
      </c>
    </row>
    <row r="64" spans="1:6" x14ac:dyDescent="0.25">
      <c r="A64" s="1">
        <f>加速度入力!B115</f>
        <v>59</v>
      </c>
      <c r="B64" s="1">
        <f>ROUND(INDEX(加速度入力!$B$56:$AV$206,ROWS($A$5:$A64),MATCH(B$4,加速度入力!$B$53:$AV$53,0)),1)</f>
        <v>3.7</v>
      </c>
      <c r="C64" s="1">
        <f>ROUND(INDEX(加速度入力!$B$56:$AV$206,ROWS($A$5:$A64),MATCH(C$4,加速度入力!$B$53:$AV$53,0)),1)</f>
        <v>29</v>
      </c>
      <c r="D64" s="1">
        <f>ROUND(INDEX(加速度入力!$B$56:$AV$206,ROWS($A$5:$A64),MATCH(D$4,加速度入力!$B$53:$AV$53,0)),1)</f>
        <v>92.3</v>
      </c>
      <c r="E64" s="1">
        <f>ROUND(INDEX(加速度入力!$B$56:$AV$206,ROWS($A$5:$A64),MATCH(E$4,加速度入力!$B$53:$AV$53,0)),1)</f>
        <v>154</v>
      </c>
      <c r="F64" s="1">
        <f>ROUND(INDEX(加速度入力!$B$56:$AV$206,ROWS($A$5:$A64),MATCH(F$4,加速度入力!$B$53:$AV$53,0)),1)</f>
        <v>111.9</v>
      </c>
    </row>
    <row r="65" spans="1:6" x14ac:dyDescent="0.25">
      <c r="A65" s="1">
        <f>加速度入力!B116</f>
        <v>60</v>
      </c>
      <c r="B65" s="1">
        <f>ROUND(INDEX(加速度入力!$B$56:$AV$206,ROWS($A$5:$A65),MATCH(B$4,加速度入力!$B$53:$AV$53,0)),1)</f>
        <v>3.6</v>
      </c>
      <c r="C65" s="1">
        <f>ROUND(INDEX(加速度入力!$B$56:$AV$206,ROWS($A$5:$A65),MATCH(C$4,加速度入力!$B$53:$AV$53,0)),1)</f>
        <v>28.5</v>
      </c>
      <c r="D65" s="1">
        <f>ROUND(INDEX(加速度入力!$B$56:$AV$206,ROWS($A$5:$A65),MATCH(D$4,加速度入力!$B$53:$AV$53,0)),1)</f>
        <v>90.8</v>
      </c>
      <c r="E65" s="1">
        <f>ROUND(INDEX(加速度入力!$B$56:$AV$206,ROWS($A$5:$A65),MATCH(E$4,加速度入力!$B$53:$AV$53,0)),1)</f>
        <v>151.4</v>
      </c>
      <c r="F65" s="1">
        <f>ROUND(INDEX(加速度入力!$B$56:$AV$206,ROWS($A$5:$A65),MATCH(F$4,加速度入力!$B$53:$AV$53,0)),1)</f>
        <v>110</v>
      </c>
    </row>
    <row r="66" spans="1:6" x14ac:dyDescent="0.25">
      <c r="A66" s="1">
        <f>加速度入力!B117</f>
        <v>61</v>
      </c>
      <c r="B66" s="1">
        <f>ROUND(INDEX(加速度入力!$B$56:$AV$206,ROWS($A$5:$A66),MATCH(B$4,加速度入力!$B$53:$AV$53,0)),1)</f>
        <v>3.6</v>
      </c>
      <c r="C66" s="1">
        <f>ROUND(INDEX(加速度入力!$B$56:$AV$206,ROWS($A$5:$A66),MATCH(C$4,加速度入力!$B$53:$AV$53,0)),1)</f>
        <v>28</v>
      </c>
      <c r="D66" s="1">
        <f>ROUND(INDEX(加速度入力!$B$56:$AV$206,ROWS($A$5:$A66),MATCH(D$4,加速度入力!$B$53:$AV$53,0)),1)</f>
        <v>89.3</v>
      </c>
      <c r="E66" s="1">
        <f>ROUND(INDEX(加速度入力!$B$56:$AV$206,ROWS($A$5:$A66),MATCH(E$4,加速度入力!$B$53:$AV$53,0)),1)</f>
        <v>148.9</v>
      </c>
      <c r="F66" s="1">
        <f>ROUND(INDEX(加速度入力!$B$56:$AV$206,ROWS($A$5:$A66),MATCH(F$4,加速度入力!$B$53:$AV$53,0)),1)</f>
        <v>108.2</v>
      </c>
    </row>
    <row r="67" spans="1:6" x14ac:dyDescent="0.25">
      <c r="A67" s="1">
        <f>加速度入力!B118</f>
        <v>62</v>
      </c>
      <c r="B67" s="1">
        <f>ROUND(INDEX(加速度入力!$B$56:$AV$206,ROWS($A$5:$A67),MATCH(B$4,加速度入力!$B$53:$AV$53,0)),1)</f>
        <v>3.5</v>
      </c>
      <c r="C67" s="1">
        <f>ROUND(INDEX(加速度入力!$B$56:$AV$206,ROWS($A$5:$A67),MATCH(C$4,加速度入力!$B$53:$AV$53,0)),1)</f>
        <v>27.6</v>
      </c>
      <c r="D67" s="1">
        <f>ROUND(INDEX(加速度入力!$B$56:$AV$206,ROWS($A$5:$A67),MATCH(D$4,加速度入力!$B$53:$AV$53,0)),1)</f>
        <v>87.9</v>
      </c>
      <c r="E67" s="1">
        <f>ROUND(INDEX(加速度入力!$B$56:$AV$206,ROWS($A$5:$A67),MATCH(E$4,加速度入力!$B$53:$AV$53,0)),1)</f>
        <v>146.5</v>
      </c>
      <c r="F67" s="1">
        <f>ROUND(INDEX(加速度入力!$B$56:$AV$206,ROWS($A$5:$A67),MATCH(F$4,加速度入力!$B$53:$AV$53,0)),1)</f>
        <v>106.5</v>
      </c>
    </row>
    <row r="68" spans="1:6" x14ac:dyDescent="0.25">
      <c r="A68" s="1">
        <f>加速度入力!B119</f>
        <v>63</v>
      </c>
      <c r="B68" s="1">
        <f>ROUND(INDEX(加速度入力!$B$56:$AV$206,ROWS($A$5:$A68),MATCH(B$4,加速度入力!$B$53:$AV$53,0)),1)</f>
        <v>3.5</v>
      </c>
      <c r="C68" s="1">
        <f>ROUND(INDEX(加速度入力!$B$56:$AV$206,ROWS($A$5:$A68),MATCH(C$4,加速度入力!$B$53:$AV$53,0)),1)</f>
        <v>27.1</v>
      </c>
      <c r="D68" s="1">
        <f>ROUND(INDEX(加速度入力!$B$56:$AV$206,ROWS($A$5:$A68),MATCH(D$4,加速度入力!$B$53:$AV$53,0)),1)</f>
        <v>86.5</v>
      </c>
      <c r="E68" s="1">
        <f>ROUND(INDEX(加速度入力!$B$56:$AV$206,ROWS($A$5:$A68),MATCH(E$4,加速度入力!$B$53:$AV$53,0)),1)</f>
        <v>144.19999999999999</v>
      </c>
      <c r="F68" s="1">
        <f>ROUND(INDEX(加速度入力!$B$56:$AV$206,ROWS($A$5:$A68),MATCH(F$4,加速度入力!$B$53:$AV$53,0)),1)</f>
        <v>104.8</v>
      </c>
    </row>
    <row r="69" spans="1:6" x14ac:dyDescent="0.25">
      <c r="A69" s="1">
        <f>加速度入力!B120</f>
        <v>64</v>
      </c>
      <c r="B69" s="1">
        <f>ROUND(INDEX(加速度入力!$B$56:$AV$206,ROWS($A$5:$A69),MATCH(B$4,加速度入力!$B$53:$AV$53,0)),1)</f>
        <v>3.4</v>
      </c>
      <c r="C69" s="1">
        <f>ROUND(INDEX(加速度入力!$B$56:$AV$206,ROWS($A$5:$A69),MATCH(C$4,加速度入力!$B$53:$AV$53,0)),1)</f>
        <v>26.7</v>
      </c>
      <c r="D69" s="1">
        <f>ROUND(INDEX(加速度入力!$B$56:$AV$206,ROWS($A$5:$A69),MATCH(D$4,加速度入力!$B$53:$AV$53,0)),1)</f>
        <v>85.1</v>
      </c>
      <c r="E69" s="1">
        <f>ROUND(INDEX(加速度入力!$B$56:$AV$206,ROWS($A$5:$A69),MATCH(E$4,加速度入力!$B$53:$AV$53,0)),1)</f>
        <v>141.9</v>
      </c>
      <c r="F69" s="1">
        <f>ROUND(INDEX(加速度入力!$B$56:$AV$206,ROWS($A$5:$A69),MATCH(F$4,加速度入力!$B$53:$AV$53,0)),1)</f>
        <v>103.1</v>
      </c>
    </row>
    <row r="70" spans="1:6" x14ac:dyDescent="0.25">
      <c r="A70" s="1">
        <f>加速度入力!B121</f>
        <v>65</v>
      </c>
      <c r="B70" s="1">
        <f>ROUND(INDEX(加速度入力!$B$56:$AV$206,ROWS($A$5:$A70),MATCH(B$4,加速度入力!$B$53:$AV$53,0)),1)</f>
        <v>3.4</v>
      </c>
      <c r="C70" s="1">
        <f>ROUND(INDEX(加速度入力!$B$56:$AV$206,ROWS($A$5:$A70),MATCH(C$4,加速度入力!$B$53:$AV$53,0)),1)</f>
        <v>26.3</v>
      </c>
      <c r="D70" s="1">
        <f>ROUND(INDEX(加速度入力!$B$56:$AV$206,ROWS($A$5:$A70),MATCH(D$4,加速度入力!$B$53:$AV$53,0)),1)</f>
        <v>83.8</v>
      </c>
      <c r="E70" s="1">
        <f>ROUND(INDEX(加速度入力!$B$56:$AV$206,ROWS($A$5:$A70),MATCH(E$4,加速度入力!$B$53:$AV$53,0)),1)</f>
        <v>139.69999999999999</v>
      </c>
      <c r="F70" s="1">
        <f>ROUND(INDEX(加速度入力!$B$56:$AV$206,ROWS($A$5:$A70),MATCH(F$4,加速度入力!$B$53:$AV$53,0)),1)</f>
        <v>101.6</v>
      </c>
    </row>
    <row r="71" spans="1:6" x14ac:dyDescent="0.25">
      <c r="A71" s="1">
        <f>加速度入力!B122</f>
        <v>66</v>
      </c>
      <c r="B71" s="1">
        <f>ROUND(INDEX(加速度入力!$B$56:$AV$206,ROWS($A$5:$A71),MATCH(B$4,加速度入力!$B$53:$AV$53,0)),1)</f>
        <v>3.3</v>
      </c>
      <c r="C71" s="1">
        <f>ROUND(INDEX(加速度入力!$B$56:$AV$206,ROWS($A$5:$A71),MATCH(C$4,加速度入力!$B$53:$AV$53,0)),1)</f>
        <v>25.9</v>
      </c>
      <c r="D71" s="1">
        <f>ROUND(INDEX(加速度入力!$B$56:$AV$206,ROWS($A$5:$A71),MATCH(D$4,加速度入力!$B$53:$AV$53,0)),1)</f>
        <v>82.6</v>
      </c>
      <c r="E71" s="1">
        <f>ROUND(INDEX(加速度入力!$B$56:$AV$206,ROWS($A$5:$A71),MATCH(E$4,加速度入力!$B$53:$AV$53,0)),1)</f>
        <v>137.6</v>
      </c>
      <c r="F71" s="1">
        <f>ROUND(INDEX(加速度入力!$B$56:$AV$206,ROWS($A$5:$A71),MATCH(F$4,加速度入力!$B$53:$AV$53,0)),1)</f>
        <v>100</v>
      </c>
    </row>
    <row r="72" spans="1:6" x14ac:dyDescent="0.25">
      <c r="A72" s="1">
        <f>加速度入力!B123</f>
        <v>67</v>
      </c>
      <c r="B72" s="1">
        <f>ROUND(INDEX(加速度入力!$B$56:$AV$206,ROWS($A$5:$A72),MATCH(B$4,加速度入力!$B$53:$AV$53,0)),1)</f>
        <v>3.3</v>
      </c>
      <c r="C72" s="1">
        <f>ROUND(INDEX(加速度入力!$B$56:$AV$206,ROWS($A$5:$A72),MATCH(C$4,加速度入力!$B$53:$AV$53,0)),1)</f>
        <v>25.5</v>
      </c>
      <c r="D72" s="1">
        <f>ROUND(INDEX(加速度入力!$B$56:$AV$206,ROWS($A$5:$A72),MATCH(D$4,加速度入力!$B$53:$AV$53,0)),1)</f>
        <v>81.3</v>
      </c>
      <c r="E72" s="1">
        <f>ROUND(INDEX(加速度入力!$B$56:$AV$206,ROWS($A$5:$A72),MATCH(E$4,加速度入力!$B$53:$AV$53,0)),1)</f>
        <v>135.6</v>
      </c>
      <c r="F72" s="1">
        <f>ROUND(INDEX(加速度入力!$B$56:$AV$206,ROWS($A$5:$A72),MATCH(F$4,加速度入力!$B$53:$AV$53,0)),1)</f>
        <v>98.5</v>
      </c>
    </row>
    <row r="73" spans="1:6" x14ac:dyDescent="0.25">
      <c r="A73" s="1">
        <f>加速度入力!B124</f>
        <v>68</v>
      </c>
      <c r="B73" s="1">
        <f>ROUND(INDEX(加速度入力!$B$56:$AV$206,ROWS($A$5:$A73),MATCH(B$4,加速度入力!$B$53:$AV$53,0)),1)</f>
        <v>3.2</v>
      </c>
      <c r="C73" s="1">
        <f>ROUND(INDEX(加速度入力!$B$56:$AV$206,ROWS($A$5:$A73),MATCH(C$4,加速度入力!$B$53:$AV$53,0)),1)</f>
        <v>25.1</v>
      </c>
      <c r="D73" s="1">
        <f>ROUND(INDEX(加速度入力!$B$56:$AV$206,ROWS($A$5:$A73),MATCH(D$4,加速度入力!$B$53:$AV$53,0)),1)</f>
        <v>80.099999999999994</v>
      </c>
      <c r="E73" s="1">
        <f>ROUND(INDEX(加速度入力!$B$56:$AV$206,ROWS($A$5:$A73),MATCH(E$4,加速度入力!$B$53:$AV$53,0)),1)</f>
        <v>133.6</v>
      </c>
      <c r="F73" s="1">
        <f>ROUND(INDEX(加速度入力!$B$56:$AV$206,ROWS($A$5:$A73),MATCH(F$4,加速度入力!$B$53:$AV$53,0)),1)</f>
        <v>97.1</v>
      </c>
    </row>
    <row r="74" spans="1:6" x14ac:dyDescent="0.25">
      <c r="A74" s="1">
        <f>加速度入力!B125</f>
        <v>69</v>
      </c>
      <c r="B74" s="1">
        <f>ROUND(INDEX(加速度入力!$B$56:$AV$206,ROWS($A$5:$A74),MATCH(B$4,加速度入力!$B$53:$AV$53,0)),1)</f>
        <v>3.2</v>
      </c>
      <c r="C74" s="1">
        <f>ROUND(INDEX(加速度入力!$B$56:$AV$206,ROWS($A$5:$A74),MATCH(C$4,加速度入力!$B$53:$AV$53,0)),1)</f>
        <v>24.8</v>
      </c>
      <c r="D74" s="1">
        <f>ROUND(INDEX(加速度入力!$B$56:$AV$206,ROWS($A$5:$A74),MATCH(D$4,加速度入力!$B$53:$AV$53,0)),1)</f>
        <v>79</v>
      </c>
      <c r="E74" s="1">
        <f>ROUND(INDEX(加速度入力!$B$56:$AV$206,ROWS($A$5:$A74),MATCH(E$4,加速度入力!$B$53:$AV$53,0)),1)</f>
        <v>131.6</v>
      </c>
      <c r="F74" s="1">
        <f>ROUND(INDEX(加速度入力!$B$56:$AV$206,ROWS($A$5:$A74),MATCH(F$4,加速度入力!$B$53:$AV$53,0)),1)</f>
        <v>95.7</v>
      </c>
    </row>
    <row r="75" spans="1:6" x14ac:dyDescent="0.25">
      <c r="A75" s="1">
        <f>加速度入力!B126</f>
        <v>70</v>
      </c>
      <c r="B75" s="1">
        <f>ROUND(INDEX(加速度入力!$B$56:$AV$206,ROWS($A$5:$A75),MATCH(B$4,加速度入力!$B$53:$AV$53,0)),1)</f>
        <v>3.1</v>
      </c>
      <c r="C75" s="1">
        <f>ROUND(INDEX(加速度入力!$B$56:$AV$206,ROWS($A$5:$A75),MATCH(C$4,加速度入力!$B$53:$AV$53,0)),1)</f>
        <v>24.4</v>
      </c>
      <c r="D75" s="1">
        <f>ROUND(INDEX(加速度入力!$B$56:$AV$206,ROWS($A$5:$A75),MATCH(D$4,加速度入力!$B$53:$AV$53,0)),1)</f>
        <v>77.8</v>
      </c>
      <c r="E75" s="1">
        <f>ROUND(INDEX(加速度入力!$B$56:$AV$206,ROWS($A$5:$A75),MATCH(E$4,加速度入力!$B$53:$AV$53,0)),1)</f>
        <v>129.80000000000001</v>
      </c>
      <c r="F75" s="1">
        <f>ROUND(INDEX(加速度入力!$B$56:$AV$206,ROWS($A$5:$A75),MATCH(F$4,加速度入力!$B$53:$AV$53,0)),1)</f>
        <v>94.3</v>
      </c>
    </row>
    <row r="76" spans="1:6" x14ac:dyDescent="0.25">
      <c r="A76" s="1">
        <f>加速度入力!B127</f>
        <v>71</v>
      </c>
      <c r="B76" s="1">
        <f>ROUND(INDEX(加速度入力!$B$56:$AV$206,ROWS($A$5:$A76),MATCH(B$4,加速度入力!$B$53:$AV$53,0)),1)</f>
        <v>3.1</v>
      </c>
      <c r="C76" s="1">
        <f>ROUND(INDEX(加速度入力!$B$56:$AV$206,ROWS($A$5:$A76),MATCH(C$4,加速度入力!$B$53:$AV$53,0)),1)</f>
        <v>24.1</v>
      </c>
      <c r="D76" s="1">
        <f>ROUND(INDEX(加速度入力!$B$56:$AV$206,ROWS($A$5:$A76),MATCH(D$4,加速度入力!$B$53:$AV$53,0)),1)</f>
        <v>76.7</v>
      </c>
      <c r="E76" s="1">
        <f>ROUND(INDEX(加速度入力!$B$56:$AV$206,ROWS($A$5:$A76),MATCH(E$4,加速度入力!$B$53:$AV$53,0)),1)</f>
        <v>127.9</v>
      </c>
      <c r="F76" s="1">
        <f>ROUND(INDEX(加速度入力!$B$56:$AV$206,ROWS($A$5:$A76),MATCH(F$4,加速度入力!$B$53:$AV$53,0)),1)</f>
        <v>93</v>
      </c>
    </row>
    <row r="77" spans="1:6" x14ac:dyDescent="0.25">
      <c r="A77" s="1">
        <f>加速度入力!B128</f>
        <v>72</v>
      </c>
      <c r="B77" s="1">
        <f>ROUND(INDEX(加速度入力!$B$56:$AV$206,ROWS($A$5:$A77),MATCH(B$4,加速度入力!$B$53:$AV$53,0)),1)</f>
        <v>3</v>
      </c>
      <c r="C77" s="1">
        <f>ROUND(INDEX(加速度入力!$B$56:$AV$206,ROWS($A$5:$A77),MATCH(C$4,加速度入力!$B$53:$AV$53,0)),1)</f>
        <v>23.7</v>
      </c>
      <c r="D77" s="1">
        <f>ROUND(INDEX(加速度入力!$B$56:$AV$206,ROWS($A$5:$A77),MATCH(D$4,加速度入力!$B$53:$AV$53,0)),1)</f>
        <v>75.7</v>
      </c>
      <c r="E77" s="1">
        <f>ROUND(INDEX(加速度入力!$B$56:$AV$206,ROWS($A$5:$A77),MATCH(E$4,加速度入力!$B$53:$AV$53,0)),1)</f>
        <v>126.2</v>
      </c>
      <c r="F77" s="1">
        <f>ROUND(INDEX(加速度入力!$B$56:$AV$206,ROWS($A$5:$A77),MATCH(F$4,加速度入力!$B$53:$AV$53,0)),1)</f>
        <v>91.7</v>
      </c>
    </row>
    <row r="78" spans="1:6" x14ac:dyDescent="0.25">
      <c r="A78" s="1">
        <f>加速度入力!B129</f>
        <v>73</v>
      </c>
      <c r="B78" s="1">
        <f>ROUND(INDEX(加速度入力!$B$56:$AV$206,ROWS($A$5:$A78),MATCH(B$4,加速度入力!$B$53:$AV$53,0)),1)</f>
        <v>3</v>
      </c>
      <c r="C78" s="1">
        <f>ROUND(INDEX(加速度入力!$B$56:$AV$206,ROWS($A$5:$A78),MATCH(C$4,加速度入力!$B$53:$AV$53,0)),1)</f>
        <v>23.4</v>
      </c>
      <c r="D78" s="1">
        <f>ROUND(INDEX(加速度入力!$B$56:$AV$206,ROWS($A$5:$A78),MATCH(D$4,加速度入力!$B$53:$AV$53,0)),1)</f>
        <v>74.599999999999994</v>
      </c>
      <c r="E78" s="1">
        <f>ROUND(INDEX(加速度入力!$B$56:$AV$206,ROWS($A$5:$A78),MATCH(E$4,加速度入力!$B$53:$AV$53,0)),1)</f>
        <v>124.4</v>
      </c>
      <c r="F78" s="1">
        <f>ROUND(INDEX(加速度入力!$B$56:$AV$206,ROWS($A$5:$A78),MATCH(F$4,加速度入力!$B$53:$AV$53,0)),1)</f>
        <v>90.4</v>
      </c>
    </row>
    <row r="79" spans="1:6" x14ac:dyDescent="0.25">
      <c r="A79" s="1">
        <f>加速度入力!B130</f>
        <v>74</v>
      </c>
      <c r="B79" s="1">
        <f>ROUND(INDEX(加速度入力!$B$56:$AV$206,ROWS($A$5:$A79),MATCH(B$4,加速度入力!$B$53:$AV$53,0)),1)</f>
        <v>3</v>
      </c>
      <c r="C79" s="1">
        <f>ROUND(INDEX(加速度入力!$B$56:$AV$206,ROWS($A$5:$A79),MATCH(C$4,加速度入力!$B$53:$AV$53,0)),1)</f>
        <v>23.1</v>
      </c>
      <c r="D79" s="1">
        <f>ROUND(INDEX(加速度入力!$B$56:$AV$206,ROWS($A$5:$A79),MATCH(D$4,加速度入力!$B$53:$AV$53,0)),1)</f>
        <v>73.599999999999994</v>
      </c>
      <c r="E79" s="1">
        <f>ROUND(INDEX(加速度入力!$B$56:$AV$206,ROWS($A$5:$A79),MATCH(E$4,加速度入力!$B$53:$AV$53,0)),1)</f>
        <v>122.7</v>
      </c>
      <c r="F79" s="1">
        <f>ROUND(INDEX(加速度入力!$B$56:$AV$206,ROWS($A$5:$A79),MATCH(F$4,加速度入力!$B$53:$AV$53,0)),1)</f>
        <v>89.2</v>
      </c>
    </row>
    <row r="80" spans="1:6" x14ac:dyDescent="0.25">
      <c r="A80" s="1">
        <f>加速度入力!B131</f>
        <v>75</v>
      </c>
      <c r="B80" s="1">
        <f>ROUND(INDEX(加速度入力!$B$56:$AV$206,ROWS($A$5:$A80),MATCH(B$4,加速度入力!$B$53:$AV$53,0)),1)</f>
        <v>2.9</v>
      </c>
      <c r="C80" s="1">
        <f>ROUND(INDEX(加速度入力!$B$56:$AV$206,ROWS($A$5:$A80),MATCH(C$4,加速度入力!$B$53:$AV$53,0)),1)</f>
        <v>22.8</v>
      </c>
      <c r="D80" s="1">
        <f>ROUND(INDEX(加速度入力!$B$56:$AV$206,ROWS($A$5:$A80),MATCH(D$4,加速度入力!$B$53:$AV$53,0)),1)</f>
        <v>72.599999999999994</v>
      </c>
      <c r="E80" s="1">
        <f>ROUND(INDEX(加速度入力!$B$56:$AV$206,ROWS($A$5:$A80),MATCH(E$4,加速度入力!$B$53:$AV$53,0)),1)</f>
        <v>121.1</v>
      </c>
      <c r="F80" s="1">
        <f>ROUND(INDEX(加速度入力!$B$56:$AV$206,ROWS($A$5:$A80),MATCH(F$4,加速度入力!$B$53:$AV$53,0)),1)</f>
        <v>88</v>
      </c>
    </row>
    <row r="81" spans="1:6" x14ac:dyDescent="0.25">
      <c r="A81" s="1">
        <f>加速度入力!B132</f>
        <v>76</v>
      </c>
      <c r="B81" s="1">
        <f>ROUND(INDEX(加速度入力!$B$56:$AV$206,ROWS($A$5:$A81),MATCH(B$4,加速度入力!$B$53:$AV$53,0)),1)</f>
        <v>2.9</v>
      </c>
      <c r="C81" s="1">
        <f>ROUND(INDEX(加速度入力!$B$56:$AV$206,ROWS($A$5:$A81),MATCH(C$4,加速度入力!$B$53:$AV$53,0)),1)</f>
        <v>22.5</v>
      </c>
      <c r="D81" s="1">
        <f>ROUND(INDEX(加速度入力!$B$56:$AV$206,ROWS($A$5:$A81),MATCH(D$4,加速度入力!$B$53:$AV$53,0)),1)</f>
        <v>71.7</v>
      </c>
      <c r="E81" s="1">
        <f>ROUND(INDEX(加速度入力!$B$56:$AV$206,ROWS($A$5:$A81),MATCH(E$4,加速度入力!$B$53:$AV$53,0)),1)</f>
        <v>119.5</v>
      </c>
      <c r="F81" s="1">
        <f>ROUND(INDEX(加速度入力!$B$56:$AV$206,ROWS($A$5:$A81),MATCH(F$4,加速度入力!$B$53:$AV$53,0)),1)</f>
        <v>86.9</v>
      </c>
    </row>
    <row r="82" spans="1:6" x14ac:dyDescent="0.25">
      <c r="A82" s="1">
        <f>加速度入力!B133</f>
        <v>77</v>
      </c>
      <c r="B82" s="1">
        <f>ROUND(INDEX(加速度入力!$B$56:$AV$206,ROWS($A$5:$A82),MATCH(B$4,加速度入力!$B$53:$AV$53,0)),1)</f>
        <v>2.8</v>
      </c>
      <c r="C82" s="1">
        <f>ROUND(INDEX(加速度入力!$B$56:$AV$206,ROWS($A$5:$A82),MATCH(C$4,加速度入力!$B$53:$AV$53,0)),1)</f>
        <v>22.2</v>
      </c>
      <c r="D82" s="1">
        <f>ROUND(INDEX(加速度入力!$B$56:$AV$206,ROWS($A$5:$A82),MATCH(D$4,加速度入力!$B$53:$AV$53,0)),1)</f>
        <v>70.8</v>
      </c>
      <c r="E82" s="1">
        <f>ROUND(INDEX(加速度入力!$B$56:$AV$206,ROWS($A$5:$A82),MATCH(E$4,加速度入力!$B$53:$AV$53,0)),1)</f>
        <v>118</v>
      </c>
      <c r="F82" s="1">
        <f>ROUND(INDEX(加速度入力!$B$56:$AV$206,ROWS($A$5:$A82),MATCH(F$4,加速度入力!$B$53:$AV$53,0)),1)</f>
        <v>85.7</v>
      </c>
    </row>
    <row r="83" spans="1:6" x14ac:dyDescent="0.25">
      <c r="A83" s="1">
        <f>加速度入力!B134</f>
        <v>78</v>
      </c>
      <c r="B83" s="1">
        <f>ROUND(INDEX(加速度入力!$B$56:$AV$206,ROWS($A$5:$A83),MATCH(B$4,加速度入力!$B$53:$AV$53,0)),1)</f>
        <v>2.8</v>
      </c>
      <c r="C83" s="1">
        <f>ROUND(INDEX(加速度入力!$B$56:$AV$206,ROWS($A$5:$A83),MATCH(C$4,加速度入力!$B$53:$AV$53,0)),1)</f>
        <v>21.9</v>
      </c>
      <c r="D83" s="1">
        <f>ROUND(INDEX(加速度入力!$B$56:$AV$206,ROWS($A$5:$A83),MATCH(D$4,加速度入力!$B$53:$AV$53,0)),1)</f>
        <v>69.900000000000006</v>
      </c>
      <c r="E83" s="1">
        <f>ROUND(INDEX(加速度入力!$B$56:$AV$206,ROWS($A$5:$A83),MATCH(E$4,加速度入力!$B$53:$AV$53,0)),1)</f>
        <v>116.5</v>
      </c>
      <c r="F83" s="1">
        <f>ROUND(INDEX(加速度入力!$B$56:$AV$206,ROWS($A$5:$A83),MATCH(F$4,加速度入力!$B$53:$AV$53,0)),1)</f>
        <v>84.6</v>
      </c>
    </row>
    <row r="84" spans="1:6" x14ac:dyDescent="0.25">
      <c r="A84" s="1">
        <f>加速度入力!B135</f>
        <v>79</v>
      </c>
      <c r="B84" s="1">
        <f>ROUND(INDEX(加速度入力!$B$56:$AV$206,ROWS($A$5:$A84),MATCH(B$4,加速度入力!$B$53:$AV$53,0)),1)</f>
        <v>2.8</v>
      </c>
      <c r="C84" s="1">
        <f>ROUND(INDEX(加速度入力!$B$56:$AV$206,ROWS($A$5:$A84),MATCH(C$4,加速度入力!$B$53:$AV$53,0)),1)</f>
        <v>21.6</v>
      </c>
      <c r="D84" s="1">
        <f>ROUND(INDEX(加速度入力!$B$56:$AV$206,ROWS($A$5:$A84),MATCH(D$4,加速度入力!$B$53:$AV$53,0)),1)</f>
        <v>69</v>
      </c>
      <c r="E84" s="1">
        <f>ROUND(INDEX(加速度入力!$B$56:$AV$206,ROWS($A$5:$A84),MATCH(E$4,加速度入力!$B$53:$AV$53,0)),1)</f>
        <v>115</v>
      </c>
      <c r="F84" s="1">
        <f>ROUND(INDEX(加速度入力!$B$56:$AV$206,ROWS($A$5:$A84),MATCH(F$4,加速度入力!$B$53:$AV$53,0)),1)</f>
        <v>83.6</v>
      </c>
    </row>
    <row r="85" spans="1:6" x14ac:dyDescent="0.25">
      <c r="A85" s="1">
        <f>加速度入力!B136</f>
        <v>80</v>
      </c>
      <c r="B85" s="1">
        <f>ROUND(INDEX(加速度入力!$B$56:$AV$206,ROWS($A$5:$A85),MATCH(B$4,加速度入力!$B$53:$AV$53,0)),1)</f>
        <v>2.7</v>
      </c>
      <c r="C85" s="1">
        <f>ROUND(INDEX(加速度入力!$B$56:$AV$206,ROWS($A$5:$A85),MATCH(C$4,加速度入力!$B$53:$AV$53,0)),1)</f>
        <v>21.4</v>
      </c>
      <c r="D85" s="1">
        <f>ROUND(INDEX(加速度入力!$B$56:$AV$206,ROWS($A$5:$A85),MATCH(D$4,加速度入力!$B$53:$AV$53,0)),1)</f>
        <v>68.099999999999994</v>
      </c>
      <c r="E85" s="1">
        <f>ROUND(INDEX(加速度入力!$B$56:$AV$206,ROWS($A$5:$A85),MATCH(E$4,加速度入力!$B$53:$AV$53,0)),1)</f>
        <v>113.5</v>
      </c>
      <c r="F85" s="1">
        <f>ROUND(INDEX(加速度入力!$B$56:$AV$206,ROWS($A$5:$A85),MATCH(F$4,加速度入力!$B$53:$AV$53,0)),1)</f>
        <v>82.5</v>
      </c>
    </row>
    <row r="86" spans="1:6" x14ac:dyDescent="0.25">
      <c r="A86" s="1">
        <f>加速度入力!B137</f>
        <v>81</v>
      </c>
      <c r="B86" s="1">
        <f>ROUND(INDEX(加速度入力!$B$56:$AV$206,ROWS($A$5:$A86),MATCH(B$4,加速度入力!$B$53:$AV$53,0)),1)</f>
        <v>2.7</v>
      </c>
      <c r="C86" s="1">
        <f>ROUND(INDEX(加速度入力!$B$56:$AV$206,ROWS($A$5:$A86),MATCH(C$4,加速度入力!$B$53:$AV$53,0)),1)</f>
        <v>21.1</v>
      </c>
      <c r="D86" s="1">
        <f>ROUND(INDEX(加速度入力!$B$56:$AV$206,ROWS($A$5:$A86),MATCH(D$4,加速度入力!$B$53:$AV$53,0)),1)</f>
        <v>67.3</v>
      </c>
      <c r="E86" s="1">
        <f>ROUND(INDEX(加速度入力!$B$56:$AV$206,ROWS($A$5:$A86),MATCH(E$4,加速度入力!$B$53:$AV$53,0)),1)</f>
        <v>112.1</v>
      </c>
      <c r="F86" s="1">
        <f>ROUND(INDEX(加速度入力!$B$56:$AV$206,ROWS($A$5:$A86),MATCH(F$4,加速度入力!$B$53:$AV$53,0)),1)</f>
        <v>81.5</v>
      </c>
    </row>
    <row r="87" spans="1:6" x14ac:dyDescent="0.25">
      <c r="A87" s="1">
        <f>加速度入力!B138</f>
        <v>82</v>
      </c>
      <c r="B87" s="1">
        <f>ROUND(INDEX(加速度入力!$B$56:$AV$206,ROWS($A$5:$A87),MATCH(B$4,加速度入力!$B$53:$AV$53,0)),1)</f>
        <v>2.7</v>
      </c>
      <c r="C87" s="1">
        <f>ROUND(INDEX(加速度入力!$B$56:$AV$206,ROWS($A$5:$A87),MATCH(C$4,加速度入力!$B$53:$AV$53,0)),1)</f>
        <v>20.9</v>
      </c>
      <c r="D87" s="1">
        <f>ROUND(INDEX(加速度入力!$B$56:$AV$206,ROWS($A$5:$A87),MATCH(D$4,加速度入力!$B$53:$AV$53,0)),1)</f>
        <v>66.400000000000006</v>
      </c>
      <c r="E87" s="1">
        <f>ROUND(INDEX(加速度入力!$B$56:$AV$206,ROWS($A$5:$A87),MATCH(E$4,加速度入力!$B$53:$AV$53,0)),1)</f>
        <v>110.8</v>
      </c>
      <c r="F87" s="1">
        <f>ROUND(INDEX(加速度入力!$B$56:$AV$206,ROWS($A$5:$A87),MATCH(F$4,加速度入力!$B$53:$AV$53,0)),1)</f>
        <v>80.5</v>
      </c>
    </row>
    <row r="88" spans="1:6" x14ac:dyDescent="0.25">
      <c r="A88" s="1">
        <f>加速度入力!B139</f>
        <v>83</v>
      </c>
      <c r="B88" s="1">
        <f>ROUND(INDEX(加速度入力!$B$56:$AV$206,ROWS($A$5:$A88),MATCH(B$4,加速度入力!$B$53:$AV$53,0)),1)</f>
        <v>2.6</v>
      </c>
      <c r="C88" s="1">
        <f>ROUND(INDEX(加速度入力!$B$56:$AV$206,ROWS($A$5:$A88),MATCH(C$4,加速度入力!$B$53:$AV$53,0)),1)</f>
        <v>20.6</v>
      </c>
      <c r="D88" s="1">
        <f>ROUND(INDEX(加速度入力!$B$56:$AV$206,ROWS($A$5:$A88),MATCH(D$4,加速度入力!$B$53:$AV$53,0)),1)</f>
        <v>65.599999999999994</v>
      </c>
      <c r="E88" s="1">
        <f>ROUND(INDEX(加速度入力!$B$56:$AV$206,ROWS($A$5:$A88),MATCH(E$4,加速度入力!$B$53:$AV$53,0)),1)</f>
        <v>109.4</v>
      </c>
      <c r="F88" s="1">
        <f>ROUND(INDEX(加速度入力!$B$56:$AV$206,ROWS($A$5:$A88),MATCH(F$4,加速度入力!$B$53:$AV$53,0)),1)</f>
        <v>79.5</v>
      </c>
    </row>
    <row r="89" spans="1:6" x14ac:dyDescent="0.25">
      <c r="A89" s="1">
        <f>加速度入力!B140</f>
        <v>84</v>
      </c>
      <c r="B89" s="1">
        <f>ROUND(INDEX(加速度入力!$B$56:$AV$206,ROWS($A$5:$A89),MATCH(B$4,加速度入力!$B$53:$AV$53,0)),1)</f>
        <v>2.6</v>
      </c>
      <c r="C89" s="1">
        <f>ROUND(INDEX(加速度入力!$B$56:$AV$206,ROWS($A$5:$A89),MATCH(C$4,加速度入力!$B$53:$AV$53,0)),1)</f>
        <v>20.399999999999999</v>
      </c>
      <c r="D89" s="1">
        <f>ROUND(INDEX(加速度入力!$B$56:$AV$206,ROWS($A$5:$A89),MATCH(D$4,加速度入力!$B$53:$AV$53,0)),1)</f>
        <v>64.900000000000006</v>
      </c>
      <c r="E89" s="1">
        <f>ROUND(INDEX(加速度入力!$B$56:$AV$206,ROWS($A$5:$A89),MATCH(E$4,加速度入力!$B$53:$AV$53,0)),1)</f>
        <v>108.1</v>
      </c>
      <c r="F89" s="1">
        <f>ROUND(INDEX(加速度入力!$B$56:$AV$206,ROWS($A$5:$A89),MATCH(F$4,加速度入力!$B$53:$AV$53,0)),1)</f>
        <v>78.599999999999994</v>
      </c>
    </row>
    <row r="90" spans="1:6" x14ac:dyDescent="0.25">
      <c r="A90" s="1">
        <f>加速度入力!B141</f>
        <v>85</v>
      </c>
      <c r="B90" s="1">
        <f>ROUND(INDEX(加速度入力!$B$56:$AV$206,ROWS($A$5:$A90),MATCH(B$4,加速度入力!$B$53:$AV$53,0)),1)</f>
        <v>2.6</v>
      </c>
      <c r="C90" s="1">
        <f>ROUND(INDEX(加速度入力!$B$56:$AV$206,ROWS($A$5:$A90),MATCH(C$4,加速度入力!$B$53:$AV$53,0)),1)</f>
        <v>20.100000000000001</v>
      </c>
      <c r="D90" s="1">
        <f>ROUND(INDEX(加速度入力!$B$56:$AV$206,ROWS($A$5:$A90),MATCH(D$4,加速度入力!$B$53:$AV$53,0)),1)</f>
        <v>64.099999999999994</v>
      </c>
      <c r="E90" s="1">
        <f>ROUND(INDEX(加速度入力!$B$56:$AV$206,ROWS($A$5:$A90),MATCH(E$4,加速度入力!$B$53:$AV$53,0)),1)</f>
        <v>106.9</v>
      </c>
      <c r="F90" s="1">
        <f>ROUND(INDEX(加速度入力!$B$56:$AV$206,ROWS($A$5:$A90),MATCH(F$4,加速度入力!$B$53:$AV$53,0)),1)</f>
        <v>77.7</v>
      </c>
    </row>
    <row r="91" spans="1:6" x14ac:dyDescent="0.25">
      <c r="A91" s="1">
        <f>加速度入力!B142</f>
        <v>86</v>
      </c>
      <c r="B91" s="1">
        <f>ROUND(INDEX(加速度入力!$B$56:$AV$206,ROWS($A$5:$A91),MATCH(B$4,加速度入力!$B$53:$AV$53,0)),1)</f>
        <v>2.5</v>
      </c>
      <c r="C91" s="1">
        <f>ROUND(INDEX(加速度入力!$B$56:$AV$206,ROWS($A$5:$A91),MATCH(C$4,加速度入力!$B$53:$AV$53,0)),1)</f>
        <v>19.899999999999999</v>
      </c>
      <c r="D91" s="1">
        <f>ROUND(INDEX(加速度入力!$B$56:$AV$206,ROWS($A$5:$A91),MATCH(D$4,加速度入力!$B$53:$AV$53,0)),1)</f>
        <v>63.4</v>
      </c>
      <c r="E91" s="1">
        <f>ROUND(INDEX(加速度入力!$B$56:$AV$206,ROWS($A$5:$A91),MATCH(E$4,加速度入力!$B$53:$AV$53,0)),1)</f>
        <v>105.6</v>
      </c>
      <c r="F91" s="1">
        <f>ROUND(INDEX(加速度入力!$B$56:$AV$206,ROWS($A$5:$A91),MATCH(F$4,加速度入力!$B$53:$AV$53,0)),1)</f>
        <v>76.8</v>
      </c>
    </row>
    <row r="92" spans="1:6" x14ac:dyDescent="0.25">
      <c r="A92" s="1">
        <f>加速度入力!B143</f>
        <v>87</v>
      </c>
      <c r="B92" s="1">
        <f>ROUND(INDEX(加速度入力!$B$56:$AV$206,ROWS($A$5:$A92),MATCH(B$4,加速度入力!$B$53:$AV$53,0)),1)</f>
        <v>2.5</v>
      </c>
      <c r="C92" s="1">
        <f>ROUND(INDEX(加速度入力!$B$56:$AV$206,ROWS($A$5:$A92),MATCH(C$4,加速度入力!$B$53:$AV$53,0)),1)</f>
        <v>19.7</v>
      </c>
      <c r="D92" s="1">
        <f>ROUND(INDEX(加速度入力!$B$56:$AV$206,ROWS($A$5:$A92),MATCH(D$4,加速度入力!$B$53:$AV$53,0)),1)</f>
        <v>62.6</v>
      </c>
      <c r="E92" s="1">
        <f>ROUND(INDEX(加速度入力!$B$56:$AV$206,ROWS($A$5:$A92),MATCH(E$4,加速度入力!$B$53:$AV$53,0)),1)</f>
        <v>104.4</v>
      </c>
      <c r="F92" s="1">
        <f>ROUND(INDEX(加速度入力!$B$56:$AV$206,ROWS($A$5:$A92),MATCH(F$4,加速度入力!$B$53:$AV$53,0)),1)</f>
        <v>75.900000000000006</v>
      </c>
    </row>
    <row r="93" spans="1:6" x14ac:dyDescent="0.25">
      <c r="A93" s="1">
        <f>加速度入力!B144</f>
        <v>88</v>
      </c>
      <c r="B93" s="1">
        <f>ROUND(INDEX(加速度入力!$B$56:$AV$206,ROWS($A$5:$A93),MATCH(B$4,加速度入力!$B$53:$AV$53,0)),1)</f>
        <v>2.5</v>
      </c>
      <c r="C93" s="1">
        <f>ROUND(INDEX(加速度入力!$B$56:$AV$206,ROWS($A$5:$A93),MATCH(C$4,加速度入力!$B$53:$AV$53,0)),1)</f>
        <v>19.399999999999999</v>
      </c>
      <c r="D93" s="1">
        <f>ROUND(INDEX(加速度入力!$B$56:$AV$206,ROWS($A$5:$A93),MATCH(D$4,加速度入力!$B$53:$AV$53,0)),1)</f>
        <v>61.9</v>
      </c>
      <c r="E93" s="1">
        <f>ROUND(INDEX(加速度入力!$B$56:$AV$206,ROWS($A$5:$A93),MATCH(E$4,加速度入力!$B$53:$AV$53,0)),1)</f>
        <v>103.2</v>
      </c>
      <c r="F93" s="1">
        <f>ROUND(INDEX(加速度入力!$B$56:$AV$206,ROWS($A$5:$A93),MATCH(F$4,加速度入力!$B$53:$AV$53,0)),1)</f>
        <v>75</v>
      </c>
    </row>
    <row r="94" spans="1:6" x14ac:dyDescent="0.25">
      <c r="A94" s="1">
        <f>加速度入力!B145</f>
        <v>89</v>
      </c>
      <c r="B94" s="1">
        <f>ROUND(INDEX(加速度入力!$B$56:$AV$206,ROWS($A$5:$A94),MATCH(B$4,加速度入力!$B$53:$AV$53,0)),1)</f>
        <v>2.5</v>
      </c>
      <c r="C94" s="1">
        <f>ROUND(INDEX(加速度入力!$B$56:$AV$206,ROWS($A$5:$A94),MATCH(C$4,加速度入力!$B$53:$AV$53,0)),1)</f>
        <v>19.2</v>
      </c>
      <c r="D94" s="1">
        <f>ROUND(INDEX(加速度入力!$B$56:$AV$206,ROWS($A$5:$A94),MATCH(D$4,加速度入力!$B$53:$AV$53,0)),1)</f>
        <v>61.2</v>
      </c>
      <c r="E94" s="1">
        <f>ROUND(INDEX(加速度入力!$B$56:$AV$206,ROWS($A$5:$A94),MATCH(E$4,加速度入力!$B$53:$AV$53,0)),1)</f>
        <v>102.1</v>
      </c>
      <c r="F94" s="1">
        <f>ROUND(INDEX(加速度入力!$B$56:$AV$206,ROWS($A$5:$A94),MATCH(F$4,加速度入力!$B$53:$AV$53,0)),1)</f>
        <v>74.2</v>
      </c>
    </row>
    <row r="95" spans="1:6" x14ac:dyDescent="0.25">
      <c r="A95" s="1">
        <f>加速度入力!B146</f>
        <v>90</v>
      </c>
      <c r="B95" s="1">
        <f>ROUND(INDEX(加速度入力!$B$56:$AV$206,ROWS($A$5:$A95),MATCH(B$4,加速度入力!$B$53:$AV$53,0)),1)</f>
        <v>2.4</v>
      </c>
      <c r="C95" s="1">
        <f>ROUND(INDEX(加速度入力!$B$56:$AV$206,ROWS($A$5:$A95),MATCH(C$4,加速度入力!$B$53:$AV$53,0)),1)</f>
        <v>19</v>
      </c>
      <c r="D95" s="1">
        <f>ROUND(INDEX(加速度入力!$B$56:$AV$206,ROWS($A$5:$A95),MATCH(D$4,加速度入力!$B$53:$AV$53,0)),1)</f>
        <v>60.5</v>
      </c>
      <c r="E95" s="1">
        <f>ROUND(INDEX(加速度入力!$B$56:$AV$206,ROWS($A$5:$A95),MATCH(E$4,加速度入力!$B$53:$AV$53,0)),1)</f>
        <v>100.9</v>
      </c>
      <c r="F95" s="1">
        <f>ROUND(INDEX(加速度入力!$B$56:$AV$206,ROWS($A$5:$A95),MATCH(F$4,加速度入力!$B$53:$AV$53,0)),1)</f>
        <v>73.3</v>
      </c>
    </row>
    <row r="96" spans="1:6" x14ac:dyDescent="0.25">
      <c r="A96" s="1">
        <f>加速度入力!B147</f>
        <v>91</v>
      </c>
      <c r="B96" s="1">
        <f>ROUND(INDEX(加速度入力!$B$56:$AV$206,ROWS($A$5:$A96),MATCH(B$4,加速度入力!$B$53:$AV$53,0)),1)</f>
        <v>2.4</v>
      </c>
      <c r="C96" s="1">
        <f>ROUND(INDEX(加速度入力!$B$56:$AV$206,ROWS($A$5:$A96),MATCH(C$4,加速度入力!$B$53:$AV$53,0)),1)</f>
        <v>18.8</v>
      </c>
      <c r="D96" s="1">
        <f>ROUND(INDEX(加速度入力!$B$56:$AV$206,ROWS($A$5:$A96),MATCH(D$4,加速度入力!$B$53:$AV$53,0)),1)</f>
        <v>59.9</v>
      </c>
      <c r="E96" s="1">
        <f>ROUND(INDEX(加速度入力!$B$56:$AV$206,ROWS($A$5:$A96),MATCH(E$4,加速度入力!$B$53:$AV$53,0)),1)</f>
        <v>99.8</v>
      </c>
      <c r="F96" s="1">
        <f>ROUND(INDEX(加速度入力!$B$56:$AV$206,ROWS($A$5:$A96),MATCH(F$4,加速度入力!$B$53:$AV$53,0)),1)</f>
        <v>72.5</v>
      </c>
    </row>
    <row r="97" spans="1:6" x14ac:dyDescent="0.25">
      <c r="A97" s="1">
        <f>加速度入力!B148</f>
        <v>92</v>
      </c>
      <c r="B97" s="1">
        <f>ROUND(INDEX(加速度入力!$B$56:$AV$206,ROWS($A$5:$A97),MATCH(B$4,加速度入力!$B$53:$AV$53,0)),1)</f>
        <v>2.4</v>
      </c>
      <c r="C97" s="1">
        <f>ROUND(INDEX(加速度入力!$B$56:$AV$206,ROWS($A$5:$A97),MATCH(C$4,加速度入力!$B$53:$AV$53,0)),1)</f>
        <v>18.600000000000001</v>
      </c>
      <c r="D97" s="1">
        <f>ROUND(INDEX(加速度入力!$B$56:$AV$206,ROWS($A$5:$A97),MATCH(D$4,加速度入力!$B$53:$AV$53,0)),1)</f>
        <v>59.2</v>
      </c>
      <c r="E97" s="1">
        <f>ROUND(INDEX(加速度入力!$B$56:$AV$206,ROWS($A$5:$A97),MATCH(E$4,加速度入力!$B$53:$AV$53,0)),1)</f>
        <v>98.7</v>
      </c>
      <c r="F97" s="1">
        <f>ROUND(INDEX(加速度入力!$B$56:$AV$206,ROWS($A$5:$A97),MATCH(F$4,加速度入力!$B$53:$AV$53,0)),1)</f>
        <v>71.7</v>
      </c>
    </row>
    <row r="98" spans="1:6" x14ac:dyDescent="0.25">
      <c r="A98" s="1">
        <f>加速度入力!B149</f>
        <v>93</v>
      </c>
      <c r="B98" s="1">
        <f>ROUND(INDEX(加速度入力!$B$56:$AV$206,ROWS($A$5:$A98),MATCH(B$4,加速度入力!$B$53:$AV$53,0)),1)</f>
        <v>2.2999999999999998</v>
      </c>
      <c r="C98" s="1">
        <f>ROUND(INDEX(加速度入力!$B$56:$AV$206,ROWS($A$5:$A98),MATCH(C$4,加速度入力!$B$53:$AV$53,0)),1)</f>
        <v>18.399999999999999</v>
      </c>
      <c r="D98" s="1">
        <f>ROUND(INDEX(加速度入力!$B$56:$AV$206,ROWS($A$5:$A98),MATCH(D$4,加速度入力!$B$53:$AV$53,0)),1)</f>
        <v>58.6</v>
      </c>
      <c r="E98" s="1">
        <f>ROUND(INDEX(加速度入力!$B$56:$AV$206,ROWS($A$5:$A98),MATCH(E$4,加速度入力!$B$53:$AV$53,0)),1)</f>
        <v>97.7</v>
      </c>
      <c r="F98" s="1">
        <f>ROUND(INDEX(加速度入力!$B$56:$AV$206,ROWS($A$5:$A98),MATCH(F$4,加速度入力!$B$53:$AV$53,0)),1)</f>
        <v>71</v>
      </c>
    </row>
    <row r="99" spans="1:6" x14ac:dyDescent="0.25">
      <c r="A99" s="1">
        <f>加速度入力!B150</f>
        <v>94</v>
      </c>
      <c r="B99" s="1">
        <f>ROUND(INDEX(加速度入力!$B$56:$AV$206,ROWS($A$5:$A99),MATCH(B$4,加速度入力!$B$53:$AV$53,0)),1)</f>
        <v>2.2999999999999998</v>
      </c>
      <c r="C99" s="1">
        <f>ROUND(INDEX(加速度入力!$B$56:$AV$206,ROWS($A$5:$A99),MATCH(C$4,加速度入力!$B$53:$AV$53,0)),1)</f>
        <v>18.2</v>
      </c>
      <c r="D99" s="1">
        <f>ROUND(INDEX(加速度入力!$B$56:$AV$206,ROWS($A$5:$A99),MATCH(D$4,加速度入力!$B$53:$AV$53,0)),1)</f>
        <v>58</v>
      </c>
      <c r="E99" s="1">
        <f>ROUND(INDEX(加速度入力!$B$56:$AV$206,ROWS($A$5:$A99),MATCH(E$4,加速度入力!$B$53:$AV$53,0)),1)</f>
        <v>96.6</v>
      </c>
      <c r="F99" s="1">
        <f>ROUND(INDEX(加速度入力!$B$56:$AV$206,ROWS($A$5:$A99),MATCH(F$4,加速度入力!$B$53:$AV$53,0)),1)</f>
        <v>70.2</v>
      </c>
    </row>
    <row r="100" spans="1:6" x14ac:dyDescent="0.25">
      <c r="A100" s="1">
        <f>加速度入力!B151</f>
        <v>95</v>
      </c>
      <c r="B100" s="1">
        <f>ROUND(INDEX(加速度入力!$B$56:$AV$206,ROWS($A$5:$A100),MATCH(B$4,加速度入力!$B$53:$AV$53,0)),1)</f>
        <v>2.2999999999999998</v>
      </c>
      <c r="C100" s="1">
        <f>ROUND(INDEX(加速度入力!$B$56:$AV$206,ROWS($A$5:$A100),MATCH(C$4,加速度入力!$B$53:$AV$53,0)),1)</f>
        <v>18</v>
      </c>
      <c r="D100" s="1">
        <f>ROUND(INDEX(加速度入力!$B$56:$AV$206,ROWS($A$5:$A100),MATCH(D$4,加速度入力!$B$53:$AV$53,0)),1)</f>
        <v>57.4</v>
      </c>
      <c r="E100" s="1">
        <f>ROUND(INDEX(加速度入力!$B$56:$AV$206,ROWS($A$5:$A100),MATCH(E$4,加速度入力!$B$53:$AV$53,0)),1)</f>
        <v>95.6</v>
      </c>
      <c r="F100" s="1">
        <f>ROUND(INDEX(加速度入力!$B$56:$AV$206,ROWS($A$5:$A100),MATCH(F$4,加速度入力!$B$53:$AV$53,0)),1)</f>
        <v>69.5</v>
      </c>
    </row>
    <row r="101" spans="1:6" x14ac:dyDescent="0.25">
      <c r="A101" s="1">
        <f>加速度入力!B152</f>
        <v>96</v>
      </c>
      <c r="B101" s="1">
        <f>ROUND(INDEX(加速度入力!$B$56:$AV$206,ROWS($A$5:$A101),MATCH(B$4,加速度入力!$B$53:$AV$53,0)),1)</f>
        <v>2.2999999999999998</v>
      </c>
      <c r="C101" s="1">
        <f>ROUND(INDEX(加速度入力!$B$56:$AV$206,ROWS($A$5:$A101),MATCH(C$4,加速度入力!$B$53:$AV$53,0)),1)</f>
        <v>17.8</v>
      </c>
      <c r="D101" s="1">
        <f>ROUND(INDEX(加速度入力!$B$56:$AV$206,ROWS($A$5:$A101),MATCH(D$4,加速度入力!$B$53:$AV$53,0)),1)</f>
        <v>56.8</v>
      </c>
      <c r="E101" s="1">
        <f>ROUND(INDEX(加速度入力!$B$56:$AV$206,ROWS($A$5:$A101),MATCH(E$4,加速度入力!$B$53:$AV$53,0)),1)</f>
        <v>94.6</v>
      </c>
      <c r="F101" s="1">
        <f>ROUND(INDEX(加速度入力!$B$56:$AV$206,ROWS($A$5:$A101),MATCH(F$4,加速度入力!$B$53:$AV$53,0)),1)</f>
        <v>68.8</v>
      </c>
    </row>
    <row r="102" spans="1:6" x14ac:dyDescent="0.25">
      <c r="A102" s="1">
        <f>加速度入力!B153</f>
        <v>97</v>
      </c>
      <c r="B102" s="1">
        <f>ROUND(INDEX(加速度入力!$B$56:$AV$206,ROWS($A$5:$A102),MATCH(B$4,加速度入力!$B$53:$AV$53,0)),1)</f>
        <v>2.2999999999999998</v>
      </c>
      <c r="C102" s="1">
        <f>ROUND(INDEX(加速度入力!$B$56:$AV$206,ROWS($A$5:$A102),MATCH(C$4,加速度入力!$B$53:$AV$53,0)),1)</f>
        <v>17.600000000000001</v>
      </c>
      <c r="D102" s="1">
        <f>ROUND(INDEX(加速度入力!$B$56:$AV$206,ROWS($A$5:$A102),MATCH(D$4,加速度入力!$B$53:$AV$53,0)),1)</f>
        <v>56.2</v>
      </c>
      <c r="E102" s="1">
        <f>ROUND(INDEX(加速度入力!$B$56:$AV$206,ROWS($A$5:$A102),MATCH(E$4,加速度入力!$B$53:$AV$53,0)),1)</f>
        <v>93.6</v>
      </c>
      <c r="F102" s="1">
        <f>ROUND(INDEX(加速度入力!$B$56:$AV$206,ROWS($A$5:$A102),MATCH(F$4,加速度入力!$B$53:$AV$53,0)),1)</f>
        <v>68</v>
      </c>
    </row>
    <row r="103" spans="1:6" x14ac:dyDescent="0.25">
      <c r="A103" s="1">
        <f>加速度入力!B154</f>
        <v>98</v>
      </c>
      <c r="B103" s="1">
        <f>ROUND(INDEX(加速度入力!$B$56:$AV$206,ROWS($A$5:$A103),MATCH(B$4,加速度入力!$B$53:$AV$53,0)),1)</f>
        <v>2.2000000000000002</v>
      </c>
      <c r="C103" s="1">
        <f>ROUND(INDEX(加速度入力!$B$56:$AV$206,ROWS($A$5:$A103),MATCH(C$4,加速度入力!$B$53:$AV$53,0)),1)</f>
        <v>17.399999999999999</v>
      </c>
      <c r="D103" s="1">
        <f>ROUND(INDEX(加速度入力!$B$56:$AV$206,ROWS($A$5:$A103),MATCH(D$4,加速度入力!$B$53:$AV$53,0)),1)</f>
        <v>55.6</v>
      </c>
      <c r="E103" s="1">
        <f>ROUND(INDEX(加速度入力!$B$56:$AV$206,ROWS($A$5:$A103),MATCH(E$4,加速度入力!$B$53:$AV$53,0)),1)</f>
        <v>92.7</v>
      </c>
      <c r="F103" s="1">
        <f>ROUND(INDEX(加速度入力!$B$56:$AV$206,ROWS($A$5:$A103),MATCH(F$4,加速度入力!$B$53:$AV$53,0)),1)</f>
        <v>67.400000000000006</v>
      </c>
    </row>
    <row r="104" spans="1:6" x14ac:dyDescent="0.25">
      <c r="A104" s="1">
        <f>加速度入力!B155</f>
        <v>99</v>
      </c>
      <c r="B104" s="1">
        <f>ROUND(INDEX(加速度入力!$B$56:$AV$206,ROWS($A$5:$A104),MATCH(B$4,加速度入力!$B$53:$AV$53,0)),1)</f>
        <v>2.2000000000000002</v>
      </c>
      <c r="C104" s="1">
        <f>ROUND(INDEX(加速度入力!$B$56:$AV$206,ROWS($A$5:$A104),MATCH(C$4,加速度入力!$B$53:$AV$53,0)),1)</f>
        <v>17.3</v>
      </c>
      <c r="D104" s="1">
        <f>ROUND(INDEX(加速度入力!$B$56:$AV$206,ROWS($A$5:$A104),MATCH(D$4,加速度入力!$B$53:$AV$53,0)),1)</f>
        <v>55</v>
      </c>
      <c r="E104" s="1">
        <f>ROUND(INDEX(加速度入力!$B$56:$AV$206,ROWS($A$5:$A104),MATCH(E$4,加速度入力!$B$53:$AV$53,0)),1)</f>
        <v>91.7</v>
      </c>
      <c r="F104" s="1">
        <f>ROUND(INDEX(加速度入力!$B$56:$AV$206,ROWS($A$5:$A104),MATCH(F$4,加速度入力!$B$53:$AV$53,0)),1)</f>
        <v>66.7</v>
      </c>
    </row>
    <row r="105" spans="1:6" x14ac:dyDescent="0.25">
      <c r="A105" s="1">
        <f>加速度入力!B156</f>
        <v>100</v>
      </c>
      <c r="B105" s="1">
        <f>ROUND(INDEX(加速度入力!$B$56:$AV$206,ROWS($A$5:$A105),MATCH(B$4,加速度入力!$B$53:$AV$53,0)),1)</f>
        <v>2.2000000000000002</v>
      </c>
      <c r="C105" s="1">
        <f>ROUND(INDEX(加速度入力!$B$56:$AV$206,ROWS($A$5:$A105),MATCH(C$4,加速度入力!$B$53:$AV$53,0)),1)</f>
        <v>17.100000000000001</v>
      </c>
      <c r="D105" s="1">
        <f>ROUND(INDEX(加速度入力!$B$56:$AV$206,ROWS($A$5:$A105),MATCH(D$4,加速度入力!$B$53:$AV$53,0)),1)</f>
        <v>54.5</v>
      </c>
      <c r="E105" s="1">
        <f>ROUND(INDEX(加速度入力!$B$56:$AV$206,ROWS($A$5:$A105),MATCH(E$4,加速度入力!$B$53:$AV$53,0)),1)</f>
        <v>90.8</v>
      </c>
      <c r="F105" s="1">
        <f>ROUND(INDEX(加速度入力!$B$56:$AV$206,ROWS($A$5:$A105),MATCH(F$4,加速度入力!$B$53:$AV$53,0)),1)</f>
        <v>66</v>
      </c>
    </row>
    <row r="106" spans="1:6" x14ac:dyDescent="0.25">
      <c r="A106" s="1">
        <f>加速度入力!B157</f>
        <v>101</v>
      </c>
      <c r="B106" s="1">
        <f>ROUND(INDEX(加速度入力!$B$56:$AV$206,ROWS($A$5:$A106),MATCH(B$4,加速度入力!$B$53:$AV$53,0)),1)</f>
        <v>2.2000000000000002</v>
      </c>
      <c r="C106" s="1">
        <f>ROUND(INDEX(加速度入力!$B$56:$AV$206,ROWS($A$5:$A106),MATCH(C$4,加速度入力!$B$53:$AV$53,0)),1)</f>
        <v>16.899999999999999</v>
      </c>
      <c r="D106" s="1">
        <f>ROUND(INDEX(加速度入力!$B$56:$AV$206,ROWS($A$5:$A106),MATCH(D$4,加速度入力!$B$53:$AV$53,0)),1)</f>
        <v>53.9</v>
      </c>
      <c r="E106" s="1">
        <f>ROUND(INDEX(加速度入力!$B$56:$AV$206,ROWS($A$5:$A106),MATCH(E$4,加速度入力!$B$53:$AV$53,0)),1)</f>
        <v>89.9</v>
      </c>
      <c r="F106" s="1">
        <f>ROUND(INDEX(加速度入力!$B$56:$AV$206,ROWS($A$5:$A106),MATCH(F$4,加速度入力!$B$53:$AV$53,0)),1)</f>
        <v>65.400000000000006</v>
      </c>
    </row>
    <row r="107" spans="1:6" x14ac:dyDescent="0.25">
      <c r="A107" s="1">
        <f>加速度入力!B158</f>
        <v>102</v>
      </c>
      <c r="B107" s="1">
        <f>ROUND(INDEX(加速度入力!$B$56:$AV$206,ROWS($A$5:$A107),MATCH(B$4,加速度入力!$B$53:$AV$53,0)),1)</f>
        <v>2.1</v>
      </c>
      <c r="C107" s="1">
        <f>ROUND(INDEX(加速度入力!$B$56:$AV$206,ROWS($A$5:$A107),MATCH(C$4,加速度入力!$B$53:$AV$53,0)),1)</f>
        <v>16.8</v>
      </c>
      <c r="D107" s="1">
        <f>ROUND(INDEX(加速度入力!$B$56:$AV$206,ROWS($A$5:$A107),MATCH(D$4,加速度入力!$B$53:$AV$53,0)),1)</f>
        <v>53.4</v>
      </c>
      <c r="E107" s="1">
        <f>ROUND(INDEX(加速度入力!$B$56:$AV$206,ROWS($A$5:$A107),MATCH(E$4,加速度入力!$B$53:$AV$53,0)),1)</f>
        <v>89.1</v>
      </c>
      <c r="F107" s="1">
        <f>ROUND(INDEX(加速度入力!$B$56:$AV$206,ROWS($A$5:$A107),MATCH(F$4,加速度入力!$B$53:$AV$53,0)),1)</f>
        <v>64.7</v>
      </c>
    </row>
    <row r="108" spans="1:6" x14ac:dyDescent="0.25">
      <c r="A108" s="1">
        <f>加速度入力!B159</f>
        <v>103</v>
      </c>
      <c r="B108" s="1">
        <f>ROUND(INDEX(加速度入力!$B$56:$AV$206,ROWS($A$5:$A108),MATCH(B$4,加速度入力!$B$53:$AV$53,0)),1)</f>
        <v>2.1</v>
      </c>
      <c r="C108" s="1">
        <f>ROUND(INDEX(加速度入力!$B$56:$AV$206,ROWS($A$5:$A108),MATCH(C$4,加速度入力!$B$53:$AV$53,0)),1)</f>
        <v>16.600000000000001</v>
      </c>
      <c r="D108" s="1">
        <f>ROUND(INDEX(加速度入力!$B$56:$AV$206,ROWS($A$5:$A108),MATCH(D$4,加速度入力!$B$53:$AV$53,0)),1)</f>
        <v>52.9</v>
      </c>
      <c r="E108" s="1">
        <f>ROUND(INDEX(加速度入力!$B$56:$AV$206,ROWS($A$5:$A108),MATCH(E$4,加速度入力!$B$53:$AV$53,0)),1)</f>
        <v>88.2</v>
      </c>
      <c r="F108" s="1">
        <f>ROUND(INDEX(加速度入力!$B$56:$AV$206,ROWS($A$5:$A108),MATCH(F$4,加速度入力!$B$53:$AV$53,0)),1)</f>
        <v>64.099999999999994</v>
      </c>
    </row>
    <row r="109" spans="1:6" x14ac:dyDescent="0.25">
      <c r="A109" s="1">
        <f>加速度入力!B160</f>
        <v>104</v>
      </c>
      <c r="B109" s="1">
        <f>ROUND(INDEX(加速度入力!$B$56:$AV$206,ROWS($A$5:$A109),MATCH(B$4,加速度入力!$B$53:$AV$53,0)),1)</f>
        <v>2.1</v>
      </c>
      <c r="C109" s="1">
        <f>ROUND(INDEX(加速度入力!$B$56:$AV$206,ROWS($A$5:$A109),MATCH(C$4,加速度入力!$B$53:$AV$53,0)),1)</f>
        <v>16.399999999999999</v>
      </c>
      <c r="D109" s="1">
        <f>ROUND(INDEX(加速度入力!$B$56:$AV$206,ROWS($A$5:$A109),MATCH(D$4,加速度入力!$B$53:$AV$53,0)),1)</f>
        <v>52.4</v>
      </c>
      <c r="E109" s="1">
        <f>ROUND(INDEX(加速度入力!$B$56:$AV$206,ROWS($A$5:$A109),MATCH(E$4,加速度入力!$B$53:$AV$53,0)),1)</f>
        <v>87.3</v>
      </c>
      <c r="F109" s="1">
        <f>ROUND(INDEX(加速度入力!$B$56:$AV$206,ROWS($A$5:$A109),MATCH(F$4,加速度入力!$B$53:$AV$53,0)),1)</f>
        <v>63.5</v>
      </c>
    </row>
    <row r="110" spans="1:6" x14ac:dyDescent="0.25">
      <c r="A110" s="1">
        <f>加速度入力!B161</f>
        <v>105</v>
      </c>
      <c r="B110" s="1">
        <f>ROUND(INDEX(加速度入力!$B$56:$AV$206,ROWS($A$5:$A110),MATCH(B$4,加速度入力!$B$53:$AV$53,0)),1)</f>
        <v>2.1</v>
      </c>
      <c r="C110" s="1">
        <f>ROUND(INDEX(加速度入力!$B$56:$AV$206,ROWS($A$5:$A110),MATCH(C$4,加速度入力!$B$53:$AV$53,0)),1)</f>
        <v>16.3</v>
      </c>
      <c r="D110" s="1">
        <f>ROUND(INDEX(加速度入力!$B$56:$AV$206,ROWS($A$5:$A110),MATCH(D$4,加速度入力!$B$53:$AV$53,0)),1)</f>
        <v>51.9</v>
      </c>
      <c r="E110" s="1">
        <f>ROUND(INDEX(加速度入力!$B$56:$AV$206,ROWS($A$5:$A110),MATCH(E$4,加速度入力!$B$53:$AV$53,0)),1)</f>
        <v>86.5</v>
      </c>
      <c r="F110" s="1">
        <f>ROUND(INDEX(加速度入力!$B$56:$AV$206,ROWS($A$5:$A110),MATCH(F$4,加速度入力!$B$53:$AV$53,0)),1)</f>
        <v>62.9</v>
      </c>
    </row>
    <row r="111" spans="1:6" x14ac:dyDescent="0.25">
      <c r="A111" s="1">
        <f>加速度入力!B162</f>
        <v>106</v>
      </c>
      <c r="B111" s="1">
        <f>ROUND(INDEX(加速度入力!$B$56:$AV$206,ROWS($A$5:$A111),MATCH(B$4,加速度入力!$B$53:$AV$53,0)),1)</f>
        <v>2.1</v>
      </c>
      <c r="C111" s="1">
        <f>ROUND(INDEX(加速度入力!$B$56:$AV$206,ROWS($A$5:$A111),MATCH(C$4,加速度入力!$B$53:$AV$53,0)),1)</f>
        <v>16.100000000000001</v>
      </c>
      <c r="D111" s="1">
        <f>ROUND(INDEX(加速度入力!$B$56:$AV$206,ROWS($A$5:$A111),MATCH(D$4,加速度入力!$B$53:$AV$53,0)),1)</f>
        <v>51.4</v>
      </c>
      <c r="E111" s="1">
        <f>ROUND(INDEX(加速度入力!$B$56:$AV$206,ROWS($A$5:$A111),MATCH(E$4,加速度入力!$B$53:$AV$53,0)),1)</f>
        <v>85.7</v>
      </c>
      <c r="F111" s="1">
        <f>ROUND(INDEX(加速度入力!$B$56:$AV$206,ROWS($A$5:$A111),MATCH(F$4,加速度入力!$B$53:$AV$53,0)),1)</f>
        <v>62.3</v>
      </c>
    </row>
    <row r="112" spans="1:6" x14ac:dyDescent="0.25">
      <c r="A112" s="1">
        <f>加速度入力!B163</f>
        <v>107</v>
      </c>
      <c r="B112" s="1">
        <f>ROUND(INDEX(加速度入力!$B$56:$AV$206,ROWS($A$5:$A112),MATCH(B$4,加速度入力!$B$53:$AV$53,0)),1)</f>
        <v>2</v>
      </c>
      <c r="C112" s="1">
        <f>ROUND(INDEX(加速度入力!$B$56:$AV$206,ROWS($A$5:$A112),MATCH(C$4,加速度入力!$B$53:$AV$53,0)),1)</f>
        <v>16</v>
      </c>
      <c r="D112" s="1">
        <f>ROUND(INDEX(加速度入力!$B$56:$AV$206,ROWS($A$5:$A112),MATCH(D$4,加速度入力!$B$53:$AV$53,0)),1)</f>
        <v>50.9</v>
      </c>
      <c r="E112" s="1">
        <f>ROUND(INDEX(加速度入力!$B$56:$AV$206,ROWS($A$5:$A112),MATCH(E$4,加速度入力!$B$53:$AV$53,0)),1)</f>
        <v>84.9</v>
      </c>
      <c r="F112" s="1">
        <f>ROUND(INDEX(加速度入力!$B$56:$AV$206,ROWS($A$5:$A112),MATCH(F$4,加速度入力!$B$53:$AV$53,0)),1)</f>
        <v>61.7</v>
      </c>
    </row>
    <row r="113" spans="1:6" x14ac:dyDescent="0.25">
      <c r="A113" s="1">
        <f>加速度入力!B164</f>
        <v>108</v>
      </c>
      <c r="B113" s="1">
        <f>ROUND(INDEX(加速度入力!$B$56:$AV$206,ROWS($A$5:$A113),MATCH(B$4,加速度入力!$B$53:$AV$53,0)),1)</f>
        <v>2</v>
      </c>
      <c r="C113" s="1">
        <f>ROUND(INDEX(加速度入力!$B$56:$AV$206,ROWS($A$5:$A113),MATCH(C$4,加速度入力!$B$53:$AV$53,0)),1)</f>
        <v>15.8</v>
      </c>
      <c r="D113" s="1">
        <f>ROUND(INDEX(加速度入力!$B$56:$AV$206,ROWS($A$5:$A113),MATCH(D$4,加速度入力!$B$53:$AV$53,0)),1)</f>
        <v>50.4</v>
      </c>
      <c r="E113" s="1">
        <f>ROUND(INDEX(加速度入力!$B$56:$AV$206,ROWS($A$5:$A113),MATCH(E$4,加速度入力!$B$53:$AV$53,0)),1)</f>
        <v>84.1</v>
      </c>
      <c r="F113" s="1">
        <f>ROUND(INDEX(加速度入力!$B$56:$AV$206,ROWS($A$5:$A113),MATCH(F$4,加速度入力!$B$53:$AV$53,0)),1)</f>
        <v>61.1</v>
      </c>
    </row>
    <row r="114" spans="1:6" x14ac:dyDescent="0.25">
      <c r="A114" s="1">
        <f>加速度入力!B165</f>
        <v>109</v>
      </c>
      <c r="B114" s="1">
        <f>ROUND(INDEX(加速度入力!$B$56:$AV$206,ROWS($A$5:$A114),MATCH(B$4,加速度入力!$B$53:$AV$53,0)),1)</f>
        <v>2</v>
      </c>
      <c r="C114" s="1">
        <f>ROUND(INDEX(加速度入力!$B$56:$AV$206,ROWS($A$5:$A114),MATCH(C$4,加速度入力!$B$53:$AV$53,0)),1)</f>
        <v>15.7</v>
      </c>
      <c r="D114" s="1">
        <f>ROUND(INDEX(加速度入力!$B$56:$AV$206,ROWS($A$5:$A114),MATCH(D$4,加速度入力!$B$53:$AV$53,0)),1)</f>
        <v>50</v>
      </c>
      <c r="E114" s="1">
        <f>ROUND(INDEX(加速度入力!$B$56:$AV$206,ROWS($A$5:$A114),MATCH(E$4,加速度入力!$B$53:$AV$53,0)),1)</f>
        <v>83.3</v>
      </c>
      <c r="F114" s="1">
        <f>ROUND(INDEX(加速度入力!$B$56:$AV$206,ROWS($A$5:$A114),MATCH(F$4,加速度入力!$B$53:$AV$53,0)),1)</f>
        <v>60.6</v>
      </c>
    </row>
    <row r="115" spans="1:6" x14ac:dyDescent="0.25">
      <c r="A115" s="1">
        <f>加速度入力!B166</f>
        <v>110</v>
      </c>
      <c r="B115" s="1">
        <f>ROUND(INDEX(加速度入力!$B$56:$AV$206,ROWS($A$5:$A115),MATCH(B$4,加速度入力!$B$53:$AV$53,0)),1)</f>
        <v>2</v>
      </c>
      <c r="C115" s="1">
        <f>ROUND(INDEX(加速度入力!$B$56:$AV$206,ROWS($A$5:$A115),MATCH(C$4,加速度入力!$B$53:$AV$53,0)),1)</f>
        <v>15.5</v>
      </c>
      <c r="D115" s="1">
        <f>ROUND(INDEX(加速度入力!$B$56:$AV$206,ROWS($A$5:$A115),MATCH(D$4,加速度入力!$B$53:$AV$53,0)),1)</f>
        <v>49.5</v>
      </c>
      <c r="E115" s="1">
        <f>ROUND(INDEX(加速度入力!$B$56:$AV$206,ROWS($A$5:$A115),MATCH(E$4,加速度入力!$B$53:$AV$53,0)),1)</f>
        <v>82.6</v>
      </c>
      <c r="F115" s="1">
        <f>ROUND(INDEX(加速度入力!$B$56:$AV$206,ROWS($A$5:$A115),MATCH(F$4,加速度入力!$B$53:$AV$53,0)),1)</f>
        <v>60</v>
      </c>
    </row>
    <row r="116" spans="1:6" x14ac:dyDescent="0.25">
      <c r="A116" s="1">
        <f>加速度入力!B167</f>
        <v>111</v>
      </c>
      <c r="B116" s="1">
        <f>ROUND(INDEX(加速度入力!$B$56:$AV$206,ROWS($A$5:$A116),MATCH(B$4,加速度入力!$B$53:$AV$53,0)),1)</f>
        <v>2</v>
      </c>
      <c r="C116" s="1">
        <f>ROUND(INDEX(加速度入力!$B$56:$AV$206,ROWS($A$5:$A116),MATCH(C$4,加速度入力!$B$53:$AV$53,0)),1)</f>
        <v>15.4</v>
      </c>
      <c r="D116" s="1">
        <f>ROUND(INDEX(加速度入力!$B$56:$AV$206,ROWS($A$5:$A116),MATCH(D$4,加速度入力!$B$53:$AV$53,0)),1)</f>
        <v>49.1</v>
      </c>
      <c r="E116" s="1">
        <f>ROUND(INDEX(加速度入力!$B$56:$AV$206,ROWS($A$5:$A116),MATCH(E$4,加速度入力!$B$53:$AV$53,0)),1)</f>
        <v>81.8</v>
      </c>
      <c r="F116" s="1">
        <f>ROUND(INDEX(加速度入力!$B$56:$AV$206,ROWS($A$5:$A116),MATCH(F$4,加速度入力!$B$53:$AV$53,0)),1)</f>
        <v>59.5</v>
      </c>
    </row>
    <row r="117" spans="1:6" x14ac:dyDescent="0.25">
      <c r="A117" s="1">
        <f>加速度入力!B168</f>
        <v>112</v>
      </c>
      <c r="B117" s="1">
        <f>ROUND(INDEX(加速度入力!$B$56:$AV$206,ROWS($A$5:$A117),MATCH(B$4,加速度入力!$B$53:$AV$53,0)),1)</f>
        <v>2</v>
      </c>
      <c r="C117" s="1">
        <f>ROUND(INDEX(加速度入力!$B$56:$AV$206,ROWS($A$5:$A117),MATCH(C$4,加速度入力!$B$53:$AV$53,0)),1)</f>
        <v>15.3</v>
      </c>
      <c r="D117" s="1">
        <f>ROUND(INDEX(加速度入力!$B$56:$AV$206,ROWS($A$5:$A117),MATCH(D$4,加速度入力!$B$53:$AV$53,0)),1)</f>
        <v>48.6</v>
      </c>
      <c r="E117" s="1">
        <f>ROUND(INDEX(加速度入力!$B$56:$AV$206,ROWS($A$5:$A117),MATCH(E$4,加速度入力!$B$53:$AV$53,0)),1)</f>
        <v>81.099999999999994</v>
      </c>
      <c r="F117" s="1">
        <f>ROUND(INDEX(加速度入力!$B$56:$AV$206,ROWS($A$5:$A117),MATCH(F$4,加速度入力!$B$53:$AV$53,0)),1)</f>
        <v>58.9</v>
      </c>
    </row>
    <row r="118" spans="1:6" x14ac:dyDescent="0.25">
      <c r="A118" s="1">
        <f>加速度入力!B169</f>
        <v>113</v>
      </c>
      <c r="B118" s="1">
        <f>ROUND(INDEX(加速度入力!$B$56:$AV$206,ROWS($A$5:$A118),MATCH(B$4,加速度入力!$B$53:$AV$53,0)),1)</f>
        <v>1.9</v>
      </c>
      <c r="C118" s="1">
        <f>ROUND(INDEX(加速度入力!$B$56:$AV$206,ROWS($A$5:$A118),MATCH(C$4,加速度入力!$B$53:$AV$53,0)),1)</f>
        <v>15.1</v>
      </c>
      <c r="D118" s="1">
        <f>ROUND(INDEX(加速度入力!$B$56:$AV$206,ROWS($A$5:$A118),MATCH(D$4,加速度入力!$B$53:$AV$53,0)),1)</f>
        <v>48.2</v>
      </c>
      <c r="E118" s="1">
        <f>ROUND(INDEX(加速度入力!$B$56:$AV$206,ROWS($A$5:$A118),MATCH(E$4,加速度入力!$B$53:$AV$53,0)),1)</f>
        <v>80.400000000000006</v>
      </c>
      <c r="F118" s="1">
        <f>ROUND(INDEX(加速度入力!$B$56:$AV$206,ROWS($A$5:$A118),MATCH(F$4,加速度入力!$B$53:$AV$53,0)),1)</f>
        <v>58.4</v>
      </c>
    </row>
    <row r="119" spans="1:6" x14ac:dyDescent="0.25">
      <c r="A119" s="1">
        <f>加速度入力!B170</f>
        <v>114</v>
      </c>
      <c r="B119" s="1">
        <f>ROUND(INDEX(加速度入力!$B$56:$AV$206,ROWS($A$5:$A119),MATCH(B$4,加速度入力!$B$53:$AV$53,0)),1)</f>
        <v>1.9</v>
      </c>
      <c r="C119" s="1">
        <f>ROUND(INDEX(加速度入力!$B$56:$AV$206,ROWS($A$5:$A119),MATCH(C$4,加速度入力!$B$53:$AV$53,0)),1)</f>
        <v>15</v>
      </c>
      <c r="D119" s="1">
        <f>ROUND(INDEX(加速度入力!$B$56:$AV$206,ROWS($A$5:$A119),MATCH(D$4,加速度入力!$B$53:$AV$53,0)),1)</f>
        <v>47.8</v>
      </c>
      <c r="E119" s="1">
        <f>ROUND(INDEX(加速度入力!$B$56:$AV$206,ROWS($A$5:$A119),MATCH(E$4,加速度入力!$B$53:$AV$53,0)),1)</f>
        <v>79.7</v>
      </c>
      <c r="F119" s="1">
        <f>ROUND(INDEX(加速度入力!$B$56:$AV$206,ROWS($A$5:$A119),MATCH(F$4,加速度入力!$B$53:$AV$53,0)),1)</f>
        <v>57.9</v>
      </c>
    </row>
    <row r="120" spans="1:6" x14ac:dyDescent="0.25">
      <c r="A120" s="1">
        <f>加速度入力!B171</f>
        <v>115</v>
      </c>
      <c r="B120" s="1">
        <f>ROUND(INDEX(加速度入力!$B$56:$AV$206,ROWS($A$5:$A120),MATCH(B$4,加速度入力!$B$53:$AV$53,0)),1)</f>
        <v>1.9</v>
      </c>
      <c r="C120" s="1">
        <f>ROUND(INDEX(加速度入力!$B$56:$AV$206,ROWS($A$5:$A120),MATCH(C$4,加速度入力!$B$53:$AV$53,0)),1)</f>
        <v>14.9</v>
      </c>
      <c r="D120" s="1">
        <f>ROUND(INDEX(加速度入力!$B$56:$AV$206,ROWS($A$5:$A120),MATCH(D$4,加速度入力!$B$53:$AV$53,0)),1)</f>
        <v>47.4</v>
      </c>
      <c r="E120" s="1">
        <f>ROUND(INDEX(加速度入力!$B$56:$AV$206,ROWS($A$5:$A120),MATCH(E$4,加速度入力!$B$53:$AV$53,0)),1)</f>
        <v>79</v>
      </c>
      <c r="F120" s="1">
        <f>ROUND(INDEX(加速度入力!$B$56:$AV$206,ROWS($A$5:$A120),MATCH(F$4,加速度入力!$B$53:$AV$53,0)),1)</f>
        <v>57.4</v>
      </c>
    </row>
    <row r="121" spans="1:6" x14ac:dyDescent="0.25">
      <c r="A121" s="1">
        <f>加速度入力!B172</f>
        <v>116</v>
      </c>
      <c r="B121" s="1">
        <f>ROUND(INDEX(加速度入力!$B$56:$AV$206,ROWS($A$5:$A121),MATCH(B$4,加速度入力!$B$53:$AV$53,0)),1)</f>
        <v>1.9</v>
      </c>
      <c r="C121" s="1">
        <f>ROUND(INDEX(加速度入力!$B$56:$AV$206,ROWS($A$5:$A121),MATCH(C$4,加速度入力!$B$53:$AV$53,0)),1)</f>
        <v>14.7</v>
      </c>
      <c r="D121" s="1">
        <f>ROUND(INDEX(加速度入力!$B$56:$AV$206,ROWS($A$5:$A121),MATCH(D$4,加速度入力!$B$53:$AV$53,0)),1)</f>
        <v>47</v>
      </c>
      <c r="E121" s="1">
        <f>ROUND(INDEX(加速度入力!$B$56:$AV$206,ROWS($A$5:$A121),MATCH(E$4,加速度入力!$B$53:$AV$53,0)),1)</f>
        <v>78.3</v>
      </c>
      <c r="F121" s="1">
        <f>ROUND(INDEX(加速度入力!$B$56:$AV$206,ROWS($A$5:$A121),MATCH(F$4,加速度入力!$B$53:$AV$53,0)),1)</f>
        <v>56.9</v>
      </c>
    </row>
    <row r="122" spans="1:6" x14ac:dyDescent="0.25">
      <c r="A122" s="1">
        <f>加速度入力!B173</f>
        <v>117</v>
      </c>
      <c r="B122" s="1">
        <f>ROUND(INDEX(加速度入力!$B$56:$AV$206,ROWS($A$5:$A122),MATCH(B$4,加速度入力!$B$53:$AV$53,0)),1)</f>
        <v>1.9</v>
      </c>
      <c r="C122" s="1">
        <f>ROUND(INDEX(加速度入力!$B$56:$AV$206,ROWS($A$5:$A122),MATCH(C$4,加速度入力!$B$53:$AV$53,0)),1)</f>
        <v>14.6</v>
      </c>
      <c r="D122" s="1">
        <f>ROUND(INDEX(加速度入力!$B$56:$AV$206,ROWS($A$5:$A122),MATCH(D$4,加速度入力!$B$53:$AV$53,0)),1)</f>
        <v>46.6</v>
      </c>
      <c r="E122" s="1">
        <f>ROUND(INDEX(加速度入力!$B$56:$AV$206,ROWS($A$5:$A122),MATCH(E$4,加速度入力!$B$53:$AV$53,0)),1)</f>
        <v>77.599999999999994</v>
      </c>
      <c r="F122" s="1">
        <f>ROUND(INDEX(加速度入力!$B$56:$AV$206,ROWS($A$5:$A122),MATCH(F$4,加速度入力!$B$53:$AV$53,0)),1)</f>
        <v>56.4</v>
      </c>
    </row>
    <row r="123" spans="1:6" x14ac:dyDescent="0.25">
      <c r="A123" s="1">
        <f>加速度入力!B174</f>
        <v>118</v>
      </c>
      <c r="B123" s="1">
        <f>ROUND(INDEX(加速度入力!$B$56:$AV$206,ROWS($A$5:$A123),MATCH(B$4,加速度入力!$B$53:$AV$53,0)),1)</f>
        <v>1.9</v>
      </c>
      <c r="C123" s="1">
        <f>ROUND(INDEX(加速度入力!$B$56:$AV$206,ROWS($A$5:$A123),MATCH(C$4,加速度入力!$B$53:$AV$53,0)),1)</f>
        <v>14.5</v>
      </c>
      <c r="D123" s="1">
        <f>ROUND(INDEX(加速度入力!$B$56:$AV$206,ROWS($A$5:$A123),MATCH(D$4,加速度入力!$B$53:$AV$53,0)),1)</f>
        <v>46.2</v>
      </c>
      <c r="E123" s="1">
        <f>ROUND(INDEX(加速度入力!$B$56:$AV$206,ROWS($A$5:$A123),MATCH(E$4,加速度入力!$B$53:$AV$53,0)),1)</f>
        <v>77</v>
      </c>
      <c r="F123" s="1">
        <f>ROUND(INDEX(加速度入力!$B$56:$AV$206,ROWS($A$5:$A123),MATCH(F$4,加速度入力!$B$53:$AV$53,0)),1)</f>
        <v>55.9</v>
      </c>
    </row>
    <row r="124" spans="1:6" x14ac:dyDescent="0.25">
      <c r="A124" s="1">
        <f>加速度入力!B175</f>
        <v>119</v>
      </c>
      <c r="B124" s="1">
        <f>ROUND(INDEX(加速度入力!$B$56:$AV$206,ROWS($A$5:$A124),MATCH(B$4,加速度入力!$B$53:$AV$53,0)),1)</f>
        <v>1.8</v>
      </c>
      <c r="C124" s="1">
        <f>ROUND(INDEX(加速度入力!$B$56:$AV$206,ROWS($A$5:$A124),MATCH(C$4,加速度入力!$B$53:$AV$53,0)),1)</f>
        <v>14.4</v>
      </c>
      <c r="D124" s="1">
        <f>ROUND(INDEX(加速度入力!$B$56:$AV$206,ROWS($A$5:$A124),MATCH(D$4,加速度入力!$B$53:$AV$53,0)),1)</f>
        <v>45.8</v>
      </c>
      <c r="E124" s="1">
        <f>ROUND(INDEX(加速度入力!$B$56:$AV$206,ROWS($A$5:$A124),MATCH(E$4,加速度入力!$B$53:$AV$53,0)),1)</f>
        <v>76.3</v>
      </c>
      <c r="F124" s="1">
        <f>ROUND(INDEX(加速度入力!$B$56:$AV$206,ROWS($A$5:$A124),MATCH(F$4,加速度入力!$B$53:$AV$53,0)),1)</f>
        <v>55.5</v>
      </c>
    </row>
    <row r="125" spans="1:6" x14ac:dyDescent="0.25">
      <c r="A125" s="1">
        <f>加速度入力!B176</f>
        <v>120</v>
      </c>
      <c r="B125" s="1">
        <f>ROUND(INDEX(加速度入力!$B$56:$AV$206,ROWS($A$5:$A125),MATCH(B$4,加速度入力!$B$53:$AV$53,0)),1)</f>
        <v>1.8</v>
      </c>
      <c r="C125" s="1">
        <f>ROUND(INDEX(加速度入力!$B$56:$AV$206,ROWS($A$5:$A125),MATCH(C$4,加速度入力!$B$53:$AV$53,0)),1)</f>
        <v>14.2</v>
      </c>
      <c r="D125" s="1">
        <f>ROUND(INDEX(加速度入力!$B$56:$AV$206,ROWS($A$5:$A125),MATCH(D$4,加速度入力!$B$53:$AV$53,0)),1)</f>
        <v>45.4</v>
      </c>
      <c r="E125" s="1">
        <f>ROUND(INDEX(加速度入力!$B$56:$AV$206,ROWS($A$5:$A125),MATCH(E$4,加速度入力!$B$53:$AV$53,0)),1)</f>
        <v>75.7</v>
      </c>
      <c r="F125" s="1">
        <f>ROUND(INDEX(加速度入力!$B$56:$AV$206,ROWS($A$5:$A125),MATCH(F$4,加速度入力!$B$53:$AV$53,0)),1)</f>
        <v>55</v>
      </c>
    </row>
    <row r="126" spans="1:6" x14ac:dyDescent="0.25">
      <c r="A126" s="1">
        <f>加速度入力!B177</f>
        <v>121</v>
      </c>
      <c r="B126" s="1">
        <f>ROUND(INDEX(加速度入力!$B$56:$AV$206,ROWS($A$5:$A126),MATCH(B$4,加速度入力!$B$53:$AV$53,0)),1)</f>
        <v>1.8</v>
      </c>
      <c r="C126" s="1">
        <f>ROUND(INDEX(加速度入力!$B$56:$AV$206,ROWS($A$5:$A126),MATCH(C$4,加速度入力!$B$53:$AV$53,0)),1)</f>
        <v>14.1</v>
      </c>
      <c r="D126" s="1">
        <f>ROUND(INDEX(加速度入力!$B$56:$AV$206,ROWS($A$5:$A126),MATCH(D$4,加速度入力!$B$53:$AV$53,0)),1)</f>
        <v>45</v>
      </c>
      <c r="E126" s="1">
        <f>ROUND(INDEX(加速度入力!$B$56:$AV$206,ROWS($A$5:$A126),MATCH(E$4,加速度入力!$B$53:$AV$53,0)),1)</f>
        <v>75.099999999999994</v>
      </c>
      <c r="F126" s="1">
        <f>ROUND(INDEX(加速度入力!$B$56:$AV$206,ROWS($A$5:$A126),MATCH(F$4,加速度入力!$B$53:$AV$53,0)),1)</f>
        <v>54.6</v>
      </c>
    </row>
    <row r="127" spans="1:6" x14ac:dyDescent="0.25">
      <c r="A127" s="1">
        <f>加速度入力!B178</f>
        <v>122</v>
      </c>
      <c r="B127" s="1">
        <f>ROUND(INDEX(加速度入力!$B$56:$AV$206,ROWS($A$5:$A127),MATCH(B$4,加速度入力!$B$53:$AV$53,0)),1)</f>
        <v>1.8</v>
      </c>
      <c r="C127" s="1">
        <f>ROUND(INDEX(加速度入力!$B$56:$AV$206,ROWS($A$5:$A127),MATCH(C$4,加速度入力!$B$53:$AV$53,0)),1)</f>
        <v>14</v>
      </c>
      <c r="D127" s="1">
        <f>ROUND(INDEX(加速度入力!$B$56:$AV$206,ROWS($A$5:$A127),MATCH(D$4,加速度入力!$B$53:$AV$53,0)),1)</f>
        <v>44.7</v>
      </c>
      <c r="E127" s="1">
        <f>ROUND(INDEX(加速度入力!$B$56:$AV$206,ROWS($A$5:$A127),MATCH(E$4,加速度入力!$B$53:$AV$53,0)),1)</f>
        <v>74.5</v>
      </c>
      <c r="F127" s="1">
        <f>ROUND(INDEX(加速度入力!$B$56:$AV$206,ROWS($A$5:$A127),MATCH(F$4,加速度入力!$B$53:$AV$53,0)),1)</f>
        <v>54.1</v>
      </c>
    </row>
    <row r="128" spans="1:6" x14ac:dyDescent="0.25">
      <c r="A128" s="1">
        <f>加速度入力!B179</f>
        <v>123</v>
      </c>
      <c r="B128" s="1">
        <f>ROUND(INDEX(加速度入力!$B$56:$AV$206,ROWS($A$5:$A128),MATCH(B$4,加速度入力!$B$53:$AV$53,0)),1)</f>
        <v>1.8</v>
      </c>
      <c r="C128" s="1">
        <f>ROUND(INDEX(加速度入力!$B$56:$AV$206,ROWS($A$5:$A128),MATCH(C$4,加速度入力!$B$53:$AV$53,0)),1)</f>
        <v>13.9</v>
      </c>
      <c r="D128" s="1">
        <f>ROUND(INDEX(加速度入力!$B$56:$AV$206,ROWS($A$5:$A128),MATCH(D$4,加速度入力!$B$53:$AV$53,0)),1)</f>
        <v>44.3</v>
      </c>
      <c r="E128" s="1">
        <f>ROUND(INDEX(加速度入力!$B$56:$AV$206,ROWS($A$5:$A128),MATCH(E$4,加速度入力!$B$53:$AV$53,0)),1)</f>
        <v>73.8</v>
      </c>
      <c r="F128" s="1">
        <f>ROUND(INDEX(加速度入力!$B$56:$AV$206,ROWS($A$5:$A128),MATCH(F$4,加速度入力!$B$53:$AV$53,0)),1)</f>
        <v>53.7</v>
      </c>
    </row>
    <row r="129" spans="1:6" x14ac:dyDescent="0.25">
      <c r="A129" s="1">
        <f>加速度入力!B180</f>
        <v>124</v>
      </c>
      <c r="B129" s="1">
        <f>ROUND(INDEX(加速度入力!$B$56:$AV$206,ROWS($A$5:$A129),MATCH(B$4,加速度入力!$B$53:$AV$53,0)),1)</f>
        <v>1.8</v>
      </c>
      <c r="C129" s="1">
        <f>ROUND(INDEX(加速度入力!$B$56:$AV$206,ROWS($A$5:$A129),MATCH(C$4,加速度入力!$B$53:$AV$53,0)),1)</f>
        <v>13.8</v>
      </c>
      <c r="D129" s="1">
        <f>ROUND(INDEX(加速度入力!$B$56:$AV$206,ROWS($A$5:$A129),MATCH(D$4,加速度入力!$B$53:$AV$53,0)),1)</f>
        <v>43.9</v>
      </c>
      <c r="E129" s="1">
        <f>ROUND(INDEX(加速度入力!$B$56:$AV$206,ROWS($A$5:$A129),MATCH(E$4,加速度入力!$B$53:$AV$53,0)),1)</f>
        <v>73.3</v>
      </c>
      <c r="F129" s="1">
        <f>ROUND(INDEX(加速度入力!$B$56:$AV$206,ROWS($A$5:$A129),MATCH(F$4,加速度入力!$B$53:$AV$53,0)),1)</f>
        <v>53.2</v>
      </c>
    </row>
    <row r="130" spans="1:6" x14ac:dyDescent="0.25">
      <c r="A130" s="1">
        <f>加速度入力!B181</f>
        <v>125</v>
      </c>
      <c r="B130" s="1">
        <f>ROUND(INDEX(加速度入力!$B$56:$AV$206,ROWS($A$5:$A130),MATCH(B$4,加速度入力!$B$53:$AV$53,0)),1)</f>
        <v>1.7</v>
      </c>
      <c r="C130" s="1">
        <f>ROUND(INDEX(加速度入力!$B$56:$AV$206,ROWS($A$5:$A130),MATCH(C$4,加速度入力!$B$53:$AV$53,0)),1)</f>
        <v>13.7</v>
      </c>
      <c r="D130" s="1">
        <f>ROUND(INDEX(加速度入力!$B$56:$AV$206,ROWS($A$5:$A130),MATCH(D$4,加速度入力!$B$53:$AV$53,0)),1)</f>
        <v>43.6</v>
      </c>
      <c r="E130" s="1">
        <f>ROUND(INDEX(加速度入力!$B$56:$AV$206,ROWS($A$5:$A130),MATCH(E$4,加速度入力!$B$53:$AV$53,0)),1)</f>
        <v>72.7</v>
      </c>
      <c r="F130" s="1">
        <f>ROUND(INDEX(加速度入力!$B$56:$AV$206,ROWS($A$5:$A130),MATCH(F$4,加速度入力!$B$53:$AV$53,0)),1)</f>
        <v>52.8</v>
      </c>
    </row>
    <row r="131" spans="1:6" x14ac:dyDescent="0.25">
      <c r="A131" s="1">
        <f>加速度入力!B182</f>
        <v>126</v>
      </c>
      <c r="B131" s="1">
        <f>ROUND(INDEX(加速度入力!$B$56:$AV$206,ROWS($A$5:$A131),MATCH(B$4,加速度入力!$B$53:$AV$53,0)),1)</f>
        <v>1.7</v>
      </c>
      <c r="C131" s="1">
        <f>ROUND(INDEX(加速度入力!$B$56:$AV$206,ROWS($A$5:$A131),MATCH(C$4,加速度入力!$B$53:$AV$53,0)),1)</f>
        <v>13.6</v>
      </c>
      <c r="D131" s="1">
        <f>ROUND(INDEX(加速度入力!$B$56:$AV$206,ROWS($A$5:$A131),MATCH(D$4,加速度入力!$B$53:$AV$53,0)),1)</f>
        <v>43.2</v>
      </c>
      <c r="E131" s="1">
        <f>ROUND(INDEX(加速度入力!$B$56:$AV$206,ROWS($A$5:$A131),MATCH(E$4,加速度入力!$B$53:$AV$53,0)),1)</f>
        <v>72.099999999999994</v>
      </c>
      <c r="F131" s="1">
        <f>ROUND(INDEX(加速度入力!$B$56:$AV$206,ROWS($A$5:$A131),MATCH(F$4,加速度入力!$B$53:$AV$53,0)),1)</f>
        <v>52.4</v>
      </c>
    </row>
    <row r="132" spans="1:6" x14ac:dyDescent="0.25">
      <c r="A132" s="1">
        <f>加速度入力!B183</f>
        <v>127</v>
      </c>
      <c r="B132" s="1">
        <f>ROUND(INDEX(加速度入力!$B$56:$AV$206,ROWS($A$5:$A132),MATCH(B$4,加速度入力!$B$53:$AV$53,0)),1)</f>
        <v>1.7</v>
      </c>
      <c r="C132" s="1">
        <f>ROUND(INDEX(加速度入力!$B$56:$AV$206,ROWS($A$5:$A132),MATCH(C$4,加速度入力!$B$53:$AV$53,0)),1)</f>
        <v>13.5</v>
      </c>
      <c r="D132" s="1">
        <f>ROUND(INDEX(加速度入力!$B$56:$AV$206,ROWS($A$5:$A132),MATCH(D$4,加速度入力!$B$53:$AV$53,0)),1)</f>
        <v>42.9</v>
      </c>
      <c r="E132" s="1">
        <f>ROUND(INDEX(加速度入力!$B$56:$AV$206,ROWS($A$5:$A132),MATCH(E$4,加速度入力!$B$53:$AV$53,0)),1)</f>
        <v>71.5</v>
      </c>
      <c r="F132" s="1">
        <f>ROUND(INDEX(加速度入力!$B$56:$AV$206,ROWS($A$5:$A132),MATCH(F$4,加速度入力!$B$53:$AV$53,0)),1)</f>
        <v>52</v>
      </c>
    </row>
    <row r="133" spans="1:6" x14ac:dyDescent="0.25">
      <c r="A133" s="1">
        <f>加速度入力!B184</f>
        <v>128</v>
      </c>
      <c r="B133" s="1">
        <f>ROUND(INDEX(加速度入力!$B$56:$AV$206,ROWS($A$5:$A133),MATCH(B$4,加速度入力!$B$53:$AV$53,0)),1)</f>
        <v>1.7</v>
      </c>
      <c r="C133" s="1">
        <f>ROUND(INDEX(加速度入力!$B$56:$AV$206,ROWS($A$5:$A133),MATCH(C$4,加速度入力!$B$53:$AV$53,0)),1)</f>
        <v>13.4</v>
      </c>
      <c r="D133" s="1">
        <f>ROUND(INDEX(加速度入力!$B$56:$AV$206,ROWS($A$5:$A133),MATCH(D$4,加速度入力!$B$53:$AV$53,0)),1)</f>
        <v>42.6</v>
      </c>
      <c r="E133" s="1">
        <f>ROUND(INDEX(加速度入力!$B$56:$AV$206,ROWS($A$5:$A133),MATCH(E$4,加速度入力!$B$53:$AV$53,0)),1)</f>
        <v>71</v>
      </c>
      <c r="F133" s="1">
        <f>ROUND(INDEX(加速度入力!$B$56:$AV$206,ROWS($A$5:$A133),MATCH(F$4,加速度入力!$B$53:$AV$53,0)),1)</f>
        <v>51.6</v>
      </c>
    </row>
    <row r="134" spans="1:6" x14ac:dyDescent="0.25">
      <c r="A134" s="1">
        <f>加速度入力!B185</f>
        <v>129</v>
      </c>
      <c r="B134" s="1">
        <f>ROUND(INDEX(加速度入力!$B$56:$AV$206,ROWS($A$5:$A134),MATCH(B$4,加速度入力!$B$53:$AV$53,0)),1)</f>
        <v>1.7</v>
      </c>
      <c r="C134" s="1">
        <f>ROUND(INDEX(加速度入力!$B$56:$AV$206,ROWS($A$5:$A134),MATCH(C$4,加速度入力!$B$53:$AV$53,0)),1)</f>
        <v>13.3</v>
      </c>
      <c r="D134" s="1">
        <f>ROUND(INDEX(加速度入力!$B$56:$AV$206,ROWS($A$5:$A134),MATCH(D$4,加速度入力!$B$53:$AV$53,0)),1)</f>
        <v>42.2</v>
      </c>
      <c r="E134" s="1">
        <f>ROUND(INDEX(加速度入力!$B$56:$AV$206,ROWS($A$5:$A134),MATCH(E$4,加速度入力!$B$53:$AV$53,0)),1)</f>
        <v>70.400000000000006</v>
      </c>
      <c r="F134" s="1">
        <f>ROUND(INDEX(加速度入力!$B$56:$AV$206,ROWS($A$5:$A134),MATCH(F$4,加速度入力!$B$53:$AV$53,0)),1)</f>
        <v>51.2</v>
      </c>
    </row>
    <row r="135" spans="1:6" x14ac:dyDescent="0.25">
      <c r="A135" s="1">
        <f>加速度入力!B186</f>
        <v>130</v>
      </c>
      <c r="B135" s="1">
        <f>ROUND(INDEX(加速度入力!$B$56:$AV$206,ROWS($A$5:$A135),MATCH(B$4,加速度入力!$B$53:$AV$53,0)),1)</f>
        <v>1.7</v>
      </c>
      <c r="C135" s="1">
        <f>ROUND(INDEX(加速度入力!$B$56:$AV$206,ROWS($A$5:$A135),MATCH(C$4,加速度入力!$B$53:$AV$53,0)),1)</f>
        <v>13.2</v>
      </c>
      <c r="D135" s="1">
        <f>ROUND(INDEX(加速度入力!$B$56:$AV$206,ROWS($A$5:$A135),MATCH(D$4,加速度入力!$B$53:$AV$53,0)),1)</f>
        <v>41.9</v>
      </c>
      <c r="E135" s="1">
        <f>ROUND(INDEX(加速度入力!$B$56:$AV$206,ROWS($A$5:$A135),MATCH(E$4,加速度入力!$B$53:$AV$53,0)),1)</f>
        <v>69.900000000000006</v>
      </c>
      <c r="F135" s="1">
        <f>ROUND(INDEX(加速度入力!$B$56:$AV$206,ROWS($A$5:$A135),MATCH(F$4,加速度入力!$B$53:$AV$53,0)),1)</f>
        <v>50.8</v>
      </c>
    </row>
    <row r="136" spans="1:6" x14ac:dyDescent="0.25">
      <c r="A136" s="1">
        <f>加速度入力!B187</f>
        <v>131</v>
      </c>
      <c r="B136" s="1">
        <f>ROUND(INDEX(加速度入力!$B$56:$AV$206,ROWS($A$5:$A136),MATCH(B$4,加速度入力!$B$53:$AV$53,0)),1)</f>
        <v>1.7</v>
      </c>
      <c r="C136" s="1">
        <f>ROUND(INDEX(加速度入力!$B$56:$AV$206,ROWS($A$5:$A136),MATCH(C$4,加速度入力!$B$53:$AV$53,0)),1)</f>
        <v>13.1</v>
      </c>
      <c r="D136" s="1">
        <f>ROUND(INDEX(加速度入力!$B$56:$AV$206,ROWS($A$5:$A136),MATCH(D$4,加速度入力!$B$53:$AV$53,0)),1)</f>
        <v>41.6</v>
      </c>
      <c r="E136" s="1">
        <f>ROUND(INDEX(加速度入力!$B$56:$AV$206,ROWS($A$5:$A136),MATCH(E$4,加速度入力!$B$53:$AV$53,0)),1)</f>
        <v>69.3</v>
      </c>
      <c r="F136" s="1">
        <f>ROUND(INDEX(加速度入力!$B$56:$AV$206,ROWS($A$5:$A136),MATCH(F$4,加速度入力!$B$53:$AV$53,0)),1)</f>
        <v>50.4</v>
      </c>
    </row>
    <row r="137" spans="1:6" x14ac:dyDescent="0.25">
      <c r="A137" s="1">
        <f>加速度入力!B188</f>
        <v>132</v>
      </c>
      <c r="B137" s="1">
        <f>ROUND(INDEX(加速度入力!$B$56:$AV$206,ROWS($A$5:$A137),MATCH(B$4,加速度入力!$B$53:$AV$53,0)),1)</f>
        <v>1.7</v>
      </c>
      <c r="C137" s="1">
        <f>ROUND(INDEX(加速度入力!$B$56:$AV$206,ROWS($A$5:$A137),MATCH(C$4,加速度入力!$B$53:$AV$53,0)),1)</f>
        <v>13</v>
      </c>
      <c r="D137" s="1">
        <f>ROUND(INDEX(加速度入力!$B$56:$AV$206,ROWS($A$5:$A137),MATCH(D$4,加速度入力!$B$53:$AV$53,0)),1)</f>
        <v>41.3</v>
      </c>
      <c r="E137" s="1">
        <f>ROUND(INDEX(加速度入力!$B$56:$AV$206,ROWS($A$5:$A137),MATCH(E$4,加速度入力!$B$53:$AV$53,0)),1)</f>
        <v>68.8</v>
      </c>
      <c r="F137" s="1">
        <f>ROUND(INDEX(加速度入力!$B$56:$AV$206,ROWS($A$5:$A137),MATCH(F$4,加速度入力!$B$53:$AV$53,0)),1)</f>
        <v>50</v>
      </c>
    </row>
    <row r="138" spans="1:6" x14ac:dyDescent="0.25">
      <c r="A138" s="1">
        <f>加速度入力!B189</f>
        <v>133</v>
      </c>
      <c r="B138" s="1">
        <f>ROUND(INDEX(加速度入力!$B$56:$AV$206,ROWS($A$5:$A138),MATCH(B$4,加速度入力!$B$53:$AV$53,0)),1)</f>
        <v>1.6</v>
      </c>
      <c r="C138" s="1">
        <f>ROUND(INDEX(加速度入力!$B$56:$AV$206,ROWS($A$5:$A138),MATCH(C$4,加速度入力!$B$53:$AV$53,0)),1)</f>
        <v>12.9</v>
      </c>
      <c r="D138" s="1">
        <f>ROUND(INDEX(加速度入力!$B$56:$AV$206,ROWS($A$5:$A138),MATCH(D$4,加速度入力!$B$53:$AV$53,0)),1)</f>
        <v>41</v>
      </c>
      <c r="E138" s="1">
        <f>ROUND(INDEX(加速度入力!$B$56:$AV$206,ROWS($A$5:$A138),MATCH(E$4,加速度入力!$B$53:$AV$53,0)),1)</f>
        <v>68.3</v>
      </c>
      <c r="F138" s="1">
        <f>ROUND(INDEX(加速度入力!$B$56:$AV$206,ROWS($A$5:$A138),MATCH(F$4,加速度入力!$B$53:$AV$53,0)),1)</f>
        <v>49.6</v>
      </c>
    </row>
    <row r="139" spans="1:6" x14ac:dyDescent="0.25">
      <c r="A139" s="1">
        <f>加速度入力!B190</f>
        <v>134</v>
      </c>
      <c r="B139" s="1">
        <f>ROUND(INDEX(加速度入力!$B$56:$AV$206,ROWS($A$5:$A139),MATCH(B$4,加速度入力!$B$53:$AV$53,0)),1)</f>
        <v>1.6</v>
      </c>
      <c r="C139" s="1">
        <f>ROUND(INDEX(加速度入力!$B$56:$AV$206,ROWS($A$5:$A139),MATCH(C$4,加速度入力!$B$53:$AV$53,0)),1)</f>
        <v>12.8</v>
      </c>
      <c r="D139" s="1">
        <f>ROUND(INDEX(加速度入力!$B$56:$AV$206,ROWS($A$5:$A139),MATCH(D$4,加速度入力!$B$53:$AV$53,0)),1)</f>
        <v>40.700000000000003</v>
      </c>
      <c r="E139" s="1">
        <f>ROUND(INDEX(加速度入力!$B$56:$AV$206,ROWS($A$5:$A139),MATCH(E$4,加速度入力!$B$53:$AV$53,0)),1)</f>
        <v>67.8</v>
      </c>
      <c r="F139" s="1">
        <f>ROUND(INDEX(加速度入力!$B$56:$AV$206,ROWS($A$5:$A139),MATCH(F$4,加速度入力!$B$53:$AV$53,0)),1)</f>
        <v>49.3</v>
      </c>
    </row>
    <row r="140" spans="1:6" x14ac:dyDescent="0.25">
      <c r="A140" s="1">
        <f>加速度入力!B191</f>
        <v>135</v>
      </c>
      <c r="B140" s="1">
        <f>ROUND(INDEX(加速度入力!$B$56:$AV$206,ROWS($A$5:$A140),MATCH(B$4,加速度入力!$B$53:$AV$53,0)),1)</f>
        <v>1.6</v>
      </c>
      <c r="C140" s="1">
        <f>ROUND(INDEX(加速度入力!$B$56:$AV$206,ROWS($A$5:$A140),MATCH(C$4,加速度入力!$B$53:$AV$53,0)),1)</f>
        <v>12.7</v>
      </c>
      <c r="D140" s="1">
        <f>ROUND(INDEX(加速度入力!$B$56:$AV$206,ROWS($A$5:$A140),MATCH(D$4,加速度入力!$B$53:$AV$53,0)),1)</f>
        <v>40.4</v>
      </c>
      <c r="E140" s="1">
        <f>ROUND(INDEX(加速度入力!$B$56:$AV$206,ROWS($A$5:$A140),MATCH(E$4,加速度入力!$B$53:$AV$53,0)),1)</f>
        <v>67.3</v>
      </c>
      <c r="F140" s="1">
        <f>ROUND(INDEX(加速度入力!$B$56:$AV$206,ROWS($A$5:$A140),MATCH(F$4,加速度入力!$B$53:$AV$53,0)),1)</f>
        <v>48.9</v>
      </c>
    </row>
    <row r="141" spans="1:6" x14ac:dyDescent="0.25">
      <c r="A141" s="1">
        <f>加速度入力!B192</f>
        <v>136</v>
      </c>
      <c r="B141" s="1">
        <f>ROUND(INDEX(加速度入力!$B$56:$AV$206,ROWS($A$5:$A141),MATCH(B$4,加速度入力!$B$53:$AV$53,0)),1)</f>
        <v>1.6</v>
      </c>
      <c r="C141" s="1">
        <f>ROUND(INDEX(加速度入力!$B$56:$AV$206,ROWS($A$5:$A141),MATCH(C$4,加速度入力!$B$53:$AV$53,0)),1)</f>
        <v>12.6</v>
      </c>
      <c r="D141" s="1">
        <f>ROUND(INDEX(加速度入力!$B$56:$AV$206,ROWS($A$5:$A141),MATCH(D$4,加速度入力!$B$53:$AV$53,0)),1)</f>
        <v>40.1</v>
      </c>
      <c r="E141" s="1">
        <f>ROUND(INDEX(加速度入力!$B$56:$AV$206,ROWS($A$5:$A141),MATCH(E$4,加速度入力!$B$53:$AV$53,0)),1)</f>
        <v>66.8</v>
      </c>
      <c r="F141" s="1">
        <f>ROUND(INDEX(加速度入力!$B$56:$AV$206,ROWS($A$5:$A141),MATCH(F$4,加速度入力!$B$53:$AV$53,0)),1)</f>
        <v>48.5</v>
      </c>
    </row>
    <row r="142" spans="1:6" x14ac:dyDescent="0.25">
      <c r="A142" s="1">
        <f>加速度入力!B193</f>
        <v>137</v>
      </c>
      <c r="B142" s="1">
        <f>ROUND(INDEX(加速度入力!$B$56:$AV$206,ROWS($A$5:$A142),MATCH(B$4,加速度入力!$B$53:$AV$53,0)),1)</f>
        <v>1.6</v>
      </c>
      <c r="C142" s="1">
        <f>ROUND(INDEX(加速度入力!$B$56:$AV$206,ROWS($A$5:$A142),MATCH(C$4,加速度入力!$B$53:$AV$53,0)),1)</f>
        <v>12.5</v>
      </c>
      <c r="D142" s="1">
        <f>ROUND(INDEX(加速度入力!$B$56:$AV$206,ROWS($A$5:$A142),MATCH(D$4,加速度入力!$B$53:$AV$53,0)),1)</f>
        <v>39.799999999999997</v>
      </c>
      <c r="E142" s="1">
        <f>ROUND(INDEX(加速度入力!$B$56:$AV$206,ROWS($A$5:$A142),MATCH(E$4,加速度入力!$B$53:$AV$53,0)),1)</f>
        <v>66.3</v>
      </c>
      <c r="F142" s="1">
        <f>ROUND(INDEX(加速度入力!$B$56:$AV$206,ROWS($A$5:$A142),MATCH(F$4,加速度入力!$B$53:$AV$53,0)),1)</f>
        <v>48.2</v>
      </c>
    </row>
    <row r="143" spans="1:6" x14ac:dyDescent="0.25">
      <c r="A143" s="1">
        <f>加速度入力!B194</f>
        <v>138</v>
      </c>
      <c r="B143" s="1">
        <f>ROUND(INDEX(加速度入力!$B$56:$AV$206,ROWS($A$5:$A143),MATCH(B$4,加速度入力!$B$53:$AV$53,0)),1)</f>
        <v>1.6</v>
      </c>
      <c r="C143" s="1">
        <f>ROUND(INDEX(加速度入力!$B$56:$AV$206,ROWS($A$5:$A143),MATCH(C$4,加速度入力!$B$53:$AV$53,0)),1)</f>
        <v>12.4</v>
      </c>
      <c r="D143" s="1">
        <f>ROUND(INDEX(加速度入力!$B$56:$AV$206,ROWS($A$5:$A143),MATCH(D$4,加速度入力!$B$53:$AV$53,0)),1)</f>
        <v>39.5</v>
      </c>
      <c r="E143" s="1">
        <f>ROUND(INDEX(加速度入力!$B$56:$AV$206,ROWS($A$5:$A143),MATCH(E$4,加速度入力!$B$53:$AV$53,0)),1)</f>
        <v>65.8</v>
      </c>
      <c r="F143" s="1">
        <f>ROUND(INDEX(加速度入力!$B$56:$AV$206,ROWS($A$5:$A143),MATCH(F$4,加速度入力!$B$53:$AV$53,0)),1)</f>
        <v>47.8</v>
      </c>
    </row>
    <row r="144" spans="1:6" x14ac:dyDescent="0.25">
      <c r="A144" s="1">
        <f>加速度入力!B195</f>
        <v>139</v>
      </c>
      <c r="B144" s="1">
        <f>ROUND(INDEX(加速度入力!$B$56:$AV$206,ROWS($A$5:$A144),MATCH(B$4,加速度入力!$B$53:$AV$53,0)),1)</f>
        <v>1.6</v>
      </c>
      <c r="C144" s="1">
        <f>ROUND(INDEX(加速度入力!$B$56:$AV$206,ROWS($A$5:$A144),MATCH(C$4,加速度入力!$B$53:$AV$53,0)),1)</f>
        <v>12.3</v>
      </c>
      <c r="D144" s="1">
        <f>ROUND(INDEX(加速度入力!$B$56:$AV$206,ROWS($A$5:$A144),MATCH(D$4,加速度入力!$B$53:$AV$53,0)),1)</f>
        <v>39.200000000000003</v>
      </c>
      <c r="E144" s="1">
        <f>ROUND(INDEX(加速度入力!$B$56:$AV$206,ROWS($A$5:$A144),MATCH(E$4,加速度入力!$B$53:$AV$53,0)),1)</f>
        <v>65.3</v>
      </c>
      <c r="F144" s="1">
        <f>ROUND(INDEX(加速度入力!$B$56:$AV$206,ROWS($A$5:$A144),MATCH(F$4,加速度入力!$B$53:$AV$53,0)),1)</f>
        <v>47.5</v>
      </c>
    </row>
    <row r="145" spans="1:6" x14ac:dyDescent="0.25">
      <c r="A145" s="1">
        <f>加速度入力!B196</f>
        <v>140</v>
      </c>
      <c r="B145" s="1">
        <f>ROUND(INDEX(加速度入力!$B$56:$AV$206,ROWS($A$5:$A145),MATCH(B$4,加速度入力!$B$53:$AV$53,0)),1)</f>
        <v>1.6</v>
      </c>
      <c r="C145" s="1">
        <f>ROUND(INDEX(加速度入力!$B$56:$AV$206,ROWS($A$5:$A145),MATCH(C$4,加速度入力!$B$53:$AV$53,0)),1)</f>
        <v>12.2</v>
      </c>
      <c r="D145" s="1">
        <f>ROUND(INDEX(加速度入力!$B$56:$AV$206,ROWS($A$5:$A145),MATCH(D$4,加速度入力!$B$53:$AV$53,0)),1)</f>
        <v>38.9</v>
      </c>
      <c r="E145" s="1">
        <f>ROUND(INDEX(加速度入力!$B$56:$AV$206,ROWS($A$5:$A145),MATCH(E$4,加速度入力!$B$53:$AV$53,0)),1)</f>
        <v>64.900000000000006</v>
      </c>
      <c r="F145" s="1">
        <f>ROUND(INDEX(加速度入力!$B$56:$AV$206,ROWS($A$5:$A145),MATCH(F$4,加速度入力!$B$53:$AV$53,0)),1)</f>
        <v>47.1</v>
      </c>
    </row>
    <row r="146" spans="1:6" x14ac:dyDescent="0.25">
      <c r="A146" s="1">
        <f>加速度入力!B197</f>
        <v>141</v>
      </c>
      <c r="B146" s="1">
        <f>ROUND(INDEX(加速度入力!$B$56:$AV$206,ROWS($A$5:$A146),MATCH(B$4,加速度入力!$B$53:$AV$53,0)),1)</f>
        <v>1.5</v>
      </c>
      <c r="C146" s="1">
        <f>ROUND(INDEX(加速度入力!$B$56:$AV$206,ROWS($A$5:$A146),MATCH(C$4,加速度入力!$B$53:$AV$53,0)),1)</f>
        <v>12.1</v>
      </c>
      <c r="D146" s="1">
        <f>ROUND(INDEX(加速度入力!$B$56:$AV$206,ROWS($A$5:$A146),MATCH(D$4,加速度入力!$B$53:$AV$53,0)),1)</f>
        <v>38.6</v>
      </c>
      <c r="E146" s="1">
        <f>ROUND(INDEX(加速度入力!$B$56:$AV$206,ROWS($A$5:$A146),MATCH(E$4,加速度入力!$B$53:$AV$53,0)),1)</f>
        <v>64.400000000000006</v>
      </c>
      <c r="F146" s="1">
        <f>ROUND(INDEX(加速度入力!$B$56:$AV$206,ROWS($A$5:$A146),MATCH(F$4,加速度入力!$B$53:$AV$53,0)),1)</f>
        <v>46.8</v>
      </c>
    </row>
    <row r="147" spans="1:6" x14ac:dyDescent="0.25">
      <c r="A147" s="1">
        <f>加速度入力!B198</f>
        <v>142</v>
      </c>
      <c r="B147" s="1">
        <f>ROUND(INDEX(加速度入力!$B$56:$AV$206,ROWS($A$5:$A147),MATCH(B$4,加速度入力!$B$53:$AV$53,0)),1)</f>
        <v>1.5</v>
      </c>
      <c r="C147" s="1">
        <f>ROUND(INDEX(加速度入力!$B$56:$AV$206,ROWS($A$5:$A147),MATCH(C$4,加速度入力!$B$53:$AV$53,0)),1)</f>
        <v>12</v>
      </c>
      <c r="D147" s="1">
        <f>ROUND(INDEX(加速度入力!$B$56:$AV$206,ROWS($A$5:$A147),MATCH(D$4,加速度入力!$B$53:$AV$53,0)),1)</f>
        <v>38.4</v>
      </c>
      <c r="E147" s="1">
        <f>ROUND(INDEX(加速度入力!$B$56:$AV$206,ROWS($A$5:$A147),MATCH(E$4,加速度入力!$B$53:$AV$53,0)),1)</f>
        <v>64</v>
      </c>
      <c r="F147" s="1">
        <f>ROUND(INDEX(加速度入力!$B$56:$AV$206,ROWS($A$5:$A147),MATCH(F$4,加速度入力!$B$53:$AV$53,0)),1)</f>
        <v>46.5</v>
      </c>
    </row>
    <row r="148" spans="1:6" x14ac:dyDescent="0.25">
      <c r="A148" s="1">
        <f>加速度入力!B199</f>
        <v>143</v>
      </c>
      <c r="B148" s="1">
        <f>ROUND(INDEX(加速度入力!$B$56:$AV$206,ROWS($A$5:$A148),MATCH(B$4,加速度入力!$B$53:$AV$53,0)),1)</f>
        <v>1.5</v>
      </c>
      <c r="C148" s="1">
        <f>ROUND(INDEX(加速度入力!$B$56:$AV$206,ROWS($A$5:$A148),MATCH(C$4,加速度入力!$B$53:$AV$53,0)),1)</f>
        <v>12</v>
      </c>
      <c r="D148" s="1">
        <f>ROUND(INDEX(加速度入力!$B$56:$AV$206,ROWS($A$5:$A148),MATCH(D$4,加速度入力!$B$53:$AV$53,0)),1)</f>
        <v>38.1</v>
      </c>
      <c r="E148" s="1">
        <f>ROUND(INDEX(加速度入力!$B$56:$AV$206,ROWS($A$5:$A148),MATCH(E$4,加速度入力!$B$53:$AV$53,0)),1)</f>
        <v>63.5</v>
      </c>
      <c r="F148" s="1">
        <f>ROUND(INDEX(加速度入力!$B$56:$AV$206,ROWS($A$5:$A148),MATCH(F$4,加速度入力!$B$53:$AV$53,0)),1)</f>
        <v>46.2</v>
      </c>
    </row>
    <row r="149" spans="1:6" x14ac:dyDescent="0.25">
      <c r="A149" s="1">
        <f>加速度入力!B200</f>
        <v>144</v>
      </c>
      <c r="B149" s="1">
        <f>ROUND(INDEX(加速度入力!$B$56:$AV$206,ROWS($A$5:$A149),MATCH(B$4,加速度入力!$B$53:$AV$53,0)),1)</f>
        <v>1.5</v>
      </c>
      <c r="C149" s="1">
        <f>ROUND(INDEX(加速度入力!$B$56:$AV$206,ROWS($A$5:$A149),MATCH(C$4,加速度入力!$B$53:$AV$53,0)),1)</f>
        <v>11.9</v>
      </c>
      <c r="D149" s="1">
        <f>ROUND(INDEX(加速度入力!$B$56:$AV$206,ROWS($A$5:$A149),MATCH(D$4,加速度入力!$B$53:$AV$53,0)),1)</f>
        <v>37.799999999999997</v>
      </c>
      <c r="E149" s="1">
        <f>ROUND(INDEX(加速度入力!$B$56:$AV$206,ROWS($A$5:$A149),MATCH(E$4,加速度入力!$B$53:$AV$53,0)),1)</f>
        <v>63.1</v>
      </c>
      <c r="F149" s="1">
        <f>ROUND(INDEX(加速度入力!$B$56:$AV$206,ROWS($A$5:$A149),MATCH(F$4,加速度入力!$B$53:$AV$53,0)),1)</f>
        <v>45.8</v>
      </c>
    </row>
    <row r="150" spans="1:6" x14ac:dyDescent="0.25">
      <c r="A150" s="1">
        <f>加速度入力!B201</f>
        <v>145</v>
      </c>
      <c r="B150" s="1">
        <f>ROUND(INDEX(加速度入力!$B$56:$AV$206,ROWS($A$5:$A150),MATCH(B$4,加速度入力!$B$53:$AV$53,0)),1)</f>
        <v>1.5</v>
      </c>
      <c r="C150" s="1">
        <f>ROUND(INDEX(加速度入力!$B$56:$AV$206,ROWS($A$5:$A150),MATCH(C$4,加速度入力!$B$53:$AV$53,0)),1)</f>
        <v>11.8</v>
      </c>
      <c r="D150" s="1">
        <f>ROUND(INDEX(加速度入力!$B$56:$AV$206,ROWS($A$5:$A150),MATCH(D$4,加速度入力!$B$53:$AV$53,0)),1)</f>
        <v>37.6</v>
      </c>
      <c r="E150" s="1">
        <f>ROUND(INDEX(加速度入力!$B$56:$AV$206,ROWS($A$5:$A150),MATCH(E$4,加速度入力!$B$53:$AV$53,0)),1)</f>
        <v>62.6</v>
      </c>
      <c r="F150" s="1">
        <f>ROUND(INDEX(加速度入力!$B$56:$AV$206,ROWS($A$5:$A150),MATCH(F$4,加速度入力!$B$53:$AV$53,0)),1)</f>
        <v>45.5</v>
      </c>
    </row>
    <row r="151" spans="1:6" x14ac:dyDescent="0.25">
      <c r="A151" s="1">
        <f>加速度入力!B202</f>
        <v>146</v>
      </c>
      <c r="B151" s="1">
        <f>ROUND(INDEX(加速度入力!$B$56:$AV$206,ROWS($A$5:$A151),MATCH(B$4,加速度入力!$B$53:$AV$53,0)),1)</f>
        <v>1.5</v>
      </c>
      <c r="C151" s="1">
        <f>ROUND(INDEX(加速度入力!$B$56:$AV$206,ROWS($A$5:$A151),MATCH(C$4,加速度入力!$B$53:$AV$53,0)),1)</f>
        <v>11.7</v>
      </c>
      <c r="D151" s="1">
        <f>ROUND(INDEX(加速度入力!$B$56:$AV$206,ROWS($A$5:$A151),MATCH(D$4,加速度入力!$B$53:$AV$53,0)),1)</f>
        <v>37.299999999999997</v>
      </c>
      <c r="E151" s="1">
        <f>ROUND(INDEX(加速度入力!$B$56:$AV$206,ROWS($A$5:$A151),MATCH(E$4,加速度入力!$B$53:$AV$53,0)),1)</f>
        <v>62.2</v>
      </c>
      <c r="F151" s="1">
        <f>ROUND(INDEX(加速度入力!$B$56:$AV$206,ROWS($A$5:$A151),MATCH(F$4,加速度入力!$B$53:$AV$53,0)),1)</f>
        <v>45.2</v>
      </c>
    </row>
    <row r="152" spans="1:6" x14ac:dyDescent="0.25">
      <c r="A152" s="1">
        <f>加速度入力!B203</f>
        <v>147</v>
      </c>
      <c r="B152" s="1">
        <f>ROUND(INDEX(加速度入力!$B$56:$AV$206,ROWS($A$5:$A152),MATCH(B$4,加速度入力!$B$53:$AV$53,0)),1)</f>
        <v>1.5</v>
      </c>
      <c r="C152" s="1">
        <f>ROUND(INDEX(加速度入力!$B$56:$AV$206,ROWS($A$5:$A152),MATCH(C$4,加速度入力!$B$53:$AV$53,0)),1)</f>
        <v>11.6</v>
      </c>
      <c r="D152" s="1">
        <f>ROUND(INDEX(加速度入力!$B$56:$AV$206,ROWS($A$5:$A152),MATCH(D$4,加速度入力!$B$53:$AV$53,0)),1)</f>
        <v>37.1</v>
      </c>
      <c r="E152" s="1">
        <f>ROUND(INDEX(加速度入力!$B$56:$AV$206,ROWS($A$5:$A152),MATCH(E$4,加速度入力!$B$53:$AV$53,0)),1)</f>
        <v>61.8</v>
      </c>
      <c r="F152" s="1">
        <f>ROUND(INDEX(加速度入力!$B$56:$AV$206,ROWS($A$5:$A152),MATCH(F$4,加速度入力!$B$53:$AV$53,0)),1)</f>
        <v>44.9</v>
      </c>
    </row>
    <row r="153" spans="1:6" x14ac:dyDescent="0.25">
      <c r="A153" s="1">
        <f>加速度入力!B204</f>
        <v>148</v>
      </c>
      <c r="B153" s="1">
        <f>ROUND(INDEX(加速度入力!$B$56:$AV$206,ROWS($A$5:$A153),MATCH(B$4,加速度入力!$B$53:$AV$53,0)),1)</f>
        <v>1.5</v>
      </c>
      <c r="C153" s="1">
        <f>ROUND(INDEX(加速度入力!$B$56:$AV$206,ROWS($A$5:$A153),MATCH(C$4,加速度入力!$B$53:$AV$53,0)),1)</f>
        <v>11.6</v>
      </c>
      <c r="D153" s="1">
        <f>ROUND(INDEX(加速度入力!$B$56:$AV$206,ROWS($A$5:$A153),MATCH(D$4,加速度入力!$B$53:$AV$53,0)),1)</f>
        <v>36.799999999999997</v>
      </c>
      <c r="E153" s="1">
        <f>ROUND(INDEX(加速度入力!$B$56:$AV$206,ROWS($A$5:$A153),MATCH(E$4,加速度入力!$B$53:$AV$53,0)),1)</f>
        <v>61.4</v>
      </c>
      <c r="F153" s="1">
        <f>ROUND(INDEX(加速度入力!$B$56:$AV$206,ROWS($A$5:$A153),MATCH(F$4,加速度入力!$B$53:$AV$53,0)),1)</f>
        <v>44.6</v>
      </c>
    </row>
    <row r="154" spans="1:6" x14ac:dyDescent="0.25">
      <c r="A154" s="1">
        <f>加速度入力!B205</f>
        <v>149</v>
      </c>
      <c r="B154" s="1">
        <f>ROUND(INDEX(加速度入力!$B$56:$AV$206,ROWS($A$5:$A154),MATCH(B$4,加速度入力!$B$53:$AV$53,0)),1)</f>
        <v>1.5</v>
      </c>
      <c r="C154" s="1">
        <f>ROUND(INDEX(加速度入力!$B$56:$AV$206,ROWS($A$5:$A154),MATCH(C$4,加速度入力!$B$53:$AV$53,0)),1)</f>
        <v>11.5</v>
      </c>
      <c r="D154" s="1">
        <f>ROUND(INDEX(加速度入力!$B$56:$AV$206,ROWS($A$5:$A154),MATCH(D$4,加速度入力!$B$53:$AV$53,0)),1)</f>
        <v>36.6</v>
      </c>
      <c r="E154" s="1">
        <f>ROUND(INDEX(加速度入力!$B$56:$AV$206,ROWS($A$5:$A154),MATCH(E$4,加速度入力!$B$53:$AV$53,0)),1)</f>
        <v>61</v>
      </c>
      <c r="F154" s="1">
        <f>ROUND(INDEX(加速度入力!$B$56:$AV$206,ROWS($A$5:$A154),MATCH(F$4,加速度入力!$B$53:$AV$53,0)),1)</f>
        <v>44.3</v>
      </c>
    </row>
    <row r="155" spans="1:6" x14ac:dyDescent="0.25">
      <c r="A155" s="1">
        <f>加速度入力!B206</f>
        <v>150</v>
      </c>
      <c r="B155" s="1">
        <f>ROUND(INDEX(加速度入力!$B$56:$AV$206,ROWS($A$5:$A155),MATCH(B$4,加速度入力!$B$53:$AV$53,0)),1)</f>
        <v>1.5</v>
      </c>
      <c r="C155" s="1">
        <f>ROUND(INDEX(加速度入力!$B$56:$AV$206,ROWS($A$5:$A155),MATCH(C$4,加速度入力!$B$53:$AV$53,0)),1)</f>
        <v>11.4</v>
      </c>
      <c r="D155" s="1">
        <f>ROUND(INDEX(加速度入力!$B$56:$AV$206,ROWS($A$5:$A155),MATCH(D$4,加速度入力!$B$53:$AV$53,0)),1)</f>
        <v>36.299999999999997</v>
      </c>
      <c r="E155" s="1">
        <f>ROUND(INDEX(加速度入力!$B$56:$AV$206,ROWS($A$5:$A155),MATCH(E$4,加速度入力!$B$53:$AV$53,0)),1)</f>
        <v>60.6</v>
      </c>
      <c r="F155" s="1">
        <f>ROUND(INDEX(加速度入力!$B$56:$AV$206,ROWS($A$5:$A155),MATCH(F$4,加速度入力!$B$53:$AV$53,0)),1)</f>
        <v>44</v>
      </c>
    </row>
  </sheetData>
  <phoneticPr fontId="3"/>
  <pageMargins left="0.7" right="0.7" top="0.75" bottom="0.75" header="0.3" footer="0.3"/>
  <pageSetup paperSize="8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>
    <tabColor rgb="FFFF0000"/>
  </sheetPr>
  <dimension ref="A1:F3"/>
  <sheetViews>
    <sheetView zoomScaleNormal="100" workbookViewId="0">
      <pane ySplit="2" topLeftCell="A3" activePane="bottomLeft" state="frozen"/>
      <selection sqref="A1:A1048576"/>
      <selection pane="bottomLeft"/>
    </sheetView>
  </sheetViews>
  <sheetFormatPr defaultColWidth="9.125" defaultRowHeight="10.199999999999999" x14ac:dyDescent="0.25"/>
  <cols>
    <col min="1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110</v>
      </c>
    </row>
    <row r="3" spans="1:6" x14ac:dyDescent="0.25">
      <c r="A3" s="1">
        <f>加速度入力!B56</f>
        <v>0</v>
      </c>
      <c r="B3" s="71">
        <v>1</v>
      </c>
      <c r="C3" s="71">
        <v>1</v>
      </c>
      <c r="D3" s="71">
        <v>1</v>
      </c>
      <c r="E3" s="71">
        <v>1</v>
      </c>
      <c r="F3" s="71">
        <v>1</v>
      </c>
    </row>
  </sheetData>
  <phoneticPr fontId="3"/>
  <pageMargins left="0.7" right="0.7" top="0.75" bottom="0.75" header="0.3" footer="0.3"/>
  <pageSetup paperSize="8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FF0000"/>
  </sheetPr>
  <dimension ref="A1:F14"/>
  <sheetViews>
    <sheetView topLeftCell="A6" zoomScale="242" zoomScaleNormal="100" workbookViewId="0">
      <selection activeCell="F9" sqref="F9"/>
    </sheetView>
  </sheetViews>
  <sheetFormatPr defaultColWidth="9.125" defaultRowHeight="10.199999999999999" x14ac:dyDescent="0.25"/>
  <cols>
    <col min="1" max="1" width="29.25" style="1" bestFit="1" customWidth="1"/>
    <col min="2" max="6" width="5.75" style="1" customWidth="1"/>
    <col min="7" max="16384" width="9.125" style="1"/>
  </cols>
  <sheetData>
    <row r="1" spans="1:6" x14ac:dyDescent="0.25">
      <c r="A1" s="1" t="s">
        <v>64</v>
      </c>
    </row>
    <row r="2" spans="1:6" x14ac:dyDescent="0.25">
      <c r="A2" s="1" t="s">
        <v>0</v>
      </c>
      <c r="B2" s="1" t="s">
        <v>111</v>
      </c>
    </row>
    <row r="3" spans="1:6" x14ac:dyDescent="0.25">
      <c r="A3" s="1" t="s">
        <v>35</v>
      </c>
      <c r="B3" s="1">
        <v>0</v>
      </c>
      <c r="C3" s="1">
        <v>0</v>
      </c>
      <c r="D3" s="1">
        <v>0</v>
      </c>
      <c r="E3" s="1">
        <v>0</v>
      </c>
      <c r="F3" s="1">
        <v>0</v>
      </c>
    </row>
    <row r="4" spans="1:6" x14ac:dyDescent="0.25">
      <c r="A4" s="1" t="s">
        <v>36</v>
      </c>
      <c r="B4" s="1">
        <v>0</v>
      </c>
      <c r="C4" s="1">
        <v>0</v>
      </c>
      <c r="D4" s="1">
        <v>0</v>
      </c>
      <c r="E4" s="1">
        <v>0</v>
      </c>
      <c r="F4" s="1">
        <v>0</v>
      </c>
    </row>
    <row r="5" spans="1:6" x14ac:dyDescent="0.25">
      <c r="A5" s="1" t="s">
        <v>37</v>
      </c>
      <c r="B5" s="1">
        <v>0</v>
      </c>
      <c r="C5" s="1">
        <v>0</v>
      </c>
      <c r="D5" s="1">
        <v>0</v>
      </c>
      <c r="E5" s="1">
        <v>0</v>
      </c>
      <c r="F5" s="1">
        <v>0</v>
      </c>
    </row>
    <row r="6" spans="1:6" x14ac:dyDescent="0.25">
      <c r="A6" s="1" t="s">
        <v>38</v>
      </c>
      <c r="B6" s="62">
        <f>ROUND(加速度入力!E41/1.5,0)</f>
        <v>29</v>
      </c>
      <c r="C6" s="62">
        <f>ROUND(加速度入力!N41/1.5,0)</f>
        <v>63</v>
      </c>
      <c r="D6" s="62">
        <f>ROUND(加速度入力!W41/1.5,0)</f>
        <v>96</v>
      </c>
      <c r="E6" s="62">
        <f>ROUND(加速度入力!AF41/1.5,0)</f>
        <v>126</v>
      </c>
      <c r="F6" s="62">
        <f>ROUND(加速度入力!AN41/1.5,0)</f>
        <v>60</v>
      </c>
    </row>
    <row r="7" spans="1:6" x14ac:dyDescent="0.25">
      <c r="A7" s="1" t="s">
        <v>39</v>
      </c>
      <c r="B7" s="62">
        <v>3000</v>
      </c>
      <c r="C7" s="62">
        <f t="shared" ref="C7:D7" si="0">C6*1.5</f>
        <v>94.5</v>
      </c>
      <c r="D7" s="62">
        <f t="shared" si="0"/>
        <v>144</v>
      </c>
      <c r="E7" s="62">
        <f>E6*1.5</f>
        <v>189</v>
      </c>
      <c r="F7" s="62">
        <f>F6*1.5</f>
        <v>90</v>
      </c>
    </row>
    <row r="8" spans="1:6" x14ac:dyDescent="0.25">
      <c r="A8" s="1" t="s">
        <v>40</v>
      </c>
      <c r="B8" s="1">
        <v>2</v>
      </c>
      <c r="C8" s="1">
        <v>3</v>
      </c>
      <c r="D8" s="1">
        <v>4</v>
      </c>
      <c r="E8" s="1">
        <v>5</v>
      </c>
      <c r="F8" s="1">
        <v>0</v>
      </c>
    </row>
    <row r="9" spans="1:6" x14ac:dyDescent="0.25">
      <c r="A9" s="1" t="s">
        <v>41</v>
      </c>
      <c r="B9" s="1">
        <v>0</v>
      </c>
      <c r="C9" s="1">
        <v>0</v>
      </c>
      <c r="D9" s="1">
        <v>0</v>
      </c>
      <c r="E9" s="1">
        <v>3</v>
      </c>
      <c r="F9" s="1">
        <v>4</v>
      </c>
    </row>
    <row r="10" spans="1:6" x14ac:dyDescent="0.25">
      <c r="A10" s="1" t="s">
        <v>42</v>
      </c>
      <c r="B10" s="62">
        <v>0</v>
      </c>
      <c r="C10" s="1">
        <v>0</v>
      </c>
      <c r="D10" s="1">
        <v>0</v>
      </c>
      <c r="E10" s="1">
        <v>0</v>
      </c>
      <c r="F10" s="1">
        <v>0</v>
      </c>
    </row>
    <row r="11" spans="1:6" x14ac:dyDescent="0.25">
      <c r="A11" s="1" t="s">
        <v>43</v>
      </c>
      <c r="B11" s="1">
        <v>0.5</v>
      </c>
      <c r="C11" s="1">
        <v>0.5</v>
      </c>
      <c r="D11" s="1">
        <v>0.5</v>
      </c>
      <c r="E11" s="1">
        <v>0.5</v>
      </c>
      <c r="F11" s="1">
        <v>0.5</v>
      </c>
    </row>
    <row r="12" spans="1:6" x14ac:dyDescent="0.25">
      <c r="A12" s="1" t="s">
        <v>44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</row>
    <row r="13" spans="1:6" x14ac:dyDescent="0.25">
      <c r="A13" s="1" t="s">
        <v>45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</row>
    <row r="14" spans="1:6" x14ac:dyDescent="0.25">
      <c r="A14" s="1" t="s">
        <v>105</v>
      </c>
      <c r="B14" s="1">
        <v>2</v>
      </c>
      <c r="C14" s="1">
        <v>2</v>
      </c>
      <c r="D14" s="1">
        <v>2</v>
      </c>
      <c r="E14" s="1">
        <v>2</v>
      </c>
      <c r="F14" s="1">
        <v>2</v>
      </c>
    </row>
  </sheetData>
  <phoneticPr fontId="9"/>
  <pageMargins left="0.7" right="0.7" top="0.75" bottom="0.75" header="0.3" footer="0.3"/>
  <pageSetup paperSize="8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14</vt:i4>
      </vt:variant>
    </vt:vector>
  </HeadingPairs>
  <TitlesOfParts>
    <vt:vector size="22" baseType="lpstr">
      <vt:lpstr>編成入力</vt:lpstr>
      <vt:lpstr>加速度入力</vt:lpstr>
      <vt:lpstr>f</vt:lpstr>
      <vt:lpstr>fMax</vt:lpstr>
      <vt:lpstr>c</vt:lpstr>
      <vt:lpstr>cMax</vt:lpstr>
      <vt:lpstr>cZero</vt:lpstr>
      <vt:lpstr>Prmtr</vt:lpstr>
      <vt:lpstr>LoadRatio</vt:lpstr>
      <vt:lpstr>M_empty</vt:lpstr>
      <vt:lpstr>M_full</vt:lpstr>
      <vt:lpstr>MotorcarCount</vt:lpstr>
      <vt:lpstr>MotorcarInertiaFactor</vt:lpstr>
      <vt:lpstr>NoLoadCurrent</vt:lpstr>
      <vt:lpstr>加速度入力!Print_Area</vt:lpstr>
      <vt:lpstr>編成入力!Print_Area</vt:lpstr>
      <vt:lpstr>RunningResistanceFactor_a</vt:lpstr>
      <vt:lpstr>RunningResistanceFactor_b</vt:lpstr>
      <vt:lpstr>RunningResistanceFactor_c</vt:lpstr>
      <vt:lpstr>Speed</vt:lpstr>
      <vt:lpstr>TrailerCount</vt:lpstr>
      <vt:lpstr>TrailerInertiaFactor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2014-08-09T16:38:57Z</dcterms:created>
  <dcterms:modified xsi:type="dcterms:W3CDTF">2025-10-03T03:58:10Z</dcterms:modified>
</cp:coreProperties>
</file>